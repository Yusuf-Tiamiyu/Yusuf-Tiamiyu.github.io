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Yusuf.Tiamiyu\Downloads\Projects\"/>
    </mc:Choice>
  </mc:AlternateContent>
  <bookViews>
    <workbookView xWindow="-105" yWindow="-105" windowWidth="23250" windowHeight="12450"/>
  </bookViews>
  <sheets>
    <sheet name="Dashboard" sheetId="6" r:id="rId1"/>
    <sheet name="Working Sheet" sheetId="2" r:id="rId2"/>
    <sheet name="PIvot tables" sheetId="5" r:id="rId3"/>
    <sheet name="bike_sales_data" sheetId="1" r:id="rId4"/>
  </sheets>
  <definedNames>
    <definedName name="_xlnm._FilterDatabase" localSheetId="3" hidden="1">bike_sales_data!$A$1:$M$1027</definedName>
    <definedName name="_xlnm._FilterDatabase" localSheetId="1" hidden="1">'Working Sheet'!$A$1:$N$1001</definedName>
    <definedName name="_xlnm.Print_Area" localSheetId="0">Dashboard!$A$1:$AE$78</definedName>
    <definedName name="Slicer_Cars">#N/A</definedName>
    <definedName name="Slicer_Education">#N/A</definedName>
    <definedName name="Slicer_Gender">#N/A</definedName>
    <definedName name="Slicer_Marital_Status">#N/A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F73" i="5" l="1"/>
  <c r="F72" i="5"/>
  <c r="F66" i="5"/>
  <c r="F65" i="5"/>
  <c r="F56" i="5"/>
  <c r="F55" i="5"/>
  <c r="F49" i="5"/>
  <c r="F48" i="5"/>
  <c r="F40" i="5"/>
  <c r="F39" i="5"/>
  <c r="F38" i="5"/>
  <c r="F29" i="5"/>
  <c r="F30" i="5"/>
  <c r="G29" i="5"/>
  <c r="G30" i="5"/>
  <c r="F31" i="5"/>
  <c r="G31" i="5"/>
  <c r="A89" i="5" l="1"/>
  <c r="A90" i="5"/>
  <c r="A91" i="5"/>
  <c r="A92" i="5"/>
  <c r="A88" i="5"/>
  <c r="B90" i="5"/>
  <c r="G73" i="5"/>
  <c r="G56" i="5"/>
  <c r="G38" i="5"/>
  <c r="G66" i="5"/>
  <c r="G49" i="5"/>
  <c r="G39" i="5"/>
  <c r="B91" i="5"/>
  <c r="G72" i="5"/>
  <c r="G40" i="5"/>
  <c r="B89" i="5"/>
  <c r="B92" i="5"/>
  <c r="B88" i="5"/>
  <c r="G65" i="5"/>
  <c r="G48" i="5"/>
  <c r="G55" i="5"/>
  <c r="L7" i="6"/>
  <c r="S7" i="6"/>
  <c r="Z7" i="6"/>
  <c r="E7" i="6"/>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<sst xmlns="http://schemas.openxmlformats.org/spreadsheetml/2006/main" count="16343" uniqueCount="67">
  <si>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</si>
  <si>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</si>
  <si>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</si>
  <si>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</si>
  <si>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</si>
  <si>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</si>
  <si>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</si>
  <si>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</si>
  <si>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</si>
  <si>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</si>
  <si>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</si>
  <si>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</si>
  <si>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</si>
  <si>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</si>
  <si>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</si>
  <si>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</si>
  <si>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</si>
  <si>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</si>
  <si>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</si>
  <si>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</si>
  <si>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</si>
  <si>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</si>
  <si>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</si>
  <si>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</si>
  <si>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</si>
  <si>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</si>
  <si>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</si>
  <si>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</si>
  <si>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</si>
  <si>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</si>
  <si>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</si>
  <si>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</si>
  <si>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</si>
  <si>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</si>
  <si>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</si>
  <si>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</si>
  <si>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</si>
  <si>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</si>
  <si>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</si>
  <si>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</si>
  <si>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Beyond 10 Miles</t>
  </si>
  <si>
    <t>Age Bracket</t>
  </si>
  <si>
    <t>Count of ID</t>
  </si>
  <si>
    <t>Row Labels</t>
  </si>
  <si>
    <t>Grand Total</t>
  </si>
  <si>
    <t>Column Labels</t>
  </si>
  <si>
    <t>Average of Income</t>
  </si>
  <si>
    <t>Adolescent</t>
  </si>
  <si>
    <t>Middle age</t>
  </si>
  <si>
    <t>Old</t>
  </si>
  <si>
    <t>Total Customer</t>
  </si>
  <si>
    <t>Total Buyers</t>
  </si>
  <si>
    <t>Purchase Rate</t>
  </si>
  <si>
    <t>Average Income (Buyers vs Non Buyers)</t>
  </si>
  <si>
    <t>PURCHASE RATE BY AGE BRACKET</t>
  </si>
  <si>
    <t>PURCHASE RATE BY REGION</t>
  </si>
  <si>
    <t>PURCHASE RATE BY GENDER</t>
  </si>
  <si>
    <t>Avg Income By Gender</t>
  </si>
  <si>
    <t>Avg Income By Marital Status</t>
  </si>
  <si>
    <t>PURCHASE RATE BY Marital Status</t>
  </si>
  <si>
    <t>Purchase Rate By Commute Distance</t>
  </si>
  <si>
    <t>🚲   Bike Sales Dashboard</t>
  </si>
  <si>
    <t>👥  TOTAL CUSTOMERS</t>
  </si>
  <si>
    <t>✅  TOTAL BUYERS</t>
  </si>
  <si>
    <t>📊  PURCHASE RATE</t>
  </si>
  <si>
    <t>💰  AVG INCOME (BUYERS)</t>
  </si>
  <si>
    <t>Avg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</si>
</sst>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164" formatCode="&quot;$&quot;#,##0.00"/>
    <numFmt numFmtId="165" formatCode="_-* #,##0_-;\-* #,##0_-;_-* &quot;-&quot;??_-;_-@_-"/>
    <numFmt numFmtId="166"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rgb="FFFFFFFF"/>
      <name val="Arial"/>
      <family val="2"/>
    </font>
    <font>
      <b/>
      <sz val="18"/>
      <color theme="0"/>
      <name val="Arial"/>
      <family val="2"/>
    </font>
    <font>
      <b/>
      <sz val="48"/>
      <color theme="0"/>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249977111117893"/>
        <bgColor rgb="FF111827"/>
      </patternFill>
    </fill>
    <fill>
      <patternFill patternType="solid">
        <fgColor theme="4" tint="-0.499984740745262"/>
        <bgColor rgb="FF111827"/>
      </patternFill>
    </fill>
    <fill>
      <patternFill patternType="solid">
        <fgColor theme="4" tint="-0.249977111117893"/>
        <bgColor rgb="FF008080"/>
      </patternFill>
    </fill>
    <fill>
      <patternFill patternType="solid">
        <fgColor theme="4" tint="-0.249977111117893"/>
        <bgColor rgb="FF595959"/>
      </patternFill>
    </fill>
    <fill>
      <patternFill patternType="solid">
        <fgColor theme="4" tint="-0.249977111117893"/>
        <bgColor rgb="FF2F5597"/>
      </patternFill>
    </fill>
    <fill>
      <patternFill patternType="solid">
        <fgColor theme="4" tint="0.79998168889431442"/>
        <bgColor theme="4" tint="0.79998168889431442"/>
      </patternFill>
    </fill>
    <fill>
      <patternFill patternType="solid">
        <fgColor theme="4"/>
        <bgColor theme="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70">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10" fontId="0" fillId="0" borderId="0" xfId="0" applyNumberFormat="1"/>
    <xf numFmtId="166" fontId="0" fillId="0" borderId="0" xfId="0" applyNumberFormat="1"/>
    <xf numFmtId="9" fontId="0" fillId="0" borderId="0" xfId="0" applyNumberFormat="1"/>
    <xf numFmtId="0" fontId="0" fillId="33" borderId="0" xfId="0" applyFill="1" applyAlignment="1">
      <alignment horizontal="left"/>
    </xf>
    <xf numFmtId="0" fontId="0" fillId="39" borderId="21" xfId="0" applyFont="1" applyFill="1" applyBorder="1"/>
    <xf numFmtId="166" fontId="0" fillId="39" borderId="22" xfId="0" applyNumberFormat="1" applyFont="1" applyFill="1" applyBorder="1"/>
    <xf numFmtId="0" fontId="13" fillId="40" borderId="23" xfId="0" applyFont="1" applyFill="1" applyBorder="1"/>
    <xf numFmtId="0" fontId="13" fillId="40" borderId="24" xfId="0" applyFont="1" applyFill="1" applyBorder="1"/>
    <xf numFmtId="0" fontId="0" fillId="39" borderId="23" xfId="0" applyFont="1" applyFill="1" applyBorder="1"/>
    <xf numFmtId="166" fontId="0" fillId="39" borderId="24" xfId="0" applyNumberFormat="1" applyFont="1" applyFill="1" applyBorder="1"/>
    <xf numFmtId="166" fontId="0" fillId="0" borderId="24" xfId="0" applyNumberFormat="1" applyFont="1" applyBorder="1"/>
    <xf numFmtId="0" fontId="19" fillId="35" borderId="0" xfId="0" applyFont="1" applyFill="1" applyBorder="1" applyAlignment="1">
      <alignment horizontal="center" vertical="center"/>
    </xf>
    <xf numFmtId="1" fontId="21" fillId="38" borderId="10" xfId="0" applyNumberFormat="1" applyFont="1" applyFill="1" applyBorder="1" applyAlignment="1">
      <alignment horizontal="center" vertical="center"/>
    </xf>
    <xf numFmtId="1" fontId="21" fillId="38" borderId="11" xfId="0" applyNumberFormat="1" applyFont="1" applyFill="1" applyBorder="1" applyAlignment="1">
      <alignment horizontal="center" vertical="center"/>
    </xf>
    <xf numFmtId="1" fontId="21" fillId="38" borderId="12" xfId="0" applyNumberFormat="1" applyFont="1" applyFill="1" applyBorder="1" applyAlignment="1">
      <alignment horizontal="center" vertical="center"/>
    </xf>
    <xf numFmtId="1" fontId="21" fillId="38" borderId="13" xfId="0" applyNumberFormat="1" applyFont="1" applyFill="1" applyBorder="1" applyAlignment="1">
      <alignment horizontal="center" vertical="center"/>
    </xf>
    <xf numFmtId="1" fontId="21" fillId="38" borderId="0" xfId="0" applyNumberFormat="1" applyFont="1" applyFill="1" applyBorder="1" applyAlignment="1">
      <alignment horizontal="center" vertical="center"/>
    </xf>
    <xf numFmtId="1" fontId="21" fillId="38" borderId="14" xfId="0" applyNumberFormat="1" applyFont="1" applyFill="1" applyBorder="1" applyAlignment="1">
      <alignment horizontal="center" vertical="center"/>
    </xf>
    <xf numFmtId="1" fontId="21" fillId="38" borderId="15" xfId="0" applyNumberFormat="1" applyFont="1" applyFill="1" applyBorder="1" applyAlignment="1">
      <alignment horizontal="center" vertical="center"/>
    </xf>
    <xf numFmtId="1" fontId="21" fillId="38" borderId="16" xfId="0" applyNumberFormat="1" applyFont="1" applyFill="1" applyBorder="1" applyAlignment="1">
      <alignment horizontal="center" vertical="center"/>
    </xf>
    <xf numFmtId="1" fontId="21" fillId="38" borderId="17" xfId="0" applyNumberFormat="1" applyFont="1" applyFill="1" applyBorder="1" applyAlignment="1">
      <alignment horizontal="center" vertical="center"/>
    </xf>
    <xf numFmtId="0" fontId="20" fillId="37" borderId="18" xfId="0" applyFont="1" applyFill="1" applyBorder="1" applyAlignment="1">
      <alignment horizontal="center" vertical="center"/>
    </xf>
    <xf numFmtId="0" fontId="20" fillId="37" borderId="19" xfId="0" applyFont="1" applyFill="1" applyBorder="1" applyAlignment="1">
      <alignment horizontal="center" vertical="center"/>
    </xf>
    <xf numFmtId="0" fontId="20" fillId="37" borderId="20" xfId="0" applyFont="1" applyFill="1" applyBorder="1" applyAlignment="1">
      <alignment horizontal="center" vertical="center"/>
    </xf>
    <xf numFmtId="0" fontId="20" fillId="38" borderId="18" xfId="0" applyFont="1" applyFill="1" applyBorder="1" applyAlignment="1">
      <alignment horizontal="center" vertical="center"/>
    </xf>
    <xf numFmtId="0" fontId="20" fillId="38" borderId="19" xfId="0" applyFont="1" applyFill="1" applyBorder="1" applyAlignment="1">
      <alignment horizontal="center" vertical="center"/>
    </xf>
    <xf numFmtId="0" fontId="20" fillId="38" borderId="20" xfId="0" applyFont="1" applyFill="1" applyBorder="1" applyAlignment="1">
      <alignment horizontal="center" vertical="center"/>
    </xf>
    <xf numFmtId="0" fontId="19" fillId="34" borderId="10" xfId="0" applyFont="1" applyFill="1" applyBorder="1" applyAlignment="1">
      <alignment horizontal="center" vertical="center"/>
    </xf>
    <xf numFmtId="0" fontId="19" fillId="34" borderId="11" xfId="0" applyFont="1" applyFill="1" applyBorder="1" applyAlignment="1">
      <alignment horizontal="center" vertical="center"/>
    </xf>
    <xf numFmtId="0" fontId="19" fillId="34" borderId="12" xfId="0" applyFont="1" applyFill="1" applyBorder="1" applyAlignment="1">
      <alignment horizontal="center" vertical="center"/>
    </xf>
    <xf numFmtId="0" fontId="19" fillId="34" borderId="13" xfId="0" applyFont="1" applyFill="1" applyBorder="1" applyAlignment="1">
      <alignment horizontal="center" vertical="center"/>
    </xf>
    <xf numFmtId="0" fontId="19" fillId="34" borderId="0" xfId="0" applyFont="1" applyFill="1" applyBorder="1" applyAlignment="1">
      <alignment horizontal="center" vertical="center"/>
    </xf>
    <xf numFmtId="0" fontId="19" fillId="34" borderId="14" xfId="0" applyFont="1" applyFill="1" applyBorder="1" applyAlignment="1">
      <alignment horizontal="center" vertical="center"/>
    </xf>
    <xf numFmtId="0" fontId="19" fillId="34" borderId="15" xfId="0" applyFont="1" applyFill="1" applyBorder="1" applyAlignment="1">
      <alignment horizontal="center" vertical="center"/>
    </xf>
    <xf numFmtId="0" fontId="19" fillId="34" borderId="16" xfId="0" applyFont="1" applyFill="1" applyBorder="1" applyAlignment="1">
      <alignment horizontal="center" vertical="center"/>
    </xf>
    <xf numFmtId="0" fontId="19" fillId="34" borderId="17" xfId="0" applyFont="1" applyFill="1" applyBorder="1" applyAlignment="1">
      <alignment horizontal="center" vertical="center"/>
    </xf>
    <xf numFmtId="0" fontId="19" fillId="36" borderId="10" xfId="0" applyFont="1" applyFill="1" applyBorder="1" applyAlignment="1">
      <alignment horizontal="center" vertical="center"/>
    </xf>
    <xf numFmtId="0" fontId="19" fillId="36" borderId="11" xfId="0" applyFont="1" applyFill="1" applyBorder="1" applyAlignment="1">
      <alignment horizontal="center" vertical="center"/>
    </xf>
    <xf numFmtId="0" fontId="19" fillId="36" borderId="12" xfId="0" applyFont="1" applyFill="1" applyBorder="1" applyAlignment="1">
      <alignment horizontal="center" vertical="center"/>
    </xf>
    <xf numFmtId="0" fontId="19" fillId="36" borderId="13" xfId="0" applyFont="1" applyFill="1" applyBorder="1" applyAlignment="1">
      <alignment horizontal="center" vertical="center"/>
    </xf>
    <xf numFmtId="0" fontId="19" fillId="36" borderId="0" xfId="0" applyFont="1" applyFill="1" applyBorder="1" applyAlignment="1">
      <alignment horizontal="center" vertical="center"/>
    </xf>
    <xf numFmtId="0" fontId="19" fillId="36" borderId="14" xfId="0" applyFont="1" applyFill="1" applyBorder="1" applyAlignment="1">
      <alignment horizontal="center" vertical="center"/>
    </xf>
    <xf numFmtId="0" fontId="19" fillId="36" borderId="15" xfId="0" applyFont="1" applyFill="1" applyBorder="1" applyAlignment="1">
      <alignment horizontal="center" vertical="center"/>
    </xf>
    <xf numFmtId="0" fontId="19" fillId="36" borderId="16" xfId="0" applyFont="1" applyFill="1" applyBorder="1" applyAlignment="1">
      <alignment horizontal="center" vertical="center"/>
    </xf>
    <xf numFmtId="0" fontId="19" fillId="36" borderId="17" xfId="0" applyFont="1" applyFill="1" applyBorder="1" applyAlignment="1">
      <alignment horizontal="center" vertical="center"/>
    </xf>
    <xf numFmtId="166" fontId="19" fillId="37" borderId="10" xfId="0" applyNumberFormat="1" applyFont="1" applyFill="1" applyBorder="1" applyAlignment="1">
      <alignment horizontal="center" vertical="center"/>
    </xf>
    <xf numFmtId="166" fontId="19" fillId="37" borderId="11" xfId="0" applyNumberFormat="1" applyFont="1" applyFill="1" applyBorder="1" applyAlignment="1">
      <alignment horizontal="center" vertical="center"/>
    </xf>
    <xf numFmtId="166" fontId="19" fillId="37" borderId="12" xfId="0" applyNumberFormat="1" applyFont="1" applyFill="1" applyBorder="1" applyAlignment="1">
      <alignment horizontal="center" vertical="center"/>
    </xf>
    <xf numFmtId="166" fontId="19" fillId="37" borderId="13" xfId="0" applyNumberFormat="1" applyFont="1" applyFill="1" applyBorder="1" applyAlignment="1">
      <alignment horizontal="center" vertical="center"/>
    </xf>
    <xf numFmtId="166" fontId="19" fillId="37" borderId="0" xfId="0" applyNumberFormat="1" applyFont="1" applyFill="1" applyBorder="1" applyAlignment="1">
      <alignment horizontal="center" vertical="center"/>
    </xf>
    <xf numFmtId="166" fontId="19" fillId="37" borderId="14" xfId="0" applyNumberFormat="1" applyFont="1" applyFill="1" applyBorder="1" applyAlignment="1">
      <alignment horizontal="center" vertical="center"/>
    </xf>
    <xf numFmtId="166" fontId="19" fillId="37" borderId="15" xfId="0" applyNumberFormat="1" applyFont="1" applyFill="1" applyBorder="1" applyAlignment="1">
      <alignment horizontal="center" vertical="center"/>
    </xf>
    <xf numFmtId="166" fontId="19" fillId="37" borderId="16" xfId="0" applyNumberFormat="1" applyFont="1" applyFill="1" applyBorder="1" applyAlignment="1">
      <alignment horizontal="center" vertical="center"/>
    </xf>
    <xf numFmtId="166" fontId="19" fillId="37" borderId="17" xfId="0" applyNumberFormat="1" applyFont="1" applyFill="1" applyBorder="1" applyAlignment="1">
      <alignment horizontal="center" vertical="center"/>
    </xf>
    <xf numFmtId="0" fontId="20" fillId="34" borderId="18" xfId="0" applyFont="1" applyFill="1" applyBorder="1" applyAlignment="1">
      <alignment horizontal="center" vertical="center"/>
    </xf>
    <xf numFmtId="0" fontId="20" fillId="34" borderId="19" xfId="0" applyFont="1" applyFill="1" applyBorder="1" applyAlignment="1">
      <alignment horizontal="center" vertical="center"/>
    </xf>
    <xf numFmtId="0" fontId="20" fillId="34" borderId="20" xfId="0" applyFont="1" applyFill="1" applyBorder="1" applyAlignment="1">
      <alignment horizontal="center" vertical="center"/>
    </xf>
    <xf numFmtId="0" fontId="20" fillId="36" borderId="18" xfId="0" applyFont="1" applyFill="1" applyBorder="1" applyAlignment="1">
      <alignment horizontal="center" vertical="center"/>
    </xf>
    <xf numFmtId="0" fontId="20" fillId="36" borderId="19" xfId="0" applyFont="1" applyFill="1" applyBorder="1" applyAlignment="1">
      <alignment horizontal="center" vertical="center"/>
    </xf>
    <xf numFmtId="0" fontId="20" fillId="36" borderId="20" xfId="0" applyFont="1" applyFill="1" applyBorder="1" applyAlignment="1">
      <alignment horizontal="center" vertical="center"/>
    </xf>
    <xf numFmtId="0" fontId="0" fillId="33"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0">
    <dxf>
      <numFmt numFmtId="14" formatCode="0.00%"/>
    </dxf>
    <dxf>
      <numFmt numFmtId="0" formatCode="General"/>
    </dxf>
    <dxf>
      <numFmt numFmtId="14" formatCode="0.00%"/>
    </dxf>
    <dxf>
      <numFmt numFmtId="0" formatCode="General"/>
    </dxf>
    <dxf>
      <numFmt numFmtId="166" formatCode="0.0%"/>
    </dxf>
    <dxf>
      <numFmt numFmtId="13" formatCode="0%"/>
    </dxf>
    <dxf>
      <numFmt numFmtId="166" formatCode="0.0%"/>
    </dxf>
    <dxf>
      <numFmt numFmtId="14" formatCode="0.00%"/>
    </dxf>
    <dxf>
      <numFmt numFmtId="165" formatCode="_-* #,##0_-;\-* #,##0_-;_-* &quot;-&quot;??_-;_-@_-"/>
    </dxf>
    <dxf>
      <numFmt numFmtId="170" formatCode="_-* #,##0.0_-;\-* #,##0.0_-;_-* &quot;-&quot;??_-;_-@_-"/>
    </dxf>
    <dxf>
      <numFmt numFmtId="35" formatCode="_-* #,##0.00_-;\-* #,##0.00_-;_-* &quot;-&quot;??_-;_-@_-"/>
    </dxf>
    <dxf>
      <numFmt numFmtId="1" formatCode="0"/>
    </dxf>
    <dxf>
      <numFmt numFmtId="169" formatCode="0.0"/>
    </dxf>
    <dxf>
      <numFmt numFmtId="2" formatCode="0.00"/>
    </dxf>
    <dxf>
      <numFmt numFmtId="168" formatCode="0.000"/>
    </dxf>
    <dxf>
      <numFmt numFmtId="167" formatCode="0.0000"/>
    </dxf>
    <dxf>
      <numFmt numFmtId="14" formatCode="0.00%"/>
    </dxf>
    <dxf>
      <numFmt numFmtId="0" formatCode="General"/>
    </dxf>
    <dxf>
      <numFmt numFmtId="166" formatCode="0.0%"/>
    </dxf>
    <dxf>
      <numFmt numFmtId="165" formatCode="_-* #,##0_-;\-* #,##0_-;_-* &quot;-&quot;??_-;_-@_-"/>
    </dxf>
    <dxf>
      <numFmt numFmtId="170" formatCode="_-* #,##0.0_-;\-* #,##0.0_-;_-* &quot;-&quot;??_-;_-@_-"/>
    </dxf>
    <dxf>
      <numFmt numFmtId="35" formatCode="_-* #,##0.00_-;\-* #,##0.00_-;_-* &quot;-&quot;??_-;_-@_-"/>
    </dxf>
    <dxf>
      <numFmt numFmtId="1" formatCode="0"/>
    </dxf>
    <dxf>
      <numFmt numFmtId="169" formatCode="0.0"/>
    </dxf>
    <dxf>
      <numFmt numFmtId="2" formatCode="0.00"/>
    </dxf>
    <dxf>
      <numFmt numFmtId="168" formatCode="0.000"/>
    </dxf>
    <dxf>
      <numFmt numFmtId="165" formatCode="_-* #,##0_-;\-* #,##0_-;_-* &quot;-&quot;??_-;_-@_-"/>
    </dxf>
    <dxf>
      <numFmt numFmtId="170" formatCode="_-* #,##0.0_-;\-* #,##0.0_-;_-* &quot;-&quot;??_-;_-@_-"/>
    </dxf>
    <dxf>
      <numFmt numFmtId="35" formatCode="_-* #,##0.00_-;\-* #,##0.00_-;_-* &quot;-&quot;??_-;_-@_-"/>
    </dxf>
    <dxf>
      <numFmt numFmtId="1" formatCode="0"/>
    </dxf>
    <dxf>
      <numFmt numFmtId="169" formatCode="0.0"/>
    </dxf>
    <dxf>
      <numFmt numFmtId="2" formatCode="0.00"/>
    </dxf>
    <dxf>
      <numFmt numFmtId="168" formatCode="0.000"/>
    </dxf>
    <dxf>
      <numFmt numFmtId="167" formatCode="0.0000"/>
    </dxf>
    <dxf>
      <numFmt numFmtId="14" formatCode="0.00%"/>
    </dxf>
    <dxf>
      <numFmt numFmtId="0" formatCode="General"/>
    </dxf>
    <dxf>
      <numFmt numFmtId="166" formatCode="0.0%"/>
    </dxf>
    <dxf>
      <numFmt numFmtId="13" formatCode="0%"/>
    </dxf>
    <dxf>
      <numFmt numFmtId="166" formatCode="0.0%"/>
    </dxf>
    <dxf>
      <numFmt numFmtId="14" formatCode="0.00%"/>
    </dxf>
    <dxf>
      <numFmt numFmtId="165" formatCode="_-* #,##0_-;\-* #,##0_-;_-* &quot;-&quot;??_-;_-@_-"/>
    </dxf>
    <dxf>
      <numFmt numFmtId="170" formatCode="_-* #,##0.0_-;\-* #,##0.0_-;_-* &quot;-&quot;??_-;_-@_-"/>
    </dxf>
    <dxf>
      <numFmt numFmtId="35" formatCode="_-* #,##0.00_-;\-* #,##0.00_-;_-* &quot;-&quot;??_-;_-@_-"/>
    </dxf>
    <dxf>
      <numFmt numFmtId="1" formatCode="0"/>
    </dxf>
    <dxf>
      <numFmt numFmtId="169" formatCode="0.0"/>
    </dxf>
    <dxf>
      <numFmt numFmtId="2" formatCode="0.00"/>
    </dxf>
    <dxf>
      <numFmt numFmtId="168" formatCode="0.000"/>
    </dxf>
    <dxf>
      <numFmt numFmtId="167" formatCode="0.0000"/>
    </dxf>
    <dxf>
      <numFmt numFmtId="13" formatCode="0%"/>
    </dxf>
    <dxf>
      <numFmt numFmtId="166" formatCode="0.0%"/>
    </dxf>
    <dxf>
      <numFmt numFmtId="166" formatCode="0.0%"/>
    </dxf>
    <dxf>
      <numFmt numFmtId="14" formatCode="0.00%"/>
    </dxf>
    <dxf>
      <numFmt numFmtId="171" formatCode="0.000%"/>
    </dxf>
    <dxf>
      <numFmt numFmtId="14" formatCode="0.00%"/>
    </dxf>
    <dxf>
      <numFmt numFmtId="0" formatCode="General"/>
    </dxf>
    <dxf>
      <numFmt numFmtId="14" formatCode="0.00%"/>
    </dxf>
    <dxf>
      <numFmt numFmtId="165" formatCode="_-* #,##0_-;\-* #,##0_-;_-* &quot;-&quot;??_-;_-@_-"/>
    </dxf>
    <dxf>
      <numFmt numFmtId="170" formatCode="_-* #,##0.0_-;\-* #,##0.0_-;_-* &quot;-&quot;??_-;_-@_-"/>
    </dxf>
    <dxf>
      <numFmt numFmtId="35" formatCode="_-* #,##0.00_-;\-* #,##0.00_-;_-* &quot;-&quot;??_-;_-@_-"/>
    </dxf>
    <dxf>
      <numFmt numFmtId="1" formatCode="0"/>
    </dxf>
    <dxf>
      <numFmt numFmtId="169" formatCode="0.0"/>
    </dxf>
    <dxf>
      <numFmt numFmtId="2" formatCode="0.00"/>
    </dxf>
    <dxf>
      <numFmt numFmtId="168" formatCode="0.000"/>
    </dxf>
    <dxf>
      <numFmt numFmtId="165" formatCode="_-* #,##0_-;\-* #,##0_-;_-* &quot;-&quot;??_-;_-@_-"/>
    </dxf>
    <dxf>
      <numFmt numFmtId="170" formatCode="_-* #,##0.0_-;\-* #,##0.0_-;_-* &quot;-&quot;??_-;_-@_-"/>
    </dxf>
    <dxf>
      <numFmt numFmtId="35" formatCode="_-* #,##0.00_-;\-* #,##0.00_-;_-* &quot;-&quot;??_-;_-@_-"/>
    </dxf>
    <dxf>
      <numFmt numFmtId="1" formatCode="0"/>
    </dxf>
    <dxf>
      <numFmt numFmtId="169" formatCode="0.0"/>
    </dxf>
    <dxf>
      <numFmt numFmtId="2" formatCode="0.00"/>
    </dxf>
    <dxf>
      <numFmt numFmtId="168"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Purchase Rate By Age Bracket</a:t>
            </a:r>
          </a:p>
        </c:rich>
      </c:tx>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tables'!$G$28</c:f>
              <c:strCache>
                <c:ptCount val="1"/>
                <c:pt idx="0">
                  <c:v>Purchase Rate</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tables'!$F$29:$F$31</c:f>
              <c:strCache>
                <c:ptCount val="3"/>
                <c:pt idx="0">
                  <c:v>Middle age</c:v>
                </c:pt>
                <c:pt idx="1">
                  <c:v>Adolescent</c:v>
                </c:pt>
                <c:pt idx="2">
                  <c:v>Old</c:v>
                </c:pt>
              </c:strCache>
            </c:strRef>
          </c:cat>
          <c:val>
            <c:numRef>
              <c:f>'PIvot tables'!$G$29:$G$31</c:f>
              <c:numCache>
                <c:formatCode>0.0%</c:formatCode>
                <c:ptCount val="3"/>
                <c:pt idx="0">
                  <c:v>0.54636233951497859</c:v>
                </c:pt>
                <c:pt idx="1">
                  <c:v>0.35454545454545455</c:v>
                </c:pt>
                <c:pt idx="2">
                  <c:v>0.31216931216931215</c:v>
                </c:pt>
              </c:numCache>
            </c:numRef>
          </c:val>
          <c:extLst>
            <c:ext xmlns:c16="http://schemas.microsoft.com/office/drawing/2014/chart" uri="{C3380CC4-5D6E-409C-BE32-E72D297353CC}">
              <c16:uniqueId val="{00000000-396C-4922-A180-647D66ECE466}"/>
            </c:ext>
          </c:extLst>
        </c:ser>
        <c:dLbls>
          <c:dLblPos val="outEnd"/>
          <c:showLegendKey val="0"/>
          <c:showVal val="1"/>
          <c:showCatName val="0"/>
          <c:showSerName val="0"/>
          <c:showPercent val="0"/>
          <c:showBubbleSize val="0"/>
        </c:dLbls>
        <c:gapWidth val="219"/>
        <c:overlap val="-27"/>
        <c:axId val="1195559744"/>
        <c:axId val="1195563072"/>
      </c:barChart>
      <c:catAx>
        <c:axId val="1195559744"/>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Age Bracket</a:t>
                </a:r>
              </a:p>
            </c:rich>
          </c:tx>
          <c:layout>
            <c:manualLayout>
              <c:xMode val="edge"/>
              <c:yMode val="edge"/>
              <c:x val="0.4434636099489494"/>
              <c:y val="0.9050471815669809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195563072"/>
        <c:crosses val="autoZero"/>
        <c:auto val="1"/>
        <c:lblAlgn val="ctr"/>
        <c:lblOffset val="100"/>
        <c:noMultiLvlLbl val="0"/>
      </c:catAx>
      <c:valAx>
        <c:axId val="1195563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a:t>Purchae Rate</a:t>
                </a:r>
                <a:r>
                  <a:rPr lang="en-US" sz="1400" b="1" baseline="0"/>
                  <a:t> (%)</a:t>
                </a:r>
                <a:endParaRPr lang="en-US" sz="1400" b="1"/>
              </a:p>
            </c:rich>
          </c:tx>
          <c:layout>
            <c:manualLayout>
              <c:xMode val="edge"/>
              <c:yMode val="edge"/>
              <c:x val="1.3329586322844651E-2"/>
              <c:y val="0.3470212763059876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95559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Purchase</a:t>
            </a:r>
            <a:r>
              <a:rPr lang="en-US" sz="2000" b="1" baseline="0"/>
              <a:t> Rate By Region</a:t>
            </a:r>
            <a:endParaRPr lang="en-US" sz="2000" b="1"/>
          </a:p>
        </c:rich>
      </c:tx>
      <c:layout>
        <c:manualLayout>
          <c:xMode val="edge"/>
          <c:yMode val="edge"/>
          <c:x val="0.2895345581802275"/>
          <c:y val="2.314814814814814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tables'!$G$37</c:f>
              <c:strCache>
                <c:ptCount val="1"/>
                <c:pt idx="0">
                  <c:v>Yes</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tables'!$F$38:$F$40</c:f>
              <c:strCache>
                <c:ptCount val="3"/>
                <c:pt idx="0">
                  <c:v>North America</c:v>
                </c:pt>
                <c:pt idx="1">
                  <c:v>Europe</c:v>
                </c:pt>
                <c:pt idx="2">
                  <c:v>Pacific</c:v>
                </c:pt>
              </c:strCache>
            </c:strRef>
          </c:cat>
          <c:val>
            <c:numRef>
              <c:f>'PIvot tables'!$G$38:$G$40</c:f>
              <c:numCache>
                <c:formatCode>0.0%</c:formatCode>
                <c:ptCount val="3"/>
                <c:pt idx="0">
                  <c:v>0.43307086614173229</c:v>
                </c:pt>
                <c:pt idx="1">
                  <c:v>0.49333333333333335</c:v>
                </c:pt>
                <c:pt idx="2">
                  <c:v>0.58854166666666663</c:v>
                </c:pt>
              </c:numCache>
            </c:numRef>
          </c:val>
          <c:extLst>
            <c:ext xmlns:c16="http://schemas.microsoft.com/office/drawing/2014/chart" uri="{C3380CC4-5D6E-409C-BE32-E72D297353CC}">
              <c16:uniqueId val="{00000000-06FF-452F-B5E6-6FDA1A7F6483}"/>
            </c:ext>
          </c:extLst>
        </c:ser>
        <c:dLbls>
          <c:dLblPos val="outEnd"/>
          <c:showLegendKey val="0"/>
          <c:showVal val="1"/>
          <c:showCatName val="0"/>
          <c:showSerName val="0"/>
          <c:showPercent val="0"/>
          <c:showBubbleSize val="0"/>
        </c:dLbls>
        <c:gapWidth val="182"/>
        <c:axId val="201149952"/>
        <c:axId val="201152448"/>
      </c:barChart>
      <c:catAx>
        <c:axId val="201149952"/>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a:t>Region</a:t>
                </a:r>
              </a:p>
            </c:rich>
          </c:tx>
          <c:layout>
            <c:manualLayout>
              <c:xMode val="edge"/>
              <c:yMode val="edge"/>
              <c:x val="4.7704191848655195E-2"/>
              <c:y val="0.37934350936163236"/>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1152448"/>
        <c:crosses val="autoZero"/>
        <c:auto val="1"/>
        <c:lblAlgn val="ctr"/>
        <c:lblOffset val="100"/>
        <c:noMultiLvlLbl val="0"/>
      </c:catAx>
      <c:valAx>
        <c:axId val="2011524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b="1"/>
                  <a:t>Purchase Rate (%)</a:t>
                </a:r>
              </a:p>
            </c:rich>
          </c:tx>
          <c:layout>
            <c:manualLayout>
              <c:xMode val="edge"/>
              <c:yMode val="edge"/>
              <c:x val="0.43546925318824431"/>
              <c:y val="0.90451670846764165"/>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1149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Purchase Rate by Gender</a:t>
            </a:r>
          </a:p>
        </c:rich>
      </c:tx>
      <c:layout>
        <c:manualLayout>
          <c:xMode val="edge"/>
          <c:yMode val="edge"/>
          <c:x val="0.24458782457815631"/>
          <c:y val="1.8647943716855565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tables'!$G$47</c:f>
              <c:strCache>
                <c:ptCount val="1"/>
                <c:pt idx="0">
                  <c:v>Purchase Rate</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tables'!$F$48:$F$49</c:f>
              <c:strCache>
                <c:ptCount val="2"/>
                <c:pt idx="0">
                  <c:v>Female</c:v>
                </c:pt>
                <c:pt idx="1">
                  <c:v>Male</c:v>
                </c:pt>
              </c:strCache>
            </c:strRef>
          </c:cat>
          <c:val>
            <c:numRef>
              <c:f>'PIvot tables'!$G$48:$G$49</c:f>
              <c:numCache>
                <c:formatCode>0.0%</c:formatCode>
                <c:ptCount val="2"/>
                <c:pt idx="0">
                  <c:v>0.4887525562372188</c:v>
                </c:pt>
                <c:pt idx="1">
                  <c:v>0.47358121330724068</c:v>
                </c:pt>
              </c:numCache>
            </c:numRef>
          </c:val>
          <c:extLst>
            <c:ext xmlns:c16="http://schemas.microsoft.com/office/drawing/2014/chart" uri="{C3380CC4-5D6E-409C-BE32-E72D297353CC}">
              <c16:uniqueId val="{00000000-6333-497D-BA47-435A404913AF}"/>
            </c:ext>
          </c:extLst>
        </c:ser>
        <c:dLbls>
          <c:dLblPos val="outEnd"/>
          <c:showLegendKey val="0"/>
          <c:showVal val="1"/>
          <c:showCatName val="0"/>
          <c:showSerName val="0"/>
          <c:showPercent val="0"/>
          <c:showBubbleSize val="0"/>
        </c:dLbls>
        <c:gapWidth val="219"/>
        <c:overlap val="-27"/>
        <c:axId val="201153696"/>
        <c:axId val="201138304"/>
      </c:barChart>
      <c:catAx>
        <c:axId val="201153696"/>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b="1"/>
                  <a:t>Gender</a:t>
                </a:r>
              </a:p>
            </c:rich>
          </c:tx>
          <c:layout>
            <c:manualLayout>
              <c:xMode val="edge"/>
              <c:yMode val="edge"/>
              <c:x val="0.51395510868171956"/>
              <c:y val="0.89559806496182581"/>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1138304"/>
        <c:crosses val="autoZero"/>
        <c:auto val="1"/>
        <c:lblAlgn val="ctr"/>
        <c:lblOffset val="100"/>
        <c:noMultiLvlLbl val="0"/>
      </c:catAx>
      <c:valAx>
        <c:axId val="201138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a:t>Purchase Rate (%)</a:t>
                </a:r>
              </a:p>
            </c:rich>
          </c:tx>
          <c:layout>
            <c:manualLayout>
              <c:xMode val="edge"/>
              <c:yMode val="edge"/>
              <c:x val="1.6666666666666666E-2"/>
              <c:y val="0.29801075564855095"/>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1153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Purchase Rate By</a:t>
            </a:r>
            <a:r>
              <a:rPr lang="en-US" sz="2000" b="1" baseline="0"/>
              <a:t> Marital Status</a:t>
            </a:r>
            <a:endParaRPr lang="en-US" sz="2000" b="1"/>
          </a:p>
        </c:rich>
      </c:tx>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tables'!$F$72:$F$73</c:f>
              <c:strCache>
                <c:ptCount val="2"/>
                <c:pt idx="0">
                  <c:v>Single</c:v>
                </c:pt>
                <c:pt idx="1">
                  <c:v>Married</c:v>
                </c:pt>
              </c:strCache>
            </c:strRef>
          </c:cat>
          <c:val>
            <c:numRef>
              <c:f>'PIvot tables'!$G$72:$G$73</c:f>
              <c:numCache>
                <c:formatCode>0.0%</c:formatCode>
                <c:ptCount val="2"/>
                <c:pt idx="0">
                  <c:v>0.54112554112554112</c:v>
                </c:pt>
                <c:pt idx="1">
                  <c:v>0.42936802973977695</c:v>
                </c:pt>
              </c:numCache>
            </c:numRef>
          </c:val>
          <c:extLst>
            <c:ext xmlns:c16="http://schemas.microsoft.com/office/drawing/2014/chart" uri="{C3380CC4-5D6E-409C-BE32-E72D297353CC}">
              <c16:uniqueId val="{00000000-B1F9-4B53-9EE3-158BAE8A14D5}"/>
            </c:ext>
          </c:extLst>
        </c:ser>
        <c:dLbls>
          <c:dLblPos val="outEnd"/>
          <c:showLegendKey val="0"/>
          <c:showVal val="1"/>
          <c:showCatName val="0"/>
          <c:showSerName val="0"/>
          <c:showPercent val="0"/>
          <c:showBubbleSize val="0"/>
        </c:dLbls>
        <c:gapWidth val="219"/>
        <c:overlap val="-27"/>
        <c:axId val="1195574304"/>
        <c:axId val="1195574720"/>
      </c:barChart>
      <c:catAx>
        <c:axId val="1195574304"/>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t>Marital</a:t>
                </a:r>
                <a:r>
                  <a:rPr lang="en-US" sz="1200" b="1" baseline="0"/>
                  <a:t> Status</a:t>
                </a:r>
                <a:endParaRPr lang="en-US" sz="1200" b="1"/>
              </a:p>
            </c:rich>
          </c:tx>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195574720"/>
        <c:crosses val="autoZero"/>
        <c:auto val="1"/>
        <c:lblAlgn val="ctr"/>
        <c:lblOffset val="100"/>
        <c:noMultiLvlLbl val="0"/>
      </c:catAx>
      <c:valAx>
        <c:axId val="1195574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t>Purchase Rate (%)</a:t>
                </a:r>
              </a:p>
            </c:rich>
          </c:tx>
          <c:layout>
            <c:manualLayout>
              <c:xMode val="edge"/>
              <c:yMode val="edge"/>
              <c:x val="2.2222222222222223E-2"/>
              <c:y val="0.2959066054243219"/>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95574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Purchase Rate By Commute Distance</a:t>
            </a:r>
          </a:p>
        </c:rich>
      </c:tx>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tables'!$A$88:$A$92</c:f>
              <c:strCache>
                <c:ptCount val="5"/>
                <c:pt idx="0">
                  <c:v>0-1 Miles</c:v>
                </c:pt>
                <c:pt idx="1">
                  <c:v>1-2 Miles</c:v>
                </c:pt>
                <c:pt idx="2">
                  <c:v>2-5 Miles</c:v>
                </c:pt>
                <c:pt idx="3">
                  <c:v>5-10 Miles</c:v>
                </c:pt>
                <c:pt idx="4">
                  <c:v>Beyond 10 Miles</c:v>
                </c:pt>
              </c:strCache>
            </c:strRef>
          </c:cat>
          <c:val>
            <c:numRef>
              <c:f>'PIvot tables'!$B$88:$B$92</c:f>
              <c:numCache>
                <c:formatCode>0.0%</c:formatCode>
                <c:ptCount val="5"/>
                <c:pt idx="0">
                  <c:v>0.54644808743169404</c:v>
                </c:pt>
                <c:pt idx="1">
                  <c:v>0.45562130177514792</c:v>
                </c:pt>
                <c:pt idx="2">
                  <c:v>0.5864197530864198</c:v>
                </c:pt>
                <c:pt idx="3">
                  <c:v>0.39583333333333331</c:v>
                </c:pt>
                <c:pt idx="4">
                  <c:v>0.29729729729729731</c:v>
                </c:pt>
              </c:numCache>
            </c:numRef>
          </c:val>
          <c:smooth val="0"/>
          <c:extLst>
            <c:ext xmlns:c16="http://schemas.microsoft.com/office/drawing/2014/chart" uri="{C3380CC4-5D6E-409C-BE32-E72D297353CC}">
              <c16:uniqueId val="{00000000-677E-4061-9B79-7685E2BF1B92}"/>
            </c:ext>
          </c:extLst>
        </c:ser>
        <c:dLbls>
          <c:showLegendKey val="0"/>
          <c:showVal val="0"/>
          <c:showCatName val="0"/>
          <c:showSerName val="0"/>
          <c:showPercent val="0"/>
          <c:showBubbleSize val="0"/>
        </c:dLbls>
        <c:marker val="1"/>
        <c:smooth val="0"/>
        <c:axId val="348001104"/>
        <c:axId val="348002352"/>
      </c:lineChart>
      <c:catAx>
        <c:axId val="348001104"/>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b="1"/>
                  <a:t>Commute Distance</a:t>
                </a:r>
              </a:p>
            </c:rich>
          </c:tx>
          <c:layout>
            <c:manualLayout>
              <c:xMode val="edge"/>
              <c:yMode val="edge"/>
              <c:x val="0.43696057250185938"/>
              <c:y val="0.91004057882929168"/>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348002352"/>
        <c:crosses val="autoZero"/>
        <c:auto val="1"/>
        <c:lblAlgn val="ctr"/>
        <c:lblOffset val="100"/>
        <c:noMultiLvlLbl val="0"/>
      </c:catAx>
      <c:valAx>
        <c:axId val="34800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t>Purchase Rate (%)</a:t>
                </a:r>
              </a:p>
            </c:rich>
          </c:tx>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48001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 Rate By Age Bracket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tables'!$G$28</c:f>
              <c:strCache>
                <c:ptCount val="1"/>
                <c:pt idx="0">
                  <c:v>Purchase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tables'!$F$29:$F$31</c:f>
              <c:strCache>
                <c:ptCount val="3"/>
                <c:pt idx="0">
                  <c:v>Middle age</c:v>
                </c:pt>
                <c:pt idx="1">
                  <c:v>Adolescent</c:v>
                </c:pt>
                <c:pt idx="2">
                  <c:v>Old</c:v>
                </c:pt>
              </c:strCache>
            </c:strRef>
          </c:cat>
          <c:val>
            <c:numRef>
              <c:f>'PIvot tables'!$G$29:$G$31</c:f>
              <c:numCache>
                <c:formatCode>0.0%</c:formatCode>
                <c:ptCount val="3"/>
                <c:pt idx="0">
                  <c:v>0.54636233951497859</c:v>
                </c:pt>
                <c:pt idx="1">
                  <c:v>0.35454545454545455</c:v>
                </c:pt>
                <c:pt idx="2">
                  <c:v>0.31216931216931215</c:v>
                </c:pt>
              </c:numCache>
            </c:numRef>
          </c:val>
          <c:extLst>
            <c:ext xmlns:c16="http://schemas.microsoft.com/office/drawing/2014/chart" uri="{C3380CC4-5D6E-409C-BE32-E72D297353CC}">
              <c16:uniqueId val="{00000000-C9F7-4F0C-BE06-BDE96E99C43F}"/>
            </c:ext>
          </c:extLst>
        </c:ser>
        <c:dLbls>
          <c:dLblPos val="outEnd"/>
          <c:showLegendKey val="0"/>
          <c:showVal val="1"/>
          <c:showCatName val="0"/>
          <c:showSerName val="0"/>
          <c:showPercent val="0"/>
          <c:showBubbleSize val="0"/>
        </c:dLbls>
        <c:gapWidth val="219"/>
        <c:overlap val="-27"/>
        <c:axId val="1195559744"/>
        <c:axId val="1195563072"/>
      </c:barChart>
      <c:catAx>
        <c:axId val="119555974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Age Bracket</a:t>
                </a:r>
              </a:p>
            </c:rich>
          </c:tx>
          <c:layout>
            <c:manualLayout>
              <c:xMode val="edge"/>
              <c:yMode val="edge"/>
              <c:x val="0.46619421855175769"/>
              <c:y val="0.889103754503805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95563072"/>
        <c:crosses val="autoZero"/>
        <c:auto val="1"/>
        <c:lblAlgn val="ctr"/>
        <c:lblOffset val="100"/>
        <c:noMultiLvlLbl val="0"/>
      </c:catAx>
      <c:valAx>
        <c:axId val="1195563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Purchae Rate</a:t>
                </a:r>
                <a:r>
                  <a:rPr lang="en-US" b="1" baseline="0"/>
                  <a:t> (%)</a:t>
                </a:r>
                <a:endParaRPr lang="en-US" b="1"/>
              </a:p>
            </c:rich>
          </c:tx>
          <c:layout>
            <c:manualLayout>
              <c:xMode val="edge"/>
              <c:yMode val="edge"/>
              <c:x val="2.4242429384115038E-2"/>
              <c:y val="0.298856997713995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559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Purchase</a:t>
            </a:r>
            <a:r>
              <a:rPr lang="en-US" sz="2000" baseline="0"/>
              <a:t> Rate By Region</a:t>
            </a:r>
            <a:endParaRPr lang="en-US" sz="2000"/>
          </a:p>
        </c:rich>
      </c:tx>
      <c:layout>
        <c:manualLayout>
          <c:xMode val="edge"/>
          <c:yMode val="edge"/>
          <c:x val="0.2895345581802275"/>
          <c:y val="2.3148148148148147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tables'!$G$37</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tables'!$F$38:$F$40</c:f>
              <c:strCache>
                <c:ptCount val="3"/>
                <c:pt idx="0">
                  <c:v>North America</c:v>
                </c:pt>
                <c:pt idx="1">
                  <c:v>Europe</c:v>
                </c:pt>
                <c:pt idx="2">
                  <c:v>Pacific</c:v>
                </c:pt>
              </c:strCache>
            </c:strRef>
          </c:cat>
          <c:val>
            <c:numRef>
              <c:f>'PIvot tables'!$G$38:$G$40</c:f>
              <c:numCache>
                <c:formatCode>0.0%</c:formatCode>
                <c:ptCount val="3"/>
                <c:pt idx="0">
                  <c:v>0.43307086614173229</c:v>
                </c:pt>
                <c:pt idx="1">
                  <c:v>0.49333333333333335</c:v>
                </c:pt>
                <c:pt idx="2">
                  <c:v>0.58854166666666663</c:v>
                </c:pt>
              </c:numCache>
            </c:numRef>
          </c:val>
          <c:extLst>
            <c:ext xmlns:c16="http://schemas.microsoft.com/office/drawing/2014/chart" uri="{C3380CC4-5D6E-409C-BE32-E72D297353CC}">
              <c16:uniqueId val="{00000000-053C-4DF2-9054-E67D53B8AE18}"/>
            </c:ext>
          </c:extLst>
        </c:ser>
        <c:dLbls>
          <c:dLblPos val="outEnd"/>
          <c:showLegendKey val="0"/>
          <c:showVal val="1"/>
          <c:showCatName val="0"/>
          <c:showSerName val="0"/>
          <c:showPercent val="0"/>
          <c:showBubbleSize val="0"/>
        </c:dLbls>
        <c:gapWidth val="182"/>
        <c:axId val="201149952"/>
        <c:axId val="201152448"/>
      </c:barChart>
      <c:catAx>
        <c:axId val="2011499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layout>
            <c:manualLayout>
              <c:xMode val="edge"/>
              <c:yMode val="edge"/>
              <c:x val="4.7704233750745381E-2"/>
              <c:y val="0.420795346784280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1152448"/>
        <c:crosses val="autoZero"/>
        <c:auto val="1"/>
        <c:lblAlgn val="ctr"/>
        <c:lblOffset val="100"/>
        <c:noMultiLvlLbl val="0"/>
      </c:catAx>
      <c:valAx>
        <c:axId val="2011524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Purchase Rate (%)</a:t>
                </a:r>
              </a:p>
            </c:rich>
          </c:tx>
          <c:layout>
            <c:manualLayout>
              <c:xMode val="edge"/>
              <c:yMode val="edge"/>
              <c:x val="0.47389235558435339"/>
              <c:y val="0.904516639638248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1149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Purchase Rate by</a:t>
            </a:r>
            <a:r>
              <a:rPr lang="en-US" sz="2000" b="1" baseline="0"/>
              <a:t> Gender</a:t>
            </a:r>
            <a:endParaRPr lang="en-US" sz="2000" b="1"/>
          </a:p>
        </c:rich>
      </c:tx>
      <c:layout>
        <c:manualLayout>
          <c:xMode val="edge"/>
          <c:yMode val="edge"/>
          <c:x val="0.21937489063867013"/>
          <c:y val="1.8648018648018648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tables'!$G$47</c:f>
              <c:strCache>
                <c:ptCount val="1"/>
                <c:pt idx="0">
                  <c:v>Purchase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tables'!$F$48:$F$49</c:f>
              <c:strCache>
                <c:ptCount val="2"/>
                <c:pt idx="0">
                  <c:v>Female</c:v>
                </c:pt>
                <c:pt idx="1">
                  <c:v>Male</c:v>
                </c:pt>
              </c:strCache>
            </c:strRef>
          </c:cat>
          <c:val>
            <c:numRef>
              <c:f>'PIvot tables'!$G$48:$G$49</c:f>
              <c:numCache>
                <c:formatCode>0.0%</c:formatCode>
                <c:ptCount val="2"/>
                <c:pt idx="0">
                  <c:v>0.4887525562372188</c:v>
                </c:pt>
                <c:pt idx="1">
                  <c:v>0.47358121330724068</c:v>
                </c:pt>
              </c:numCache>
            </c:numRef>
          </c:val>
          <c:extLst>
            <c:ext xmlns:c16="http://schemas.microsoft.com/office/drawing/2014/chart" uri="{C3380CC4-5D6E-409C-BE32-E72D297353CC}">
              <c16:uniqueId val="{00000000-5082-4569-A366-F8F9F20B9536}"/>
            </c:ext>
          </c:extLst>
        </c:ser>
        <c:dLbls>
          <c:dLblPos val="outEnd"/>
          <c:showLegendKey val="0"/>
          <c:showVal val="1"/>
          <c:showCatName val="0"/>
          <c:showSerName val="0"/>
          <c:showPercent val="0"/>
          <c:showBubbleSize val="0"/>
        </c:dLbls>
        <c:gapWidth val="219"/>
        <c:overlap val="-27"/>
        <c:axId val="201153696"/>
        <c:axId val="201138304"/>
      </c:barChart>
      <c:catAx>
        <c:axId val="201153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Gender</a:t>
                </a:r>
              </a:p>
            </c:rich>
          </c:tx>
          <c:layout>
            <c:manualLayout>
              <c:xMode val="edge"/>
              <c:yMode val="edge"/>
              <c:x val="0.48988079615048119"/>
              <c:y val="0.891817998274691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1138304"/>
        <c:crosses val="autoZero"/>
        <c:auto val="1"/>
        <c:lblAlgn val="ctr"/>
        <c:lblOffset val="100"/>
        <c:noMultiLvlLbl val="0"/>
      </c:catAx>
      <c:valAx>
        <c:axId val="201138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 Rate</a:t>
                </a:r>
                <a:r>
                  <a:rPr lang="en-US" baseline="0"/>
                  <a:t> (%)</a:t>
                </a:r>
                <a:endParaRPr lang="en-US"/>
              </a:p>
            </c:rich>
          </c:tx>
          <c:layout>
            <c:manualLayout>
              <c:xMode val="edge"/>
              <c:yMode val="edge"/>
              <c:x val="1.6666666666666666E-2"/>
              <c:y val="0.298010755648550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1153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Avg Income of Buyers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tables'!$G$54</c:f>
              <c:strCache>
                <c:ptCount val="1"/>
                <c:pt idx="0">
                  <c:v>Avg Income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tables'!$F$55:$F$56</c:f>
              <c:strCache>
                <c:ptCount val="2"/>
                <c:pt idx="0">
                  <c:v>Male</c:v>
                </c:pt>
                <c:pt idx="1">
                  <c:v>Female</c:v>
                </c:pt>
              </c:strCache>
            </c:strRef>
          </c:cat>
          <c:val>
            <c:numRef>
              <c:f>'PIvot tables'!$G$55:$G$56</c:f>
              <c:numCache>
                <c:formatCode>_-* #,##0_-;\-* #,##0_-;_-* "-"??_-;_-@_-</c:formatCode>
                <c:ptCount val="2"/>
                <c:pt idx="0">
                  <c:v>60123.966942148763</c:v>
                </c:pt>
                <c:pt idx="1">
                  <c:v>55774.058577405856</c:v>
                </c:pt>
              </c:numCache>
            </c:numRef>
          </c:val>
          <c:extLst>
            <c:ext xmlns:c16="http://schemas.microsoft.com/office/drawing/2014/chart" uri="{C3380CC4-5D6E-409C-BE32-E72D297353CC}">
              <c16:uniqueId val="{00000000-0DF7-44E4-A3DA-126C906431BC}"/>
            </c:ext>
          </c:extLst>
        </c:ser>
        <c:dLbls>
          <c:dLblPos val="outEnd"/>
          <c:showLegendKey val="0"/>
          <c:showVal val="1"/>
          <c:showCatName val="0"/>
          <c:showSerName val="0"/>
          <c:showPercent val="0"/>
          <c:showBubbleSize val="0"/>
        </c:dLbls>
        <c:gapWidth val="219"/>
        <c:overlap val="-27"/>
        <c:axId val="1195558912"/>
        <c:axId val="1195577216"/>
      </c:barChart>
      <c:catAx>
        <c:axId val="1195558912"/>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Gender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95577216"/>
        <c:crosses val="autoZero"/>
        <c:auto val="1"/>
        <c:lblAlgn val="ctr"/>
        <c:lblOffset val="100"/>
        <c:noMultiLvlLbl val="0"/>
      </c:catAx>
      <c:valAx>
        <c:axId val="1195577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Avg Income</a:t>
                </a:r>
              </a:p>
            </c:rich>
          </c:tx>
          <c:layout>
            <c:manualLayout>
              <c:xMode val="edge"/>
              <c:yMode val="edge"/>
              <c:x val="2.5000000000000001E-2"/>
              <c:y val="0.3363097841936424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95558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Avg Income By Marital</a:t>
            </a:r>
            <a:r>
              <a:rPr lang="en-US" sz="2000" b="1" baseline="0"/>
              <a:t> Status</a:t>
            </a:r>
            <a:endParaRPr lang="en-US"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tables'!$G$64</c:f>
              <c:strCache>
                <c:ptCount val="1"/>
                <c:pt idx="0">
                  <c:v>Avg Income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tables'!$F$65:$F$66</c:f>
              <c:strCache>
                <c:ptCount val="2"/>
                <c:pt idx="0">
                  <c:v>Married</c:v>
                </c:pt>
                <c:pt idx="1">
                  <c:v>Single</c:v>
                </c:pt>
              </c:strCache>
            </c:strRef>
          </c:cat>
          <c:val>
            <c:numRef>
              <c:f>'PIvot tables'!$G$65:$G$66</c:f>
              <c:numCache>
                <c:formatCode>_-* #,##0_-;\-* #,##0_-;_-* "-"??_-;_-@_-</c:formatCode>
                <c:ptCount val="2"/>
                <c:pt idx="0">
                  <c:v>60346.320346320346</c:v>
                </c:pt>
                <c:pt idx="1">
                  <c:v>55760</c:v>
                </c:pt>
              </c:numCache>
            </c:numRef>
          </c:val>
          <c:extLst>
            <c:ext xmlns:c16="http://schemas.microsoft.com/office/drawing/2014/chart" uri="{C3380CC4-5D6E-409C-BE32-E72D297353CC}">
              <c16:uniqueId val="{00000000-F49B-4E8C-9A0D-843389637B20}"/>
            </c:ext>
          </c:extLst>
        </c:ser>
        <c:dLbls>
          <c:dLblPos val="outEnd"/>
          <c:showLegendKey val="0"/>
          <c:showVal val="1"/>
          <c:showCatName val="0"/>
          <c:showSerName val="0"/>
          <c:showPercent val="0"/>
          <c:showBubbleSize val="0"/>
        </c:dLbls>
        <c:gapWidth val="219"/>
        <c:overlap val="-27"/>
        <c:axId val="1195569312"/>
        <c:axId val="1195572224"/>
      </c:barChart>
      <c:catAx>
        <c:axId val="119556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Marital</a:t>
                </a:r>
                <a:r>
                  <a:rPr lang="en-US" b="1" baseline="0"/>
                  <a:t> Status</a:t>
                </a:r>
                <a:endParaRPr lang="en-US" b="1"/>
              </a:p>
            </c:rich>
          </c:tx>
          <c:layout>
            <c:manualLayout>
              <c:xMode val="edge"/>
              <c:yMode val="edge"/>
              <c:x val="0.49132917760279965"/>
              <c:y val="0.897198891805190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95572224"/>
        <c:crosses val="autoZero"/>
        <c:auto val="1"/>
        <c:lblAlgn val="ctr"/>
        <c:lblOffset val="100"/>
        <c:noMultiLvlLbl val="0"/>
      </c:catAx>
      <c:valAx>
        <c:axId val="1195572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Avg Income</a:t>
                </a:r>
              </a:p>
            </c:rich>
          </c:tx>
          <c:layout>
            <c:manualLayout>
              <c:xMode val="edge"/>
              <c:yMode val="edge"/>
              <c:x val="1.9444444444444445E-2"/>
              <c:y val="0.3621795713035870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95569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Rate By</a:t>
            </a:r>
            <a:r>
              <a:rPr lang="en-US" baseline="0"/>
              <a:t>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tables'!$F$72:$F$73</c:f>
              <c:strCache>
                <c:ptCount val="2"/>
                <c:pt idx="0">
                  <c:v>Single</c:v>
                </c:pt>
                <c:pt idx="1">
                  <c:v>Married</c:v>
                </c:pt>
              </c:strCache>
            </c:strRef>
          </c:cat>
          <c:val>
            <c:numRef>
              <c:f>'PIvot tables'!$G$72:$G$73</c:f>
              <c:numCache>
                <c:formatCode>0.0%</c:formatCode>
                <c:ptCount val="2"/>
                <c:pt idx="0">
                  <c:v>0.54112554112554112</c:v>
                </c:pt>
                <c:pt idx="1">
                  <c:v>0.42936802973977695</c:v>
                </c:pt>
              </c:numCache>
            </c:numRef>
          </c:val>
          <c:extLst>
            <c:ext xmlns:c16="http://schemas.microsoft.com/office/drawing/2014/chart" uri="{C3380CC4-5D6E-409C-BE32-E72D297353CC}">
              <c16:uniqueId val="{00000000-4506-47AE-8000-52F914983149}"/>
            </c:ext>
          </c:extLst>
        </c:ser>
        <c:dLbls>
          <c:dLblPos val="outEnd"/>
          <c:showLegendKey val="0"/>
          <c:showVal val="1"/>
          <c:showCatName val="0"/>
          <c:showSerName val="0"/>
          <c:showPercent val="0"/>
          <c:showBubbleSize val="0"/>
        </c:dLbls>
        <c:gapWidth val="219"/>
        <c:overlap val="-27"/>
        <c:axId val="1195574304"/>
        <c:axId val="1195574720"/>
      </c:barChart>
      <c:catAx>
        <c:axId val="1195574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Marital</a:t>
                </a:r>
                <a:r>
                  <a:rPr lang="en-US" b="1" baseline="0"/>
                  <a:t> Status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574720"/>
        <c:crosses val="autoZero"/>
        <c:auto val="1"/>
        <c:lblAlgn val="ctr"/>
        <c:lblOffset val="100"/>
        <c:noMultiLvlLbl val="0"/>
      </c:catAx>
      <c:valAx>
        <c:axId val="1195574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Purchase Rate (%)</a:t>
                </a:r>
              </a:p>
            </c:rich>
          </c:tx>
          <c:layout>
            <c:manualLayout>
              <c:xMode val="edge"/>
              <c:yMode val="edge"/>
              <c:x val="2.2222222222222223E-2"/>
              <c:y val="0.29590660542432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574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 Rate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tables'!$A$88:$A$92</c:f>
              <c:strCache>
                <c:ptCount val="5"/>
                <c:pt idx="0">
                  <c:v>0-1 Miles</c:v>
                </c:pt>
                <c:pt idx="1">
                  <c:v>1-2 Miles</c:v>
                </c:pt>
                <c:pt idx="2">
                  <c:v>2-5 Miles</c:v>
                </c:pt>
                <c:pt idx="3">
                  <c:v>5-10 Miles</c:v>
                </c:pt>
                <c:pt idx="4">
                  <c:v>Beyond 10 Miles</c:v>
                </c:pt>
              </c:strCache>
            </c:strRef>
          </c:cat>
          <c:val>
            <c:numRef>
              <c:f>'PIvot tables'!$B$88:$B$92</c:f>
              <c:numCache>
                <c:formatCode>0.0%</c:formatCode>
                <c:ptCount val="5"/>
                <c:pt idx="0">
                  <c:v>0.54644808743169404</c:v>
                </c:pt>
                <c:pt idx="1">
                  <c:v>0.45562130177514792</c:v>
                </c:pt>
                <c:pt idx="2">
                  <c:v>0.5864197530864198</c:v>
                </c:pt>
                <c:pt idx="3">
                  <c:v>0.39583333333333331</c:v>
                </c:pt>
                <c:pt idx="4">
                  <c:v>0.29729729729729731</c:v>
                </c:pt>
              </c:numCache>
            </c:numRef>
          </c:val>
          <c:smooth val="0"/>
          <c:extLst>
            <c:ext xmlns:c16="http://schemas.microsoft.com/office/drawing/2014/chart" uri="{C3380CC4-5D6E-409C-BE32-E72D297353CC}">
              <c16:uniqueId val="{00000000-D454-4CCC-A563-3149EEB3EFD2}"/>
            </c:ext>
          </c:extLst>
        </c:ser>
        <c:dLbls>
          <c:showLegendKey val="0"/>
          <c:showVal val="0"/>
          <c:showCatName val="0"/>
          <c:showSerName val="0"/>
          <c:showPercent val="0"/>
          <c:showBubbleSize val="0"/>
        </c:dLbls>
        <c:marker val="1"/>
        <c:smooth val="0"/>
        <c:axId val="348001104"/>
        <c:axId val="348002352"/>
      </c:lineChart>
      <c:catAx>
        <c:axId val="348001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02352"/>
        <c:crosses val="autoZero"/>
        <c:auto val="1"/>
        <c:lblAlgn val="ctr"/>
        <c:lblOffset val="100"/>
        <c:noMultiLvlLbl val="0"/>
      </c:catAx>
      <c:valAx>
        <c:axId val="34800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Purchase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01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xdr:colOff>
      <xdr:row>12</xdr:row>
      <xdr:rowOff>155863</xdr:rowOff>
    </xdr:from>
    <xdr:to>
      <xdr:col>12</xdr:col>
      <xdr:colOff>536863</xdr:colOff>
      <xdr:row>32</xdr:row>
      <xdr:rowOff>17318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580162</xdr:colOff>
      <xdr:row>33</xdr:row>
      <xdr:rowOff>-1</xdr:rowOff>
    </xdr:from>
    <xdr:to>
      <xdr:col>15</xdr:col>
      <xdr:colOff>155862</xdr:colOff>
      <xdr:row>54</xdr:row>
      <xdr:rowOff>69272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86591</xdr:colOff>
      <xdr:row>12</xdr:row>
      <xdr:rowOff>170706</xdr:rowOff>
    </xdr:from>
    <xdr:to>
      <xdr:col>21</xdr:col>
      <xdr:colOff>499753</xdr:colOff>
      <xdr:row>32</xdr:row>
      <xdr:rowOff>17318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69269</xdr:colOff>
      <xdr:row>12</xdr:row>
      <xdr:rowOff>168233</xdr:rowOff>
    </xdr:from>
    <xdr:to>
      <xdr:col>29</xdr:col>
      <xdr:colOff>1229591</xdr:colOff>
      <xdr:row>32</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294409</xdr:colOff>
      <xdr:row>33</xdr:row>
      <xdr:rowOff>7421</xdr:rowOff>
    </xdr:from>
    <xdr:to>
      <xdr:col>29</xdr:col>
      <xdr:colOff>1229591</xdr:colOff>
      <xdr:row>54</xdr:row>
      <xdr:rowOff>61850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138545</xdr:colOff>
      <xdr:row>5</xdr:row>
      <xdr:rowOff>17319</xdr:rowOff>
    </xdr:from>
    <xdr:to>
      <xdr:col>3</xdr:col>
      <xdr:colOff>432956</xdr:colOff>
      <xdr:row>7</xdr:row>
      <xdr:rowOff>155864</xdr:rowOff>
    </xdr:to>
    <mc:AlternateContent xmlns:mc="http://schemas.openxmlformats.org/markup-compatibility/2006" xmlns:a14="http://schemas.microsoft.com/office/drawing/2010/main">
      <mc:Choice Requires="a14">
        <xdr:graphicFrame macro="">
          <xdr:nvGraphicFramePr>
            <xdr:cNvPr id="10"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8545" y="987137"/>
              <a:ext cx="211282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138545</xdr:colOff>
      <xdr:row>8</xdr:row>
      <xdr:rowOff>34635</xdr:rowOff>
    </xdr:from>
    <xdr:to>
      <xdr:col>3</xdr:col>
      <xdr:colOff>450273</xdr:colOff>
      <xdr:row>13</xdr:row>
      <xdr:rowOff>34634</xdr:rowOff>
    </xdr:to>
    <mc:AlternateContent xmlns:mc="http://schemas.openxmlformats.org/markup-compatibility/2006" xmlns:a14="http://schemas.microsoft.com/office/drawing/2010/main">
      <mc:Choice Requires="a14">
        <xdr:graphicFrame macro="">
          <xdr:nvGraphicFramePr>
            <xdr:cNvPr id="11"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8545" y="2095499"/>
              <a:ext cx="2130137"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155863</xdr:colOff>
      <xdr:row>13</xdr:row>
      <xdr:rowOff>155864</xdr:rowOff>
    </xdr:from>
    <xdr:to>
      <xdr:col>3</xdr:col>
      <xdr:colOff>467591</xdr:colOff>
      <xdr:row>23</xdr:row>
      <xdr:rowOff>86591</xdr:rowOff>
    </xdr:to>
    <mc:AlternateContent xmlns:mc="http://schemas.openxmlformats.org/markup-compatibility/2006" xmlns:a14="http://schemas.microsoft.com/office/drawing/2010/main">
      <mc:Choice Requires="a14">
        <xdr:graphicFrame macro="">
          <xdr:nvGraphicFramePr>
            <xdr:cNvPr id="12"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55863" y="3169228"/>
              <a:ext cx="2130137" cy="1835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138544</xdr:colOff>
      <xdr:row>24</xdr:row>
      <xdr:rowOff>17320</xdr:rowOff>
    </xdr:from>
    <xdr:to>
      <xdr:col>3</xdr:col>
      <xdr:colOff>450272</xdr:colOff>
      <xdr:row>33</xdr:row>
      <xdr:rowOff>69274</xdr:rowOff>
    </xdr:to>
    <mc:AlternateContent xmlns:mc="http://schemas.openxmlformats.org/markup-compatibility/2006" xmlns:a14="http://schemas.microsoft.com/office/drawing/2010/main">
      <mc:Choice Requires="a14">
        <xdr:graphicFrame macro="">
          <xdr:nvGraphicFramePr>
            <xdr:cNvPr id="13" name="Cars"/>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138544" y="5126184"/>
              <a:ext cx="2130137" cy="17664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409576</xdr:colOff>
      <xdr:row>15</xdr:row>
      <xdr:rowOff>66674</xdr:rowOff>
    </xdr:from>
    <xdr:to>
      <xdr:col>15</xdr:col>
      <xdr:colOff>200025</xdr:colOff>
      <xdr:row>25</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495299</xdr:colOff>
      <xdr:row>30</xdr:row>
      <xdr:rowOff>180974</xdr:rowOff>
    </xdr:from>
    <xdr:to>
      <xdr:col>16</xdr:col>
      <xdr:colOff>333374</xdr:colOff>
      <xdr:row>42</xdr:row>
      <xdr:rowOff>47626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485775</xdr:colOff>
      <xdr:row>43</xdr:row>
      <xdr:rowOff>95250</xdr:rowOff>
    </xdr:from>
    <xdr:to>
      <xdr:col>15</xdr:col>
      <xdr:colOff>180975</xdr:colOff>
      <xdr:row>50</xdr:row>
      <xdr:rowOff>28575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295275</xdr:colOff>
      <xdr:row>51</xdr:row>
      <xdr:rowOff>19050</xdr:rowOff>
    </xdr:from>
    <xdr:to>
      <xdr:col>14</xdr:col>
      <xdr:colOff>600075</xdr:colOff>
      <xdr:row>60</xdr:row>
      <xdr:rowOff>142875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361950</xdr:colOff>
      <xdr:row>61</xdr:row>
      <xdr:rowOff>76200</xdr:rowOff>
    </xdr:from>
    <xdr:to>
      <xdr:col>15</xdr:col>
      <xdr:colOff>57150</xdr:colOff>
      <xdr:row>69</xdr:row>
      <xdr:rowOff>142875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552450</xdr:colOff>
      <xdr:row>70</xdr:row>
      <xdr:rowOff>114300</xdr:rowOff>
    </xdr:from>
    <xdr:to>
      <xdr:col>15</xdr:col>
      <xdr:colOff>247650</xdr:colOff>
      <xdr:row>85</xdr:row>
      <xdr:rowOff>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438150</xdr:colOff>
      <xdr:row>85</xdr:row>
      <xdr:rowOff>123825</xdr:rowOff>
    </xdr:from>
    <xdr:to>
      <xdr:col>10</xdr:col>
      <xdr:colOff>381000</xdr:colOff>
      <xdr:row>100</xdr:row>
      <xdr:rowOff>9525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Yusuf Tiamiyu" refreshedDate="46125.688738194447"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Beyond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x v="0"/>
    <x v="0"/>
    <x v="0"/>
    <x v="0"/>
    <n v="42"/>
    <x v="0"/>
    <x v="0"/>
  </r>
  <r>
    <n v="24107"/>
    <x v="0"/>
    <x v="1"/>
    <n v="30000"/>
    <n v="3"/>
    <x v="1"/>
    <s v="Clerical"/>
    <x v="0"/>
    <x v="1"/>
    <x v="0"/>
    <x v="0"/>
    <n v="43"/>
    <x v="0"/>
    <x v="0"/>
  </r>
  <r>
    <n v="14177"/>
    <x v="0"/>
    <x v="1"/>
    <n v="80000"/>
    <n v="5"/>
    <x v="1"/>
    <s v="Professional"/>
    <x v="1"/>
    <x v="2"/>
    <x v="1"/>
    <x v="0"/>
    <n v="60"/>
    <x v="1"/>
    <x v="0"/>
  </r>
  <r>
    <n v="24381"/>
    <x v="1"/>
    <x v="1"/>
    <n v="70000"/>
    <n v="0"/>
    <x v="0"/>
    <s v="Professional"/>
    <x v="0"/>
    <x v="1"/>
    <x v="2"/>
    <x v="1"/>
    <n v="41"/>
    <x v="0"/>
    <x v="1"/>
  </r>
  <r>
    <n v="25597"/>
    <x v="1"/>
    <x v="1"/>
    <n v="30000"/>
    <n v="0"/>
    <x v="0"/>
    <s v="Clerical"/>
    <x v="1"/>
    <x v="0"/>
    <x v="0"/>
    <x v="0"/>
    <n v="36"/>
    <x v="0"/>
    <x v="1"/>
  </r>
  <r>
    <n v="13507"/>
    <x v="0"/>
    <x v="0"/>
    <n v="10000"/>
    <n v="2"/>
    <x v="1"/>
    <s v="Manual"/>
    <x v="0"/>
    <x v="0"/>
    <x v="3"/>
    <x v="0"/>
    <n v="50"/>
    <x v="0"/>
    <x v="0"/>
  </r>
  <r>
    <n v="27974"/>
    <x v="1"/>
    <x v="1"/>
    <n v="160000"/>
    <n v="2"/>
    <x v="2"/>
    <s v="Management"/>
    <x v="0"/>
    <x v="3"/>
    <x v="0"/>
    <x v="1"/>
    <n v="33"/>
    <x v="0"/>
    <x v="1"/>
  </r>
  <r>
    <n v="19364"/>
    <x v="0"/>
    <x v="1"/>
    <n v="40000"/>
    <n v="1"/>
    <x v="0"/>
    <s v="Skilled Manual"/>
    <x v="0"/>
    <x v="0"/>
    <x v="0"/>
    <x v="0"/>
    <n v="43"/>
    <x v="0"/>
    <x v="1"/>
  </r>
  <r>
    <n v="22155"/>
    <x v="0"/>
    <x v="1"/>
    <n v="20000"/>
    <n v="2"/>
    <x v="3"/>
    <s v="Clerical"/>
    <x v="0"/>
    <x v="2"/>
    <x v="2"/>
    <x v="1"/>
    <n v="58"/>
    <x v="1"/>
    <x v="0"/>
  </r>
  <r>
    <n v="19280"/>
    <x v="0"/>
    <x v="1"/>
    <n v="120000"/>
    <n v="2"/>
    <x v="1"/>
    <s v="Manual"/>
    <x v="0"/>
    <x v="1"/>
    <x v="0"/>
    <x v="0"/>
    <n v="40"/>
    <x v="0"/>
    <x v="1"/>
  </r>
  <r>
    <n v="22173"/>
    <x v="0"/>
    <x v="0"/>
    <n v="30000"/>
    <n v="3"/>
    <x v="2"/>
    <s v="Skilled Manual"/>
    <x v="1"/>
    <x v="2"/>
    <x v="3"/>
    <x v="1"/>
    <n v="54"/>
    <x v="0"/>
    <x v="1"/>
  </r>
  <r>
    <n v="12697"/>
    <x v="1"/>
    <x v="0"/>
    <n v="90000"/>
    <n v="0"/>
    <x v="0"/>
    <s v="Professional"/>
    <x v="1"/>
    <x v="3"/>
    <x v="4"/>
    <x v="1"/>
    <n v="36"/>
    <x v="0"/>
    <x v="0"/>
  </r>
  <r>
    <n v="11434"/>
    <x v="0"/>
    <x v="1"/>
    <n v="170000"/>
    <n v="5"/>
    <x v="1"/>
    <s v="Professional"/>
    <x v="0"/>
    <x v="0"/>
    <x v="0"/>
    <x v="0"/>
    <n v="55"/>
    <x v="1"/>
    <x v="0"/>
  </r>
  <r>
    <n v="25323"/>
    <x v="0"/>
    <x v="1"/>
    <n v="40000"/>
    <n v="2"/>
    <x v="1"/>
    <s v="Clerical"/>
    <x v="0"/>
    <x v="1"/>
    <x v="3"/>
    <x v="0"/>
    <n v="35"/>
    <x v="0"/>
    <x v="1"/>
  </r>
  <r>
    <n v="23542"/>
    <x v="1"/>
    <x v="1"/>
    <n v="60000"/>
    <n v="1"/>
    <x v="1"/>
    <s v="Skilled Manual"/>
    <x v="1"/>
    <x v="1"/>
    <x v="0"/>
    <x v="1"/>
    <n v="45"/>
    <x v="0"/>
    <x v="1"/>
  </r>
  <r>
    <n v="20870"/>
    <x v="1"/>
    <x v="0"/>
    <n v="10000"/>
    <n v="2"/>
    <x v="2"/>
    <s v="Manual"/>
    <x v="0"/>
    <x v="1"/>
    <x v="0"/>
    <x v="0"/>
    <n v="38"/>
    <x v="0"/>
    <x v="1"/>
  </r>
  <r>
    <n v="23316"/>
    <x v="1"/>
    <x v="1"/>
    <n v="30000"/>
    <n v="3"/>
    <x v="1"/>
    <s v="Clerical"/>
    <x v="1"/>
    <x v="2"/>
    <x v="3"/>
    <x v="1"/>
    <n v="59"/>
    <x v="1"/>
    <x v="1"/>
  </r>
  <r>
    <n v="12610"/>
    <x v="0"/>
    <x v="0"/>
    <n v="30000"/>
    <n v="1"/>
    <x v="0"/>
    <s v="Clerical"/>
    <x v="0"/>
    <x v="0"/>
    <x v="0"/>
    <x v="0"/>
    <n v="47"/>
    <x v="0"/>
    <x v="0"/>
  </r>
  <r>
    <n v="27183"/>
    <x v="1"/>
    <x v="1"/>
    <n v="40000"/>
    <n v="2"/>
    <x v="1"/>
    <s v="Clerical"/>
    <x v="0"/>
    <x v="1"/>
    <x v="3"/>
    <x v="0"/>
    <n v="35"/>
    <x v="0"/>
    <x v="1"/>
  </r>
  <r>
    <n v="25940"/>
    <x v="1"/>
    <x v="1"/>
    <n v="20000"/>
    <n v="2"/>
    <x v="3"/>
    <s v="Clerical"/>
    <x v="0"/>
    <x v="2"/>
    <x v="2"/>
    <x v="1"/>
    <n v="55"/>
    <x v="1"/>
    <x v="1"/>
  </r>
  <r>
    <n v="25598"/>
    <x v="0"/>
    <x v="0"/>
    <n v="40000"/>
    <n v="0"/>
    <x v="4"/>
    <s v="Clerical"/>
    <x v="0"/>
    <x v="0"/>
    <x v="0"/>
    <x v="0"/>
    <n v="36"/>
    <x v="0"/>
    <x v="1"/>
  </r>
  <r>
    <n v="21564"/>
    <x v="1"/>
    <x v="0"/>
    <n v="80000"/>
    <n v="0"/>
    <x v="0"/>
    <s v="Professional"/>
    <x v="0"/>
    <x v="3"/>
    <x v="4"/>
    <x v="1"/>
    <n v="35"/>
    <x v="0"/>
    <x v="0"/>
  </r>
  <r>
    <n v="19193"/>
    <x v="1"/>
    <x v="1"/>
    <n v="40000"/>
    <n v="2"/>
    <x v="1"/>
    <s v="Clerical"/>
    <x v="0"/>
    <x v="0"/>
    <x v="3"/>
    <x v="0"/>
    <n v="35"/>
    <x v="0"/>
    <x v="1"/>
  </r>
  <r>
    <n v="26412"/>
    <x v="0"/>
    <x v="0"/>
    <n v="80000"/>
    <n v="5"/>
    <x v="2"/>
    <s v="Management"/>
    <x v="1"/>
    <x v="4"/>
    <x v="2"/>
    <x v="0"/>
    <n v="56"/>
    <x v="1"/>
    <x v="0"/>
  </r>
  <r>
    <n v="27184"/>
    <x v="1"/>
    <x v="1"/>
    <n v="40000"/>
    <n v="2"/>
    <x v="1"/>
    <s v="Clerical"/>
    <x v="1"/>
    <x v="1"/>
    <x v="0"/>
    <x v="0"/>
    <n v="34"/>
    <x v="0"/>
    <x v="0"/>
  </r>
  <r>
    <n v="12590"/>
    <x v="1"/>
    <x v="1"/>
    <n v="30000"/>
    <n v="1"/>
    <x v="0"/>
    <s v="Clerical"/>
    <x v="0"/>
    <x v="0"/>
    <x v="0"/>
    <x v="0"/>
    <n v="63"/>
    <x v="1"/>
    <x v="0"/>
  </r>
  <r>
    <n v="17841"/>
    <x v="1"/>
    <x v="1"/>
    <n v="30000"/>
    <n v="0"/>
    <x v="1"/>
    <s v="Clerical"/>
    <x v="1"/>
    <x v="1"/>
    <x v="0"/>
    <x v="0"/>
    <n v="29"/>
    <x v="2"/>
    <x v="1"/>
  </r>
  <r>
    <n v="18283"/>
    <x v="1"/>
    <x v="0"/>
    <n v="100000"/>
    <n v="0"/>
    <x v="0"/>
    <s v="Professional"/>
    <x v="1"/>
    <x v="1"/>
    <x v="2"/>
    <x v="1"/>
    <n v="40"/>
    <x v="0"/>
    <x v="0"/>
  </r>
  <r>
    <n v="18299"/>
    <x v="0"/>
    <x v="1"/>
    <n v="70000"/>
    <n v="5"/>
    <x v="1"/>
    <s v="Skilled Manual"/>
    <x v="0"/>
    <x v="2"/>
    <x v="2"/>
    <x v="1"/>
    <n v="44"/>
    <x v="0"/>
    <x v="0"/>
  </r>
  <r>
    <n v="16466"/>
    <x v="1"/>
    <x v="0"/>
    <n v="20000"/>
    <n v="0"/>
    <x v="3"/>
    <s v="Manual"/>
    <x v="1"/>
    <x v="2"/>
    <x v="0"/>
    <x v="0"/>
    <n v="32"/>
    <x v="0"/>
    <x v="1"/>
  </r>
  <r>
    <n v="19273"/>
    <x v="0"/>
    <x v="0"/>
    <n v="20000"/>
    <n v="2"/>
    <x v="1"/>
    <s v="Manual"/>
    <x v="0"/>
    <x v="0"/>
    <x v="0"/>
    <x v="0"/>
    <n v="63"/>
    <x v="1"/>
    <x v="0"/>
  </r>
  <r>
    <n v="22400"/>
    <x v="0"/>
    <x v="1"/>
    <n v="10000"/>
    <n v="0"/>
    <x v="1"/>
    <s v="Manual"/>
    <x v="1"/>
    <x v="1"/>
    <x v="0"/>
    <x v="1"/>
    <n v="26"/>
    <x v="2"/>
    <x v="1"/>
  </r>
  <r>
    <n v="20942"/>
    <x v="1"/>
    <x v="0"/>
    <n v="20000"/>
    <n v="0"/>
    <x v="2"/>
    <s v="Manual"/>
    <x v="1"/>
    <x v="1"/>
    <x v="2"/>
    <x v="0"/>
    <n v="31"/>
    <x v="0"/>
    <x v="0"/>
  </r>
  <r>
    <n v="18484"/>
    <x v="1"/>
    <x v="1"/>
    <n v="80000"/>
    <n v="2"/>
    <x v="2"/>
    <s v="Skilled Manual"/>
    <x v="1"/>
    <x v="2"/>
    <x v="3"/>
    <x v="1"/>
    <n v="50"/>
    <x v="0"/>
    <x v="1"/>
  </r>
  <r>
    <n v="12291"/>
    <x v="1"/>
    <x v="1"/>
    <n v="90000"/>
    <n v="5"/>
    <x v="1"/>
    <s v="Professional"/>
    <x v="1"/>
    <x v="2"/>
    <x v="1"/>
    <x v="0"/>
    <n v="62"/>
    <x v="1"/>
    <x v="1"/>
  </r>
  <r>
    <n v="28380"/>
    <x v="1"/>
    <x v="0"/>
    <n v="10000"/>
    <n v="5"/>
    <x v="3"/>
    <s v="Manual"/>
    <x v="1"/>
    <x v="2"/>
    <x v="0"/>
    <x v="0"/>
    <n v="41"/>
    <x v="0"/>
    <x v="0"/>
  </r>
  <r>
    <n v="17891"/>
    <x v="0"/>
    <x v="0"/>
    <n v="10000"/>
    <n v="2"/>
    <x v="1"/>
    <s v="Manual"/>
    <x v="0"/>
    <x v="1"/>
    <x v="0"/>
    <x v="0"/>
    <n v="50"/>
    <x v="0"/>
    <x v="1"/>
  </r>
  <r>
    <n v="27832"/>
    <x v="1"/>
    <x v="0"/>
    <n v="30000"/>
    <n v="0"/>
    <x v="1"/>
    <s v="Clerical"/>
    <x v="1"/>
    <x v="1"/>
    <x v="1"/>
    <x v="0"/>
    <n v="30"/>
    <x v="2"/>
    <x v="0"/>
  </r>
  <r>
    <n v="26863"/>
    <x v="1"/>
    <x v="1"/>
    <n v="20000"/>
    <n v="0"/>
    <x v="2"/>
    <s v="Manual"/>
    <x v="1"/>
    <x v="1"/>
    <x v="1"/>
    <x v="0"/>
    <n v="28"/>
    <x v="2"/>
    <x v="0"/>
  </r>
  <r>
    <n v="16259"/>
    <x v="1"/>
    <x v="0"/>
    <n v="10000"/>
    <n v="4"/>
    <x v="3"/>
    <s v="Manual"/>
    <x v="0"/>
    <x v="2"/>
    <x v="0"/>
    <x v="0"/>
    <n v="40"/>
    <x v="0"/>
    <x v="1"/>
  </r>
  <r>
    <n v="27803"/>
    <x v="1"/>
    <x v="0"/>
    <n v="30000"/>
    <n v="2"/>
    <x v="1"/>
    <s v="Clerical"/>
    <x v="1"/>
    <x v="0"/>
    <x v="0"/>
    <x v="0"/>
    <n v="43"/>
    <x v="0"/>
    <x v="0"/>
  </r>
  <r>
    <n v="14347"/>
    <x v="1"/>
    <x v="0"/>
    <n v="40000"/>
    <n v="2"/>
    <x v="0"/>
    <s v="Management"/>
    <x v="0"/>
    <x v="2"/>
    <x v="2"/>
    <x v="1"/>
    <n v="65"/>
    <x v="1"/>
    <x v="1"/>
  </r>
  <r>
    <n v="17703"/>
    <x v="0"/>
    <x v="0"/>
    <n v="10000"/>
    <n v="1"/>
    <x v="4"/>
    <s v="Manual"/>
    <x v="0"/>
    <x v="0"/>
    <x v="0"/>
    <x v="0"/>
    <n v="40"/>
    <x v="0"/>
    <x v="0"/>
  </r>
  <r>
    <n v="17185"/>
    <x v="0"/>
    <x v="0"/>
    <n v="170000"/>
    <n v="4"/>
    <x v="1"/>
    <s v="Professional"/>
    <x v="1"/>
    <x v="4"/>
    <x v="2"/>
    <x v="0"/>
    <n v="48"/>
    <x v="0"/>
    <x v="1"/>
  </r>
  <r>
    <n v="29380"/>
    <x v="0"/>
    <x v="0"/>
    <n v="20000"/>
    <n v="3"/>
    <x v="2"/>
    <s v="Manual"/>
    <x v="0"/>
    <x v="0"/>
    <x v="0"/>
    <x v="0"/>
    <n v="41"/>
    <x v="0"/>
    <x v="1"/>
  </r>
  <r>
    <n v="23986"/>
    <x v="0"/>
    <x v="0"/>
    <n v="20000"/>
    <n v="1"/>
    <x v="0"/>
    <s v="Clerical"/>
    <x v="0"/>
    <x v="0"/>
    <x v="0"/>
    <x v="0"/>
    <n v="66"/>
    <x v="1"/>
    <x v="1"/>
  </r>
  <r>
    <n v="24466"/>
    <x v="0"/>
    <x v="0"/>
    <n v="60000"/>
    <n v="1"/>
    <x v="1"/>
    <s v="Skilled Manual"/>
    <x v="0"/>
    <x v="1"/>
    <x v="2"/>
    <x v="1"/>
    <n v="46"/>
    <x v="0"/>
    <x v="1"/>
  </r>
  <r>
    <n v="29097"/>
    <x v="1"/>
    <x v="0"/>
    <n v="40000"/>
    <n v="2"/>
    <x v="1"/>
    <s v="Skilled Manual"/>
    <x v="0"/>
    <x v="2"/>
    <x v="2"/>
    <x v="1"/>
    <n v="52"/>
    <x v="0"/>
    <x v="1"/>
  </r>
  <r>
    <n v="19487"/>
    <x v="0"/>
    <x v="1"/>
    <n v="30000"/>
    <n v="2"/>
    <x v="1"/>
    <s v="Clerical"/>
    <x v="1"/>
    <x v="2"/>
    <x v="0"/>
    <x v="0"/>
    <n v="42"/>
    <x v="0"/>
    <x v="0"/>
  </r>
  <r>
    <n v="14939"/>
    <x v="1"/>
    <x v="1"/>
    <n v="40000"/>
    <n v="0"/>
    <x v="0"/>
    <s v="Clerical"/>
    <x v="0"/>
    <x v="0"/>
    <x v="0"/>
    <x v="0"/>
    <n v="39"/>
    <x v="0"/>
    <x v="1"/>
  </r>
  <r>
    <n v="13826"/>
    <x v="1"/>
    <x v="0"/>
    <n v="30000"/>
    <n v="0"/>
    <x v="1"/>
    <s v="Clerical"/>
    <x v="1"/>
    <x v="1"/>
    <x v="0"/>
    <x v="0"/>
    <n v="28"/>
    <x v="2"/>
    <x v="0"/>
  </r>
  <r>
    <n v="20619"/>
    <x v="1"/>
    <x v="1"/>
    <n v="80000"/>
    <n v="0"/>
    <x v="0"/>
    <s v="Professional"/>
    <x v="1"/>
    <x v="3"/>
    <x v="4"/>
    <x v="1"/>
    <n v="35"/>
    <x v="0"/>
    <x v="0"/>
  </r>
  <r>
    <n v="12558"/>
    <x v="0"/>
    <x v="0"/>
    <n v="20000"/>
    <n v="1"/>
    <x v="0"/>
    <s v="Clerical"/>
    <x v="0"/>
    <x v="0"/>
    <x v="0"/>
    <x v="0"/>
    <n v="65"/>
    <x v="1"/>
    <x v="0"/>
  </r>
  <r>
    <n v="24871"/>
    <x v="1"/>
    <x v="0"/>
    <n v="90000"/>
    <n v="4"/>
    <x v="2"/>
    <s v="Management"/>
    <x v="1"/>
    <x v="4"/>
    <x v="2"/>
    <x v="0"/>
    <n v="56"/>
    <x v="1"/>
    <x v="0"/>
  </r>
  <r>
    <n v="17319"/>
    <x v="1"/>
    <x v="0"/>
    <n v="70000"/>
    <n v="0"/>
    <x v="0"/>
    <s v="Professional"/>
    <x v="1"/>
    <x v="1"/>
    <x v="2"/>
    <x v="1"/>
    <n v="42"/>
    <x v="0"/>
    <x v="0"/>
  </r>
  <r>
    <n v="28906"/>
    <x v="0"/>
    <x v="1"/>
    <n v="80000"/>
    <n v="4"/>
    <x v="2"/>
    <s v="Professional"/>
    <x v="0"/>
    <x v="2"/>
    <x v="4"/>
    <x v="0"/>
    <n v="54"/>
    <x v="0"/>
    <x v="0"/>
  </r>
  <r>
    <n v="12808"/>
    <x v="0"/>
    <x v="1"/>
    <n v="40000"/>
    <n v="0"/>
    <x v="0"/>
    <s v="Clerical"/>
    <x v="0"/>
    <x v="0"/>
    <x v="0"/>
    <x v="0"/>
    <n v="38"/>
    <x v="0"/>
    <x v="1"/>
  </r>
  <r>
    <n v="20567"/>
    <x v="0"/>
    <x v="1"/>
    <n v="130000"/>
    <n v="4"/>
    <x v="1"/>
    <s v="Professional"/>
    <x v="1"/>
    <x v="3"/>
    <x v="2"/>
    <x v="0"/>
    <n v="61"/>
    <x v="1"/>
    <x v="1"/>
  </r>
  <r>
    <n v="25502"/>
    <x v="0"/>
    <x v="0"/>
    <n v="40000"/>
    <n v="1"/>
    <x v="0"/>
    <s v="Skilled Manual"/>
    <x v="0"/>
    <x v="0"/>
    <x v="0"/>
    <x v="0"/>
    <n v="43"/>
    <x v="0"/>
    <x v="1"/>
  </r>
  <r>
    <n v="15580"/>
    <x v="0"/>
    <x v="1"/>
    <n v="60000"/>
    <n v="2"/>
    <x v="0"/>
    <s v="Professional"/>
    <x v="0"/>
    <x v="1"/>
    <x v="1"/>
    <x v="1"/>
    <n v="38"/>
    <x v="0"/>
    <x v="1"/>
  </r>
  <r>
    <n v="24185"/>
    <x v="1"/>
    <x v="0"/>
    <n v="10000"/>
    <n v="1"/>
    <x v="2"/>
    <s v="Manual"/>
    <x v="1"/>
    <x v="1"/>
    <x v="3"/>
    <x v="0"/>
    <n v="45"/>
    <x v="0"/>
    <x v="0"/>
  </r>
  <r>
    <n v="19291"/>
    <x v="1"/>
    <x v="0"/>
    <n v="10000"/>
    <n v="2"/>
    <x v="2"/>
    <s v="Manual"/>
    <x v="0"/>
    <x v="0"/>
    <x v="0"/>
    <x v="0"/>
    <n v="35"/>
    <x v="0"/>
    <x v="0"/>
  </r>
  <r>
    <n v="16713"/>
    <x v="0"/>
    <x v="1"/>
    <n v="40000"/>
    <n v="2"/>
    <x v="0"/>
    <s v="Management"/>
    <x v="0"/>
    <x v="1"/>
    <x v="0"/>
    <x v="1"/>
    <n v="52"/>
    <x v="0"/>
    <x v="1"/>
  </r>
  <r>
    <n v="16185"/>
    <x v="1"/>
    <x v="1"/>
    <n v="60000"/>
    <n v="4"/>
    <x v="0"/>
    <s v="Professional"/>
    <x v="0"/>
    <x v="4"/>
    <x v="4"/>
    <x v="1"/>
    <n v="41"/>
    <x v="0"/>
    <x v="0"/>
  </r>
  <r>
    <n v="14927"/>
    <x v="0"/>
    <x v="0"/>
    <n v="30000"/>
    <n v="1"/>
    <x v="0"/>
    <s v="Clerical"/>
    <x v="0"/>
    <x v="0"/>
    <x v="0"/>
    <x v="0"/>
    <n v="37"/>
    <x v="0"/>
    <x v="1"/>
  </r>
  <r>
    <n v="29337"/>
    <x v="1"/>
    <x v="1"/>
    <n v="30000"/>
    <n v="2"/>
    <x v="1"/>
    <s v="Clerical"/>
    <x v="0"/>
    <x v="2"/>
    <x v="2"/>
    <x v="1"/>
    <n v="68"/>
    <x v="1"/>
    <x v="0"/>
  </r>
  <r>
    <n v="29355"/>
    <x v="0"/>
    <x v="0"/>
    <n v="40000"/>
    <n v="0"/>
    <x v="4"/>
    <s v="Clerical"/>
    <x v="0"/>
    <x v="0"/>
    <x v="0"/>
    <x v="0"/>
    <n v="37"/>
    <x v="0"/>
    <x v="1"/>
  </r>
  <r>
    <n v="25303"/>
    <x v="1"/>
    <x v="1"/>
    <n v="30000"/>
    <n v="0"/>
    <x v="2"/>
    <s v="Manual"/>
    <x v="0"/>
    <x v="1"/>
    <x v="1"/>
    <x v="0"/>
    <n v="33"/>
    <x v="0"/>
    <x v="1"/>
  </r>
  <r>
    <n v="14813"/>
    <x v="1"/>
    <x v="0"/>
    <n v="20000"/>
    <n v="4"/>
    <x v="2"/>
    <s v="Manual"/>
    <x v="0"/>
    <x v="1"/>
    <x v="0"/>
    <x v="0"/>
    <n v="43"/>
    <x v="0"/>
    <x v="1"/>
  </r>
  <r>
    <n v="16438"/>
    <x v="0"/>
    <x v="0"/>
    <n v="10000"/>
    <n v="0"/>
    <x v="3"/>
    <s v="Manual"/>
    <x v="1"/>
    <x v="2"/>
    <x v="0"/>
    <x v="0"/>
    <n v="30"/>
    <x v="2"/>
    <x v="0"/>
  </r>
  <r>
    <n v="14238"/>
    <x v="0"/>
    <x v="1"/>
    <n v="120000"/>
    <n v="0"/>
    <x v="3"/>
    <s v="Professional"/>
    <x v="0"/>
    <x v="3"/>
    <x v="4"/>
    <x v="1"/>
    <n v="36"/>
    <x v="0"/>
    <x v="1"/>
  </r>
  <r>
    <n v="16200"/>
    <x v="1"/>
    <x v="0"/>
    <n v="10000"/>
    <n v="0"/>
    <x v="3"/>
    <s v="Manual"/>
    <x v="1"/>
    <x v="2"/>
    <x v="0"/>
    <x v="0"/>
    <n v="35"/>
    <x v="0"/>
    <x v="0"/>
  </r>
  <r>
    <n v="24857"/>
    <x v="0"/>
    <x v="0"/>
    <n v="130000"/>
    <n v="3"/>
    <x v="2"/>
    <s v="Professional"/>
    <x v="0"/>
    <x v="3"/>
    <x v="0"/>
    <x v="0"/>
    <n v="52"/>
    <x v="0"/>
    <x v="0"/>
  </r>
  <r>
    <n v="26956"/>
    <x v="1"/>
    <x v="0"/>
    <n v="20000"/>
    <n v="0"/>
    <x v="1"/>
    <s v="Manual"/>
    <x v="1"/>
    <x v="1"/>
    <x v="1"/>
    <x v="0"/>
    <n v="36"/>
    <x v="0"/>
    <x v="1"/>
  </r>
  <r>
    <n v="14517"/>
    <x v="0"/>
    <x v="0"/>
    <n v="20000"/>
    <n v="3"/>
    <x v="2"/>
    <s v="Skilled Manual"/>
    <x v="1"/>
    <x v="2"/>
    <x v="3"/>
    <x v="1"/>
    <n v="62"/>
    <x v="1"/>
    <x v="0"/>
  </r>
  <r>
    <n v="12678"/>
    <x v="1"/>
    <x v="0"/>
    <n v="130000"/>
    <n v="4"/>
    <x v="2"/>
    <s v="Management"/>
    <x v="0"/>
    <x v="3"/>
    <x v="0"/>
    <x v="1"/>
    <n v="31"/>
    <x v="0"/>
    <x v="0"/>
  </r>
  <r>
    <n v="16188"/>
    <x v="1"/>
    <x v="0"/>
    <n v="20000"/>
    <n v="0"/>
    <x v="3"/>
    <s v="Manual"/>
    <x v="1"/>
    <x v="2"/>
    <x v="3"/>
    <x v="0"/>
    <n v="26"/>
    <x v="2"/>
    <x v="0"/>
  </r>
  <r>
    <n v="27969"/>
    <x v="0"/>
    <x v="1"/>
    <n v="80000"/>
    <n v="0"/>
    <x v="0"/>
    <s v="Professional"/>
    <x v="0"/>
    <x v="2"/>
    <x v="4"/>
    <x v="1"/>
    <n v="29"/>
    <x v="2"/>
    <x v="1"/>
  </r>
  <r>
    <n v="15752"/>
    <x v="0"/>
    <x v="1"/>
    <n v="80000"/>
    <n v="2"/>
    <x v="2"/>
    <s v="Skilled Manual"/>
    <x v="1"/>
    <x v="2"/>
    <x v="3"/>
    <x v="1"/>
    <n v="50"/>
    <x v="0"/>
    <x v="1"/>
  </r>
  <r>
    <n v="27745"/>
    <x v="1"/>
    <x v="1"/>
    <n v="40000"/>
    <n v="2"/>
    <x v="0"/>
    <s v="Management"/>
    <x v="0"/>
    <x v="2"/>
    <x v="2"/>
    <x v="1"/>
    <n v="63"/>
    <x v="1"/>
    <x v="1"/>
  </r>
  <r>
    <n v="20828"/>
    <x v="0"/>
    <x v="0"/>
    <n v="30000"/>
    <n v="4"/>
    <x v="4"/>
    <s v="Clerical"/>
    <x v="0"/>
    <x v="0"/>
    <x v="0"/>
    <x v="0"/>
    <n v="45"/>
    <x v="0"/>
    <x v="1"/>
  </r>
  <r>
    <n v="19461"/>
    <x v="1"/>
    <x v="0"/>
    <n v="10000"/>
    <n v="4"/>
    <x v="3"/>
    <s v="Manual"/>
    <x v="0"/>
    <x v="2"/>
    <x v="0"/>
    <x v="0"/>
    <n v="40"/>
    <x v="0"/>
    <x v="0"/>
  </r>
  <r>
    <n v="26941"/>
    <x v="0"/>
    <x v="1"/>
    <n v="30000"/>
    <n v="0"/>
    <x v="0"/>
    <s v="Clerical"/>
    <x v="0"/>
    <x v="0"/>
    <x v="0"/>
    <x v="0"/>
    <n v="47"/>
    <x v="0"/>
    <x v="1"/>
  </r>
  <r>
    <n v="28412"/>
    <x v="1"/>
    <x v="1"/>
    <n v="20000"/>
    <n v="0"/>
    <x v="2"/>
    <s v="Manual"/>
    <x v="1"/>
    <x v="1"/>
    <x v="1"/>
    <x v="0"/>
    <n v="29"/>
    <x v="2"/>
    <x v="0"/>
  </r>
  <r>
    <n v="24485"/>
    <x v="1"/>
    <x v="1"/>
    <n v="40000"/>
    <n v="2"/>
    <x v="0"/>
    <s v="Management"/>
    <x v="1"/>
    <x v="1"/>
    <x v="2"/>
    <x v="1"/>
    <n v="52"/>
    <x v="0"/>
    <x v="1"/>
  </r>
  <r>
    <n v="16514"/>
    <x v="1"/>
    <x v="1"/>
    <n v="10000"/>
    <n v="0"/>
    <x v="1"/>
    <s v="Manual"/>
    <x v="0"/>
    <x v="1"/>
    <x v="3"/>
    <x v="1"/>
    <n v="26"/>
    <x v="2"/>
    <x v="1"/>
  </r>
  <r>
    <n v="17191"/>
    <x v="1"/>
    <x v="1"/>
    <n v="130000"/>
    <n v="3"/>
    <x v="1"/>
    <s v="Professional"/>
    <x v="1"/>
    <x v="4"/>
    <x v="0"/>
    <x v="0"/>
    <n v="51"/>
    <x v="0"/>
    <x v="1"/>
  </r>
  <r>
    <n v="19608"/>
    <x v="0"/>
    <x v="1"/>
    <n v="80000"/>
    <n v="5"/>
    <x v="0"/>
    <s v="Professional"/>
    <x v="0"/>
    <x v="3"/>
    <x v="3"/>
    <x v="1"/>
    <n v="40"/>
    <x v="0"/>
    <x v="0"/>
  </r>
  <r>
    <n v="24119"/>
    <x v="1"/>
    <x v="1"/>
    <n v="30000"/>
    <n v="0"/>
    <x v="1"/>
    <s v="Clerical"/>
    <x v="1"/>
    <x v="1"/>
    <x v="1"/>
    <x v="0"/>
    <n v="29"/>
    <x v="2"/>
    <x v="0"/>
  </r>
  <r>
    <n v="25458"/>
    <x v="0"/>
    <x v="1"/>
    <n v="20000"/>
    <n v="1"/>
    <x v="2"/>
    <s v="Manual"/>
    <x v="1"/>
    <x v="1"/>
    <x v="3"/>
    <x v="0"/>
    <n v="40"/>
    <x v="0"/>
    <x v="1"/>
  </r>
  <r>
    <n v="26886"/>
    <x v="1"/>
    <x v="0"/>
    <n v="30000"/>
    <n v="0"/>
    <x v="1"/>
    <s v="Clerical"/>
    <x v="1"/>
    <x v="1"/>
    <x v="0"/>
    <x v="0"/>
    <n v="29"/>
    <x v="2"/>
    <x v="1"/>
  </r>
  <r>
    <n v="28436"/>
    <x v="1"/>
    <x v="1"/>
    <n v="30000"/>
    <n v="0"/>
    <x v="1"/>
    <s v="Clerical"/>
    <x v="1"/>
    <x v="1"/>
    <x v="0"/>
    <x v="0"/>
    <n v="30"/>
    <x v="2"/>
    <x v="1"/>
  </r>
  <r>
    <n v="19562"/>
    <x v="1"/>
    <x v="0"/>
    <n v="60000"/>
    <n v="2"/>
    <x v="0"/>
    <s v="Professional"/>
    <x v="0"/>
    <x v="1"/>
    <x v="1"/>
    <x v="1"/>
    <n v="37"/>
    <x v="0"/>
    <x v="1"/>
  </r>
  <r>
    <n v="15608"/>
    <x v="1"/>
    <x v="0"/>
    <n v="30000"/>
    <n v="0"/>
    <x v="1"/>
    <s v="Clerical"/>
    <x v="1"/>
    <x v="1"/>
    <x v="1"/>
    <x v="0"/>
    <n v="33"/>
    <x v="0"/>
    <x v="0"/>
  </r>
  <r>
    <n v="16487"/>
    <x v="1"/>
    <x v="0"/>
    <n v="30000"/>
    <n v="3"/>
    <x v="2"/>
    <s v="Skilled Manual"/>
    <x v="0"/>
    <x v="2"/>
    <x v="2"/>
    <x v="1"/>
    <n v="55"/>
    <x v="1"/>
    <x v="0"/>
  </r>
  <r>
    <n v="17197"/>
    <x v="1"/>
    <x v="0"/>
    <n v="90000"/>
    <n v="5"/>
    <x v="1"/>
    <s v="Professional"/>
    <x v="0"/>
    <x v="2"/>
    <x v="4"/>
    <x v="0"/>
    <n v="62"/>
    <x v="1"/>
    <x v="0"/>
  </r>
  <r>
    <n v="12507"/>
    <x v="0"/>
    <x v="1"/>
    <n v="30000"/>
    <n v="1"/>
    <x v="1"/>
    <s v="Clerical"/>
    <x v="0"/>
    <x v="1"/>
    <x v="0"/>
    <x v="0"/>
    <n v="43"/>
    <x v="0"/>
    <x v="0"/>
  </r>
  <r>
    <n v="23940"/>
    <x v="0"/>
    <x v="1"/>
    <n v="40000"/>
    <n v="1"/>
    <x v="0"/>
    <s v="Skilled Manual"/>
    <x v="0"/>
    <x v="1"/>
    <x v="0"/>
    <x v="0"/>
    <n v="44"/>
    <x v="0"/>
    <x v="1"/>
  </r>
  <r>
    <n v="19441"/>
    <x v="0"/>
    <x v="1"/>
    <n v="40000"/>
    <n v="0"/>
    <x v="4"/>
    <s v="Clerical"/>
    <x v="0"/>
    <x v="0"/>
    <x v="0"/>
    <x v="0"/>
    <n v="25"/>
    <x v="2"/>
    <x v="1"/>
  </r>
  <r>
    <n v="26852"/>
    <x v="0"/>
    <x v="0"/>
    <n v="20000"/>
    <n v="3"/>
    <x v="2"/>
    <s v="Manual"/>
    <x v="0"/>
    <x v="2"/>
    <x v="0"/>
    <x v="0"/>
    <n v="43"/>
    <x v="0"/>
    <x v="0"/>
  </r>
  <r>
    <n v="12274"/>
    <x v="1"/>
    <x v="1"/>
    <n v="10000"/>
    <n v="2"/>
    <x v="2"/>
    <s v="Manual"/>
    <x v="0"/>
    <x v="0"/>
    <x v="0"/>
    <x v="0"/>
    <n v="35"/>
    <x v="0"/>
    <x v="0"/>
  </r>
  <r>
    <n v="20236"/>
    <x v="1"/>
    <x v="1"/>
    <n v="60000"/>
    <n v="3"/>
    <x v="0"/>
    <s v="Professional"/>
    <x v="1"/>
    <x v="2"/>
    <x v="0"/>
    <x v="1"/>
    <n v="43"/>
    <x v="0"/>
    <x v="1"/>
  </r>
  <r>
    <n v="24149"/>
    <x v="0"/>
    <x v="1"/>
    <n v="10000"/>
    <n v="2"/>
    <x v="1"/>
    <s v="Manual"/>
    <x v="0"/>
    <x v="0"/>
    <x v="3"/>
    <x v="0"/>
    <n v="49"/>
    <x v="0"/>
    <x v="0"/>
  </r>
  <r>
    <n v="26139"/>
    <x v="1"/>
    <x v="1"/>
    <n v="60000"/>
    <n v="1"/>
    <x v="1"/>
    <s v="Skilled Manual"/>
    <x v="0"/>
    <x v="1"/>
    <x v="2"/>
    <x v="1"/>
    <n v="45"/>
    <x v="0"/>
    <x v="0"/>
  </r>
  <r>
    <n v="18491"/>
    <x v="1"/>
    <x v="0"/>
    <n v="70000"/>
    <n v="2"/>
    <x v="2"/>
    <s v="Professional"/>
    <x v="0"/>
    <x v="2"/>
    <x v="2"/>
    <x v="1"/>
    <n v="49"/>
    <x v="0"/>
    <x v="1"/>
  </r>
  <r>
    <n v="22707"/>
    <x v="1"/>
    <x v="0"/>
    <n v="30000"/>
    <n v="0"/>
    <x v="1"/>
    <s v="Clerical"/>
    <x v="1"/>
    <x v="1"/>
    <x v="1"/>
    <x v="0"/>
    <n v="30"/>
    <x v="2"/>
    <x v="0"/>
  </r>
  <r>
    <n v="20430"/>
    <x v="0"/>
    <x v="1"/>
    <n v="70000"/>
    <n v="2"/>
    <x v="1"/>
    <s v="Skilled Manual"/>
    <x v="0"/>
    <x v="2"/>
    <x v="2"/>
    <x v="1"/>
    <n v="52"/>
    <x v="0"/>
    <x v="1"/>
  </r>
  <r>
    <n v="27494"/>
    <x v="1"/>
    <x v="0"/>
    <n v="40000"/>
    <n v="2"/>
    <x v="1"/>
    <s v="Skilled Manual"/>
    <x v="1"/>
    <x v="2"/>
    <x v="3"/>
    <x v="1"/>
    <n v="53"/>
    <x v="0"/>
    <x v="1"/>
  </r>
  <r>
    <n v="26829"/>
    <x v="0"/>
    <x v="0"/>
    <n v="40000"/>
    <n v="0"/>
    <x v="0"/>
    <s v="Clerical"/>
    <x v="0"/>
    <x v="0"/>
    <x v="0"/>
    <x v="0"/>
    <n v="38"/>
    <x v="0"/>
    <x v="1"/>
  </r>
  <r>
    <n v="28395"/>
    <x v="1"/>
    <x v="1"/>
    <n v="40000"/>
    <n v="0"/>
    <x v="0"/>
    <s v="Professional"/>
    <x v="1"/>
    <x v="0"/>
    <x v="0"/>
    <x v="0"/>
    <n v="39"/>
    <x v="0"/>
    <x v="1"/>
  </r>
  <r>
    <n v="21006"/>
    <x v="1"/>
    <x v="0"/>
    <n v="30000"/>
    <n v="1"/>
    <x v="1"/>
    <s v="Manual"/>
    <x v="1"/>
    <x v="0"/>
    <x v="0"/>
    <x v="0"/>
    <n v="46"/>
    <x v="0"/>
    <x v="1"/>
  </r>
  <r>
    <n v="14682"/>
    <x v="1"/>
    <x v="0"/>
    <n v="70000"/>
    <n v="0"/>
    <x v="0"/>
    <s v="Professional"/>
    <x v="1"/>
    <x v="1"/>
    <x v="2"/>
    <x v="1"/>
    <n v="38"/>
    <x v="0"/>
    <x v="0"/>
  </r>
  <r>
    <n v="17650"/>
    <x v="1"/>
    <x v="0"/>
    <n v="40000"/>
    <n v="2"/>
    <x v="1"/>
    <s v="Clerical"/>
    <x v="0"/>
    <x v="2"/>
    <x v="3"/>
    <x v="0"/>
    <n v="35"/>
    <x v="0"/>
    <x v="0"/>
  </r>
  <r>
    <n v="29191"/>
    <x v="1"/>
    <x v="0"/>
    <n v="130000"/>
    <n v="1"/>
    <x v="4"/>
    <s v="Management"/>
    <x v="1"/>
    <x v="1"/>
    <x v="0"/>
    <x v="1"/>
    <n v="36"/>
    <x v="0"/>
    <x v="1"/>
  </r>
  <r>
    <n v="15030"/>
    <x v="0"/>
    <x v="1"/>
    <n v="20000"/>
    <n v="0"/>
    <x v="0"/>
    <s v="Clerical"/>
    <x v="0"/>
    <x v="0"/>
    <x v="0"/>
    <x v="1"/>
    <n v="26"/>
    <x v="2"/>
    <x v="1"/>
  </r>
  <r>
    <n v="24140"/>
    <x v="1"/>
    <x v="1"/>
    <n v="10000"/>
    <n v="0"/>
    <x v="4"/>
    <s v="Manual"/>
    <x v="1"/>
    <x v="0"/>
    <x v="0"/>
    <x v="0"/>
    <n v="30"/>
    <x v="2"/>
    <x v="1"/>
  </r>
  <r>
    <n v="22496"/>
    <x v="0"/>
    <x v="0"/>
    <n v="30000"/>
    <n v="1"/>
    <x v="0"/>
    <s v="Skilled Manual"/>
    <x v="0"/>
    <x v="2"/>
    <x v="0"/>
    <x v="0"/>
    <n v="42"/>
    <x v="0"/>
    <x v="0"/>
  </r>
  <r>
    <n v="24065"/>
    <x v="1"/>
    <x v="0"/>
    <n v="20000"/>
    <n v="0"/>
    <x v="2"/>
    <s v="Manual"/>
    <x v="0"/>
    <x v="0"/>
    <x v="0"/>
    <x v="0"/>
    <n v="40"/>
    <x v="0"/>
    <x v="1"/>
  </r>
  <r>
    <n v="19914"/>
    <x v="0"/>
    <x v="1"/>
    <n v="80000"/>
    <n v="5"/>
    <x v="0"/>
    <s v="Management"/>
    <x v="0"/>
    <x v="2"/>
    <x v="1"/>
    <x v="0"/>
    <n v="62"/>
    <x v="1"/>
    <x v="0"/>
  </r>
  <r>
    <n v="12871"/>
    <x v="1"/>
    <x v="0"/>
    <n v="30000"/>
    <n v="0"/>
    <x v="1"/>
    <s v="Clerical"/>
    <x v="1"/>
    <x v="1"/>
    <x v="1"/>
    <x v="0"/>
    <n v="29"/>
    <x v="2"/>
    <x v="0"/>
  </r>
  <r>
    <n v="22988"/>
    <x v="0"/>
    <x v="0"/>
    <n v="40000"/>
    <n v="2"/>
    <x v="0"/>
    <s v="Management"/>
    <x v="0"/>
    <x v="2"/>
    <x v="2"/>
    <x v="1"/>
    <n v="66"/>
    <x v="1"/>
    <x v="1"/>
  </r>
  <r>
    <n v="15922"/>
    <x v="0"/>
    <x v="1"/>
    <n v="150000"/>
    <n v="2"/>
    <x v="2"/>
    <s v="Professional"/>
    <x v="0"/>
    <x v="3"/>
    <x v="0"/>
    <x v="0"/>
    <n v="48"/>
    <x v="0"/>
    <x v="0"/>
  </r>
  <r>
    <n v="12344"/>
    <x v="1"/>
    <x v="0"/>
    <n v="80000"/>
    <n v="0"/>
    <x v="0"/>
    <s v="Professional"/>
    <x v="1"/>
    <x v="4"/>
    <x v="4"/>
    <x v="1"/>
    <n v="31"/>
    <x v="0"/>
    <x v="0"/>
  </r>
  <r>
    <n v="23627"/>
    <x v="1"/>
    <x v="0"/>
    <n v="100000"/>
    <n v="3"/>
    <x v="1"/>
    <s v="Management"/>
    <x v="1"/>
    <x v="3"/>
    <x v="2"/>
    <x v="0"/>
    <n v="56"/>
    <x v="1"/>
    <x v="0"/>
  </r>
  <r>
    <n v="27775"/>
    <x v="1"/>
    <x v="0"/>
    <n v="40000"/>
    <n v="0"/>
    <x v="0"/>
    <s v="Clerical"/>
    <x v="1"/>
    <x v="0"/>
    <x v="0"/>
    <x v="0"/>
    <n v="38"/>
    <x v="0"/>
    <x v="1"/>
  </r>
  <r>
    <n v="29301"/>
    <x v="0"/>
    <x v="1"/>
    <n v="80000"/>
    <n v="5"/>
    <x v="0"/>
    <s v="Professional"/>
    <x v="0"/>
    <x v="3"/>
    <x v="3"/>
    <x v="1"/>
    <n v="40"/>
    <x v="0"/>
    <x v="0"/>
  </r>
  <r>
    <n v="12716"/>
    <x v="1"/>
    <x v="1"/>
    <n v="30000"/>
    <n v="0"/>
    <x v="1"/>
    <s v="Clerical"/>
    <x v="0"/>
    <x v="1"/>
    <x v="1"/>
    <x v="0"/>
    <n v="32"/>
    <x v="0"/>
    <x v="0"/>
  </r>
  <r>
    <n v="12472"/>
    <x v="0"/>
    <x v="1"/>
    <n v="30000"/>
    <n v="1"/>
    <x v="0"/>
    <s v="Clerical"/>
    <x v="0"/>
    <x v="1"/>
    <x v="1"/>
    <x v="0"/>
    <n v="39"/>
    <x v="0"/>
    <x v="0"/>
  </r>
  <r>
    <n v="20970"/>
    <x v="1"/>
    <x v="1"/>
    <n v="10000"/>
    <n v="2"/>
    <x v="1"/>
    <s v="Manual"/>
    <x v="0"/>
    <x v="1"/>
    <x v="0"/>
    <x v="0"/>
    <n v="52"/>
    <x v="0"/>
    <x v="1"/>
  </r>
  <r>
    <n v="26818"/>
    <x v="1"/>
    <x v="1"/>
    <n v="10000"/>
    <n v="3"/>
    <x v="2"/>
    <s v="Manual"/>
    <x v="0"/>
    <x v="1"/>
    <x v="0"/>
    <x v="0"/>
    <n v="39"/>
    <x v="0"/>
    <x v="1"/>
  </r>
  <r>
    <n v="12993"/>
    <x v="0"/>
    <x v="1"/>
    <n v="60000"/>
    <n v="2"/>
    <x v="0"/>
    <s v="Professional"/>
    <x v="0"/>
    <x v="1"/>
    <x v="1"/>
    <x v="1"/>
    <n v="37"/>
    <x v="0"/>
    <x v="0"/>
  </r>
  <r>
    <n v="14192"/>
    <x v="0"/>
    <x v="1"/>
    <n v="90000"/>
    <n v="4"/>
    <x v="2"/>
    <s v="Management"/>
    <x v="0"/>
    <x v="4"/>
    <x v="2"/>
    <x v="0"/>
    <n v="56"/>
    <x v="1"/>
    <x v="1"/>
  </r>
  <r>
    <n v="19477"/>
    <x v="0"/>
    <x v="1"/>
    <n v="40000"/>
    <n v="0"/>
    <x v="0"/>
    <s v="Professional"/>
    <x v="0"/>
    <x v="0"/>
    <x v="0"/>
    <x v="0"/>
    <n v="40"/>
    <x v="0"/>
    <x v="1"/>
  </r>
  <r>
    <n v="26796"/>
    <x v="1"/>
    <x v="1"/>
    <n v="40000"/>
    <n v="2"/>
    <x v="0"/>
    <s v="Management"/>
    <x v="0"/>
    <x v="2"/>
    <x v="2"/>
    <x v="1"/>
    <n v="65"/>
    <x v="1"/>
    <x v="1"/>
  </r>
  <r>
    <n v="21094"/>
    <x v="1"/>
    <x v="0"/>
    <n v="30000"/>
    <n v="2"/>
    <x v="1"/>
    <s v="Clerical"/>
    <x v="0"/>
    <x v="2"/>
    <x v="0"/>
    <x v="0"/>
    <n v="42"/>
    <x v="0"/>
    <x v="0"/>
  </r>
  <r>
    <n v="12234"/>
    <x v="0"/>
    <x v="1"/>
    <n v="10000"/>
    <n v="2"/>
    <x v="1"/>
    <s v="Manual"/>
    <x v="0"/>
    <x v="1"/>
    <x v="1"/>
    <x v="0"/>
    <n v="52"/>
    <x v="0"/>
    <x v="0"/>
  </r>
  <r>
    <n v="28683"/>
    <x v="1"/>
    <x v="0"/>
    <n v="10000"/>
    <n v="1"/>
    <x v="2"/>
    <s v="Manual"/>
    <x v="1"/>
    <x v="1"/>
    <x v="2"/>
    <x v="0"/>
    <n v="35"/>
    <x v="0"/>
    <x v="1"/>
  </r>
  <r>
    <n v="17994"/>
    <x v="1"/>
    <x v="1"/>
    <n v="20000"/>
    <n v="2"/>
    <x v="2"/>
    <s v="Manual"/>
    <x v="0"/>
    <x v="2"/>
    <x v="0"/>
    <x v="0"/>
    <n v="42"/>
    <x v="0"/>
    <x v="0"/>
  </r>
  <r>
    <n v="24273"/>
    <x v="0"/>
    <x v="0"/>
    <n v="20000"/>
    <n v="2"/>
    <x v="3"/>
    <s v="Clerical"/>
    <x v="0"/>
    <x v="2"/>
    <x v="2"/>
    <x v="1"/>
    <n v="55"/>
    <x v="1"/>
    <x v="1"/>
  </r>
  <r>
    <n v="26547"/>
    <x v="1"/>
    <x v="0"/>
    <n v="30000"/>
    <n v="2"/>
    <x v="1"/>
    <s v="Clerical"/>
    <x v="1"/>
    <x v="2"/>
    <x v="2"/>
    <x v="1"/>
    <n v="60"/>
    <x v="1"/>
    <x v="1"/>
  </r>
  <r>
    <n v="22500"/>
    <x v="1"/>
    <x v="1"/>
    <n v="40000"/>
    <n v="0"/>
    <x v="0"/>
    <s v="Professional"/>
    <x v="1"/>
    <x v="0"/>
    <x v="0"/>
    <x v="0"/>
    <n v="40"/>
    <x v="0"/>
    <x v="1"/>
  </r>
  <r>
    <n v="23993"/>
    <x v="1"/>
    <x v="0"/>
    <n v="10000"/>
    <n v="0"/>
    <x v="1"/>
    <s v="Manual"/>
    <x v="1"/>
    <x v="1"/>
    <x v="0"/>
    <x v="1"/>
    <n v="26"/>
    <x v="2"/>
    <x v="1"/>
  </r>
  <r>
    <n v="14832"/>
    <x v="0"/>
    <x v="1"/>
    <n v="40000"/>
    <n v="1"/>
    <x v="0"/>
    <s v="Skilled Manual"/>
    <x v="0"/>
    <x v="0"/>
    <x v="0"/>
    <x v="0"/>
    <n v="42"/>
    <x v="0"/>
    <x v="1"/>
  </r>
  <r>
    <n v="16614"/>
    <x v="0"/>
    <x v="0"/>
    <n v="80000"/>
    <n v="0"/>
    <x v="0"/>
    <s v="Professional"/>
    <x v="0"/>
    <x v="4"/>
    <x v="4"/>
    <x v="1"/>
    <n v="32"/>
    <x v="0"/>
    <x v="0"/>
  </r>
  <r>
    <n v="20877"/>
    <x v="1"/>
    <x v="1"/>
    <n v="30000"/>
    <n v="1"/>
    <x v="0"/>
    <s v="Clerical"/>
    <x v="0"/>
    <x v="0"/>
    <x v="3"/>
    <x v="0"/>
    <n v="37"/>
    <x v="0"/>
    <x v="1"/>
  </r>
  <r>
    <n v="20729"/>
    <x v="0"/>
    <x v="0"/>
    <n v="40000"/>
    <n v="2"/>
    <x v="1"/>
    <s v="Clerical"/>
    <x v="1"/>
    <x v="1"/>
    <x v="0"/>
    <x v="0"/>
    <n v="34"/>
    <x v="0"/>
    <x v="0"/>
  </r>
  <r>
    <n v="22464"/>
    <x v="0"/>
    <x v="1"/>
    <n v="40000"/>
    <n v="0"/>
    <x v="4"/>
    <s v="Clerical"/>
    <x v="0"/>
    <x v="0"/>
    <x v="0"/>
    <x v="0"/>
    <n v="37"/>
    <x v="0"/>
    <x v="1"/>
  </r>
  <r>
    <n v="19475"/>
    <x v="0"/>
    <x v="0"/>
    <n v="40000"/>
    <n v="0"/>
    <x v="0"/>
    <s v="Professional"/>
    <x v="1"/>
    <x v="0"/>
    <x v="0"/>
    <x v="0"/>
    <n v="40"/>
    <x v="0"/>
    <x v="1"/>
  </r>
  <r>
    <n v="19675"/>
    <x v="0"/>
    <x v="1"/>
    <n v="20000"/>
    <n v="4"/>
    <x v="2"/>
    <s v="Skilled Manual"/>
    <x v="0"/>
    <x v="2"/>
    <x v="2"/>
    <x v="1"/>
    <n v="60"/>
    <x v="1"/>
    <x v="0"/>
  </r>
  <r>
    <n v="12728"/>
    <x v="1"/>
    <x v="1"/>
    <n v="30000"/>
    <n v="0"/>
    <x v="1"/>
    <s v="Clerical"/>
    <x v="1"/>
    <x v="1"/>
    <x v="3"/>
    <x v="0"/>
    <n v="27"/>
    <x v="2"/>
    <x v="0"/>
  </r>
  <r>
    <n v="26154"/>
    <x v="0"/>
    <x v="1"/>
    <n v="60000"/>
    <n v="1"/>
    <x v="1"/>
    <s v="Skilled Manual"/>
    <x v="0"/>
    <x v="1"/>
    <x v="2"/>
    <x v="1"/>
    <n v="43"/>
    <x v="0"/>
    <x v="1"/>
  </r>
  <r>
    <n v="29117"/>
    <x v="1"/>
    <x v="1"/>
    <n v="100000"/>
    <n v="1"/>
    <x v="0"/>
    <s v="Management"/>
    <x v="1"/>
    <x v="4"/>
    <x v="0"/>
    <x v="1"/>
    <n v="48"/>
    <x v="0"/>
    <x v="0"/>
  </r>
  <r>
    <n v="17845"/>
    <x v="1"/>
    <x v="0"/>
    <n v="20000"/>
    <n v="0"/>
    <x v="3"/>
    <s v="Manual"/>
    <x v="1"/>
    <x v="2"/>
    <x v="3"/>
    <x v="0"/>
    <n v="32"/>
    <x v="0"/>
    <x v="0"/>
  </r>
  <r>
    <n v="25058"/>
    <x v="0"/>
    <x v="1"/>
    <n v="100000"/>
    <n v="1"/>
    <x v="0"/>
    <s v="Management"/>
    <x v="0"/>
    <x v="4"/>
    <x v="1"/>
    <x v="1"/>
    <n v="47"/>
    <x v="0"/>
    <x v="0"/>
  </r>
  <r>
    <n v="23426"/>
    <x v="1"/>
    <x v="1"/>
    <n v="80000"/>
    <n v="5"/>
    <x v="4"/>
    <s v="Management"/>
    <x v="0"/>
    <x v="4"/>
    <x v="0"/>
    <x v="1"/>
    <n v="40"/>
    <x v="0"/>
    <x v="0"/>
  </r>
  <r>
    <n v="14798"/>
    <x v="1"/>
    <x v="0"/>
    <n v="10000"/>
    <n v="4"/>
    <x v="3"/>
    <s v="Manual"/>
    <x v="0"/>
    <x v="2"/>
    <x v="0"/>
    <x v="0"/>
    <n v="41"/>
    <x v="0"/>
    <x v="1"/>
  </r>
  <r>
    <n v="12664"/>
    <x v="0"/>
    <x v="0"/>
    <n v="130000"/>
    <n v="5"/>
    <x v="1"/>
    <s v="Professional"/>
    <x v="0"/>
    <x v="3"/>
    <x v="0"/>
    <x v="0"/>
    <n v="59"/>
    <x v="1"/>
    <x v="0"/>
  </r>
  <r>
    <n v="23979"/>
    <x v="1"/>
    <x v="1"/>
    <n v="10000"/>
    <n v="2"/>
    <x v="1"/>
    <s v="Manual"/>
    <x v="1"/>
    <x v="0"/>
    <x v="0"/>
    <x v="0"/>
    <n v="50"/>
    <x v="0"/>
    <x v="0"/>
  </r>
  <r>
    <n v="25605"/>
    <x v="1"/>
    <x v="0"/>
    <n v="20000"/>
    <n v="2"/>
    <x v="1"/>
    <s v="Manual"/>
    <x v="1"/>
    <x v="1"/>
    <x v="0"/>
    <x v="0"/>
    <n v="54"/>
    <x v="0"/>
    <x v="1"/>
  </r>
  <r>
    <n v="20797"/>
    <x v="0"/>
    <x v="0"/>
    <n v="10000"/>
    <n v="1"/>
    <x v="0"/>
    <s v="Manual"/>
    <x v="0"/>
    <x v="0"/>
    <x v="0"/>
    <x v="0"/>
    <n v="48"/>
    <x v="0"/>
    <x v="0"/>
  </r>
  <r>
    <n v="21980"/>
    <x v="1"/>
    <x v="0"/>
    <n v="60000"/>
    <n v="1"/>
    <x v="0"/>
    <s v="Professional"/>
    <x v="0"/>
    <x v="1"/>
    <x v="2"/>
    <x v="1"/>
    <n v="44"/>
    <x v="0"/>
    <x v="1"/>
  </r>
  <r>
    <n v="25460"/>
    <x v="0"/>
    <x v="0"/>
    <n v="20000"/>
    <n v="2"/>
    <x v="2"/>
    <s v="Manual"/>
    <x v="0"/>
    <x v="0"/>
    <x v="0"/>
    <x v="0"/>
    <n v="40"/>
    <x v="0"/>
    <x v="1"/>
  </r>
  <r>
    <n v="29181"/>
    <x v="1"/>
    <x v="0"/>
    <n v="60000"/>
    <n v="2"/>
    <x v="0"/>
    <s v="Professional"/>
    <x v="1"/>
    <x v="1"/>
    <x v="0"/>
    <x v="1"/>
    <n v="38"/>
    <x v="0"/>
    <x v="1"/>
  </r>
  <r>
    <n v="24279"/>
    <x v="1"/>
    <x v="1"/>
    <n v="40000"/>
    <n v="2"/>
    <x v="1"/>
    <s v="Skilled Manual"/>
    <x v="1"/>
    <x v="2"/>
    <x v="3"/>
    <x v="1"/>
    <n v="52"/>
    <x v="0"/>
    <x v="0"/>
  </r>
  <r>
    <n v="22402"/>
    <x v="0"/>
    <x v="1"/>
    <n v="10000"/>
    <n v="0"/>
    <x v="1"/>
    <s v="Manual"/>
    <x v="0"/>
    <x v="1"/>
    <x v="1"/>
    <x v="1"/>
    <n v="25"/>
    <x v="2"/>
    <x v="1"/>
  </r>
  <r>
    <n v="15465"/>
    <x v="0"/>
    <x v="0"/>
    <n v="10000"/>
    <n v="0"/>
    <x v="1"/>
    <s v="Manual"/>
    <x v="1"/>
    <x v="1"/>
    <x v="0"/>
    <x v="1"/>
    <n v="25"/>
    <x v="2"/>
    <x v="0"/>
  </r>
  <r>
    <n v="26757"/>
    <x v="1"/>
    <x v="1"/>
    <n v="90000"/>
    <n v="1"/>
    <x v="0"/>
    <s v="Professional"/>
    <x v="0"/>
    <x v="1"/>
    <x v="1"/>
    <x v="1"/>
    <n v="47"/>
    <x v="0"/>
    <x v="1"/>
  </r>
  <r>
    <n v="14233"/>
    <x v="1"/>
    <x v="1"/>
    <n v="100000"/>
    <n v="0"/>
    <x v="2"/>
    <s v="Management"/>
    <x v="0"/>
    <x v="4"/>
    <x v="4"/>
    <x v="1"/>
    <n v="35"/>
    <x v="0"/>
    <x v="0"/>
  </r>
  <r>
    <n v="14058"/>
    <x v="1"/>
    <x v="1"/>
    <n v="70000"/>
    <n v="0"/>
    <x v="0"/>
    <s v="Professional"/>
    <x v="1"/>
    <x v="1"/>
    <x v="2"/>
    <x v="1"/>
    <n v="41"/>
    <x v="0"/>
    <x v="1"/>
  </r>
  <r>
    <n v="12273"/>
    <x v="0"/>
    <x v="1"/>
    <n v="30000"/>
    <n v="1"/>
    <x v="0"/>
    <s v="Clerical"/>
    <x v="0"/>
    <x v="0"/>
    <x v="0"/>
    <x v="0"/>
    <n v="47"/>
    <x v="0"/>
    <x v="0"/>
  </r>
  <r>
    <n v="17203"/>
    <x v="0"/>
    <x v="0"/>
    <n v="130000"/>
    <n v="4"/>
    <x v="1"/>
    <s v="Professional"/>
    <x v="0"/>
    <x v="3"/>
    <x v="2"/>
    <x v="0"/>
    <n v="61"/>
    <x v="1"/>
    <x v="1"/>
  </r>
  <r>
    <n v="18144"/>
    <x v="0"/>
    <x v="0"/>
    <n v="80000"/>
    <n v="5"/>
    <x v="0"/>
    <s v="Management"/>
    <x v="0"/>
    <x v="2"/>
    <x v="1"/>
    <x v="0"/>
    <n v="61"/>
    <x v="1"/>
    <x v="0"/>
  </r>
  <r>
    <n v="23963"/>
    <x v="0"/>
    <x v="1"/>
    <n v="10000"/>
    <n v="0"/>
    <x v="3"/>
    <s v="Manual"/>
    <x v="1"/>
    <x v="2"/>
    <x v="0"/>
    <x v="0"/>
    <n v="33"/>
    <x v="0"/>
    <x v="0"/>
  </r>
  <r>
    <n v="17907"/>
    <x v="0"/>
    <x v="0"/>
    <n v="10000"/>
    <n v="0"/>
    <x v="1"/>
    <s v="Manual"/>
    <x v="0"/>
    <x v="1"/>
    <x v="1"/>
    <x v="1"/>
    <n v="27"/>
    <x v="2"/>
    <x v="0"/>
  </r>
  <r>
    <n v="19442"/>
    <x v="1"/>
    <x v="1"/>
    <n v="50000"/>
    <n v="0"/>
    <x v="4"/>
    <s v="Skilled Manual"/>
    <x v="0"/>
    <x v="0"/>
    <x v="0"/>
    <x v="0"/>
    <n v="37"/>
    <x v="0"/>
    <x v="1"/>
  </r>
  <r>
    <n v="17504"/>
    <x v="1"/>
    <x v="0"/>
    <n v="80000"/>
    <n v="2"/>
    <x v="1"/>
    <s v="Skilled Manual"/>
    <x v="0"/>
    <x v="2"/>
    <x v="2"/>
    <x v="1"/>
    <n v="52"/>
    <x v="0"/>
    <x v="1"/>
  </r>
  <r>
    <n v="12253"/>
    <x v="1"/>
    <x v="0"/>
    <n v="20000"/>
    <n v="0"/>
    <x v="1"/>
    <s v="Manual"/>
    <x v="0"/>
    <x v="0"/>
    <x v="0"/>
    <x v="1"/>
    <n v="29"/>
    <x v="2"/>
    <x v="1"/>
  </r>
  <r>
    <n v="27304"/>
    <x v="1"/>
    <x v="0"/>
    <n v="110000"/>
    <n v="2"/>
    <x v="1"/>
    <s v="Professional"/>
    <x v="1"/>
    <x v="4"/>
    <x v="2"/>
    <x v="0"/>
    <n v="48"/>
    <x v="0"/>
    <x v="0"/>
  </r>
  <r>
    <n v="14191"/>
    <x v="0"/>
    <x v="1"/>
    <n v="160000"/>
    <n v="4"/>
    <x v="1"/>
    <s v="Professional"/>
    <x v="1"/>
    <x v="2"/>
    <x v="4"/>
    <x v="0"/>
    <n v="55"/>
    <x v="1"/>
    <x v="1"/>
  </r>
  <r>
    <n v="12212"/>
    <x v="0"/>
    <x v="0"/>
    <n v="10000"/>
    <n v="0"/>
    <x v="4"/>
    <s v="Manual"/>
    <x v="0"/>
    <x v="0"/>
    <x v="0"/>
    <x v="0"/>
    <n v="37"/>
    <x v="0"/>
    <x v="1"/>
  </r>
  <r>
    <n v="25529"/>
    <x v="1"/>
    <x v="1"/>
    <n v="10000"/>
    <n v="1"/>
    <x v="4"/>
    <s v="Manual"/>
    <x v="0"/>
    <x v="0"/>
    <x v="0"/>
    <x v="0"/>
    <n v="44"/>
    <x v="0"/>
    <x v="0"/>
  </r>
  <r>
    <n v="22170"/>
    <x v="0"/>
    <x v="0"/>
    <n v="30000"/>
    <n v="3"/>
    <x v="1"/>
    <s v="Clerical"/>
    <x v="1"/>
    <x v="2"/>
    <x v="3"/>
    <x v="1"/>
    <n v="55"/>
    <x v="1"/>
    <x v="1"/>
  </r>
  <r>
    <n v="19445"/>
    <x v="0"/>
    <x v="0"/>
    <n v="10000"/>
    <n v="2"/>
    <x v="2"/>
    <s v="Manual"/>
    <x v="1"/>
    <x v="1"/>
    <x v="0"/>
    <x v="0"/>
    <n v="38"/>
    <x v="0"/>
    <x v="0"/>
  </r>
  <r>
    <n v="15265"/>
    <x v="1"/>
    <x v="1"/>
    <n v="40000"/>
    <n v="2"/>
    <x v="0"/>
    <s v="Management"/>
    <x v="0"/>
    <x v="2"/>
    <x v="2"/>
    <x v="1"/>
    <n v="66"/>
    <x v="1"/>
    <x v="1"/>
  </r>
  <r>
    <n v="28918"/>
    <x v="0"/>
    <x v="0"/>
    <n v="130000"/>
    <n v="4"/>
    <x v="2"/>
    <s v="Management"/>
    <x v="1"/>
    <x v="3"/>
    <x v="4"/>
    <x v="0"/>
    <n v="58"/>
    <x v="1"/>
    <x v="0"/>
  </r>
  <r>
    <n v="15799"/>
    <x v="0"/>
    <x v="0"/>
    <n v="90000"/>
    <n v="1"/>
    <x v="0"/>
    <s v="Professional"/>
    <x v="0"/>
    <x v="1"/>
    <x v="1"/>
    <x v="1"/>
    <n v="47"/>
    <x v="0"/>
    <x v="1"/>
  </r>
  <r>
    <n v="11047"/>
    <x v="0"/>
    <x v="0"/>
    <n v="30000"/>
    <n v="3"/>
    <x v="2"/>
    <s v="Skilled Manual"/>
    <x v="1"/>
    <x v="2"/>
    <x v="3"/>
    <x v="1"/>
    <n v="56"/>
    <x v="1"/>
    <x v="1"/>
  </r>
  <r>
    <n v="18151"/>
    <x v="1"/>
    <x v="1"/>
    <n v="80000"/>
    <n v="5"/>
    <x v="1"/>
    <s v="Professional"/>
    <x v="1"/>
    <x v="2"/>
    <x v="4"/>
    <x v="0"/>
    <n v="59"/>
    <x v="1"/>
    <x v="0"/>
  </r>
  <r>
    <n v="20606"/>
    <x v="0"/>
    <x v="0"/>
    <n v="70000"/>
    <n v="0"/>
    <x v="0"/>
    <s v="Professional"/>
    <x v="0"/>
    <x v="3"/>
    <x v="4"/>
    <x v="1"/>
    <n v="32"/>
    <x v="0"/>
    <x v="1"/>
  </r>
  <r>
    <n v="19482"/>
    <x v="0"/>
    <x v="1"/>
    <n v="30000"/>
    <n v="1"/>
    <x v="1"/>
    <s v="Clerical"/>
    <x v="0"/>
    <x v="1"/>
    <x v="0"/>
    <x v="0"/>
    <n v="44"/>
    <x v="0"/>
    <x v="1"/>
  </r>
  <r>
    <n v="16489"/>
    <x v="0"/>
    <x v="1"/>
    <n v="30000"/>
    <n v="3"/>
    <x v="2"/>
    <s v="Skilled Manual"/>
    <x v="0"/>
    <x v="2"/>
    <x v="2"/>
    <x v="1"/>
    <n v="55"/>
    <x v="1"/>
    <x v="0"/>
  </r>
  <r>
    <n v="26944"/>
    <x v="1"/>
    <x v="1"/>
    <n v="90000"/>
    <n v="2"/>
    <x v="2"/>
    <s v="Manual"/>
    <x v="0"/>
    <x v="0"/>
    <x v="0"/>
    <x v="0"/>
    <n v="36"/>
    <x v="0"/>
    <x v="1"/>
  </r>
  <r>
    <n v="15682"/>
    <x v="1"/>
    <x v="0"/>
    <n v="80000"/>
    <n v="5"/>
    <x v="0"/>
    <s v="Management"/>
    <x v="0"/>
    <x v="2"/>
    <x v="4"/>
    <x v="0"/>
    <n v="62"/>
    <x v="1"/>
    <x v="0"/>
  </r>
  <r>
    <n v="26032"/>
    <x v="0"/>
    <x v="0"/>
    <n v="70000"/>
    <n v="5"/>
    <x v="0"/>
    <s v="Professional"/>
    <x v="0"/>
    <x v="3"/>
    <x v="4"/>
    <x v="1"/>
    <n v="41"/>
    <x v="0"/>
    <x v="0"/>
  </r>
  <r>
    <n v="17843"/>
    <x v="1"/>
    <x v="0"/>
    <n v="10000"/>
    <n v="0"/>
    <x v="3"/>
    <s v="Manual"/>
    <x v="1"/>
    <x v="2"/>
    <x v="0"/>
    <x v="0"/>
    <n v="32"/>
    <x v="0"/>
    <x v="0"/>
  </r>
  <r>
    <n v="25559"/>
    <x v="1"/>
    <x v="1"/>
    <n v="20000"/>
    <n v="0"/>
    <x v="0"/>
    <s v="Clerical"/>
    <x v="0"/>
    <x v="0"/>
    <x v="0"/>
    <x v="1"/>
    <n v="25"/>
    <x v="2"/>
    <x v="1"/>
  </r>
  <r>
    <n v="16209"/>
    <x v="1"/>
    <x v="0"/>
    <n v="50000"/>
    <n v="0"/>
    <x v="4"/>
    <s v="Skilled Manual"/>
    <x v="0"/>
    <x v="0"/>
    <x v="3"/>
    <x v="0"/>
    <n v="36"/>
    <x v="0"/>
    <x v="0"/>
  </r>
  <r>
    <n v="11147"/>
    <x v="0"/>
    <x v="1"/>
    <n v="60000"/>
    <n v="2"/>
    <x v="4"/>
    <s v="Management"/>
    <x v="0"/>
    <x v="1"/>
    <x v="0"/>
    <x v="1"/>
    <n v="67"/>
    <x v="1"/>
    <x v="1"/>
  </r>
  <r>
    <n v="15214"/>
    <x v="1"/>
    <x v="0"/>
    <n v="100000"/>
    <n v="0"/>
    <x v="4"/>
    <s v="Management"/>
    <x v="1"/>
    <x v="1"/>
    <x v="3"/>
    <x v="1"/>
    <n v="39"/>
    <x v="0"/>
    <x v="1"/>
  </r>
  <r>
    <n v="11453"/>
    <x v="1"/>
    <x v="1"/>
    <n v="80000"/>
    <n v="0"/>
    <x v="0"/>
    <s v="Professional"/>
    <x v="1"/>
    <x v="4"/>
    <x v="4"/>
    <x v="1"/>
    <n v="33"/>
    <x v="0"/>
    <x v="1"/>
  </r>
  <r>
    <n v="24584"/>
    <x v="1"/>
    <x v="1"/>
    <n v="60000"/>
    <n v="0"/>
    <x v="0"/>
    <s v="Professional"/>
    <x v="1"/>
    <x v="4"/>
    <x v="1"/>
    <x v="1"/>
    <n v="31"/>
    <x v="0"/>
    <x v="0"/>
  </r>
  <r>
    <n v="12585"/>
    <x v="0"/>
    <x v="1"/>
    <n v="10000"/>
    <n v="1"/>
    <x v="2"/>
    <s v="Manual"/>
    <x v="0"/>
    <x v="0"/>
    <x v="1"/>
    <x v="1"/>
    <n v="27"/>
    <x v="2"/>
    <x v="1"/>
  </r>
  <r>
    <n v="18626"/>
    <x v="1"/>
    <x v="1"/>
    <n v="40000"/>
    <n v="2"/>
    <x v="1"/>
    <s v="Clerical"/>
    <x v="0"/>
    <x v="0"/>
    <x v="3"/>
    <x v="0"/>
    <n v="33"/>
    <x v="0"/>
    <x v="1"/>
  </r>
  <r>
    <n v="29298"/>
    <x v="1"/>
    <x v="0"/>
    <n v="60000"/>
    <n v="1"/>
    <x v="1"/>
    <s v="Skilled Manual"/>
    <x v="0"/>
    <x v="1"/>
    <x v="2"/>
    <x v="1"/>
    <n v="46"/>
    <x v="0"/>
    <x v="1"/>
  </r>
  <r>
    <n v="24842"/>
    <x v="1"/>
    <x v="0"/>
    <n v="90000"/>
    <n v="3"/>
    <x v="2"/>
    <s v="Professional"/>
    <x v="1"/>
    <x v="1"/>
    <x v="1"/>
    <x v="0"/>
    <n v="51"/>
    <x v="0"/>
    <x v="0"/>
  </r>
  <r>
    <n v="15657"/>
    <x v="0"/>
    <x v="1"/>
    <n v="30000"/>
    <n v="3"/>
    <x v="4"/>
    <s v="Clerical"/>
    <x v="0"/>
    <x v="0"/>
    <x v="0"/>
    <x v="0"/>
    <n v="46"/>
    <x v="0"/>
    <x v="1"/>
  </r>
  <r>
    <n v="11415"/>
    <x v="1"/>
    <x v="1"/>
    <n v="90000"/>
    <n v="5"/>
    <x v="1"/>
    <s v="Professional"/>
    <x v="1"/>
    <x v="2"/>
    <x v="4"/>
    <x v="0"/>
    <n v="62"/>
    <x v="1"/>
    <x v="0"/>
  </r>
  <r>
    <n v="28729"/>
    <x v="1"/>
    <x v="0"/>
    <n v="20000"/>
    <n v="0"/>
    <x v="3"/>
    <s v="Manual"/>
    <x v="0"/>
    <x v="2"/>
    <x v="3"/>
    <x v="0"/>
    <n v="26"/>
    <x v="2"/>
    <x v="1"/>
  </r>
  <r>
    <n v="22633"/>
    <x v="1"/>
    <x v="0"/>
    <n v="40000"/>
    <n v="0"/>
    <x v="4"/>
    <s v="Clerical"/>
    <x v="0"/>
    <x v="0"/>
    <x v="0"/>
    <x v="0"/>
    <n v="37"/>
    <x v="0"/>
    <x v="1"/>
  </r>
  <r>
    <n v="25649"/>
    <x v="1"/>
    <x v="0"/>
    <n v="30000"/>
    <n v="3"/>
    <x v="1"/>
    <s v="Clerical"/>
    <x v="0"/>
    <x v="0"/>
    <x v="0"/>
    <x v="0"/>
    <n v="42"/>
    <x v="0"/>
    <x v="1"/>
  </r>
  <r>
    <n v="14669"/>
    <x v="0"/>
    <x v="0"/>
    <n v="80000"/>
    <n v="4"/>
    <x v="4"/>
    <s v="Management"/>
    <x v="0"/>
    <x v="1"/>
    <x v="0"/>
    <x v="1"/>
    <n v="36"/>
    <x v="0"/>
    <x v="0"/>
  </r>
  <r>
    <n v="19299"/>
    <x v="0"/>
    <x v="0"/>
    <n v="50000"/>
    <n v="0"/>
    <x v="4"/>
    <s v="Skilled Manual"/>
    <x v="0"/>
    <x v="0"/>
    <x v="0"/>
    <x v="0"/>
    <n v="36"/>
    <x v="0"/>
    <x v="1"/>
  </r>
  <r>
    <n v="20946"/>
    <x v="1"/>
    <x v="0"/>
    <n v="30000"/>
    <n v="0"/>
    <x v="1"/>
    <s v="Clerical"/>
    <x v="1"/>
    <x v="1"/>
    <x v="1"/>
    <x v="0"/>
    <n v="30"/>
    <x v="2"/>
    <x v="0"/>
  </r>
  <r>
    <n v="11451"/>
    <x v="1"/>
    <x v="1"/>
    <n v="70000"/>
    <n v="0"/>
    <x v="0"/>
    <s v="Professional"/>
    <x v="1"/>
    <x v="3"/>
    <x v="4"/>
    <x v="1"/>
    <n v="31"/>
    <x v="0"/>
    <x v="1"/>
  </r>
  <r>
    <n v="25553"/>
    <x v="0"/>
    <x v="1"/>
    <n v="30000"/>
    <n v="1"/>
    <x v="0"/>
    <s v="Clerical"/>
    <x v="0"/>
    <x v="0"/>
    <x v="0"/>
    <x v="0"/>
    <n v="65"/>
    <x v="1"/>
    <x v="1"/>
  </r>
  <r>
    <n v="27951"/>
    <x v="1"/>
    <x v="1"/>
    <n v="80000"/>
    <n v="4"/>
    <x v="1"/>
    <s v="Professional"/>
    <x v="1"/>
    <x v="2"/>
    <x v="1"/>
    <x v="0"/>
    <n v="54"/>
    <x v="0"/>
    <x v="1"/>
  </r>
  <r>
    <n v="25026"/>
    <x v="0"/>
    <x v="1"/>
    <n v="20000"/>
    <n v="2"/>
    <x v="3"/>
    <s v="Clerical"/>
    <x v="0"/>
    <x v="4"/>
    <x v="2"/>
    <x v="1"/>
    <n v="54"/>
    <x v="0"/>
    <x v="0"/>
  </r>
  <r>
    <n v="13673"/>
    <x v="1"/>
    <x v="0"/>
    <n v="20000"/>
    <n v="0"/>
    <x v="3"/>
    <s v="Manual"/>
    <x v="1"/>
    <x v="2"/>
    <x v="0"/>
    <x v="0"/>
    <n v="25"/>
    <x v="2"/>
    <x v="0"/>
  </r>
  <r>
    <n v="16043"/>
    <x v="1"/>
    <x v="1"/>
    <n v="10000"/>
    <n v="1"/>
    <x v="0"/>
    <s v="Manual"/>
    <x v="0"/>
    <x v="0"/>
    <x v="0"/>
    <x v="0"/>
    <n v="48"/>
    <x v="0"/>
    <x v="0"/>
  </r>
  <r>
    <n v="22399"/>
    <x v="1"/>
    <x v="1"/>
    <n v="10000"/>
    <n v="0"/>
    <x v="1"/>
    <s v="Manual"/>
    <x v="0"/>
    <x v="1"/>
    <x v="3"/>
    <x v="1"/>
    <n v="26"/>
    <x v="2"/>
    <x v="1"/>
  </r>
  <r>
    <n v="27696"/>
    <x v="0"/>
    <x v="1"/>
    <n v="60000"/>
    <n v="1"/>
    <x v="0"/>
    <s v="Professional"/>
    <x v="0"/>
    <x v="1"/>
    <x v="2"/>
    <x v="1"/>
    <n v="43"/>
    <x v="0"/>
    <x v="1"/>
  </r>
  <r>
    <n v="25313"/>
    <x v="1"/>
    <x v="1"/>
    <n v="10000"/>
    <n v="0"/>
    <x v="3"/>
    <s v="Manual"/>
    <x v="1"/>
    <x v="2"/>
    <x v="3"/>
    <x v="0"/>
    <n v="35"/>
    <x v="0"/>
    <x v="0"/>
  </r>
  <r>
    <n v="13813"/>
    <x v="0"/>
    <x v="0"/>
    <n v="30000"/>
    <n v="3"/>
    <x v="1"/>
    <s v="Clerical"/>
    <x v="1"/>
    <x v="0"/>
    <x v="0"/>
    <x v="0"/>
    <n v="42"/>
    <x v="0"/>
    <x v="0"/>
  </r>
  <r>
    <n v="18711"/>
    <x v="1"/>
    <x v="0"/>
    <n v="70000"/>
    <n v="5"/>
    <x v="0"/>
    <s v="Professional"/>
    <x v="0"/>
    <x v="3"/>
    <x v="4"/>
    <x v="1"/>
    <n v="39"/>
    <x v="0"/>
    <x v="0"/>
  </r>
  <r>
    <n v="19650"/>
    <x v="0"/>
    <x v="0"/>
    <n v="30000"/>
    <n v="2"/>
    <x v="1"/>
    <s v="Clerical"/>
    <x v="1"/>
    <x v="2"/>
    <x v="0"/>
    <x v="1"/>
    <n v="67"/>
    <x v="1"/>
    <x v="0"/>
  </r>
  <r>
    <n v="14135"/>
    <x v="0"/>
    <x v="1"/>
    <n v="20000"/>
    <n v="1"/>
    <x v="1"/>
    <s v="Manual"/>
    <x v="0"/>
    <x v="0"/>
    <x v="3"/>
    <x v="0"/>
    <n v="35"/>
    <x v="0"/>
    <x v="0"/>
  </r>
  <r>
    <n v="12833"/>
    <x v="1"/>
    <x v="0"/>
    <n v="20000"/>
    <n v="3"/>
    <x v="2"/>
    <s v="Manual"/>
    <x v="0"/>
    <x v="1"/>
    <x v="0"/>
    <x v="0"/>
    <n v="42"/>
    <x v="0"/>
    <x v="1"/>
  </r>
  <r>
    <n v="26849"/>
    <x v="0"/>
    <x v="1"/>
    <n v="10000"/>
    <n v="3"/>
    <x v="3"/>
    <s v="Manual"/>
    <x v="0"/>
    <x v="2"/>
    <x v="0"/>
    <x v="0"/>
    <n v="43"/>
    <x v="0"/>
    <x v="0"/>
  </r>
  <r>
    <n v="20962"/>
    <x v="0"/>
    <x v="0"/>
    <n v="20000"/>
    <n v="1"/>
    <x v="4"/>
    <s v="Clerical"/>
    <x v="0"/>
    <x v="0"/>
    <x v="0"/>
    <x v="0"/>
    <n v="45"/>
    <x v="0"/>
    <x v="0"/>
  </r>
  <r>
    <n v="28915"/>
    <x v="1"/>
    <x v="1"/>
    <n v="80000"/>
    <n v="5"/>
    <x v="2"/>
    <s v="Management"/>
    <x v="0"/>
    <x v="4"/>
    <x v="4"/>
    <x v="0"/>
    <n v="57"/>
    <x v="1"/>
    <x v="0"/>
  </r>
  <r>
    <n v="22830"/>
    <x v="0"/>
    <x v="1"/>
    <n v="120000"/>
    <n v="4"/>
    <x v="1"/>
    <s v="Management"/>
    <x v="0"/>
    <x v="4"/>
    <x v="4"/>
    <x v="0"/>
    <n v="56"/>
    <x v="1"/>
    <x v="0"/>
  </r>
  <r>
    <n v="14777"/>
    <x v="0"/>
    <x v="0"/>
    <n v="40000"/>
    <n v="0"/>
    <x v="0"/>
    <s v="Clerical"/>
    <x v="0"/>
    <x v="0"/>
    <x v="0"/>
    <x v="0"/>
    <n v="38"/>
    <x v="0"/>
    <x v="1"/>
  </r>
  <r>
    <n v="12591"/>
    <x v="0"/>
    <x v="0"/>
    <n v="30000"/>
    <n v="4"/>
    <x v="4"/>
    <s v="Clerical"/>
    <x v="0"/>
    <x v="0"/>
    <x v="0"/>
    <x v="0"/>
    <n v="45"/>
    <x v="0"/>
    <x v="0"/>
  </r>
  <r>
    <n v="24174"/>
    <x v="0"/>
    <x v="1"/>
    <n v="20000"/>
    <n v="0"/>
    <x v="0"/>
    <s v="Clerical"/>
    <x v="0"/>
    <x v="0"/>
    <x v="0"/>
    <x v="1"/>
    <n v="27"/>
    <x v="2"/>
    <x v="1"/>
  </r>
  <r>
    <n v="24611"/>
    <x v="1"/>
    <x v="1"/>
    <n v="90000"/>
    <n v="0"/>
    <x v="0"/>
    <s v="Professional"/>
    <x v="1"/>
    <x v="3"/>
    <x v="4"/>
    <x v="1"/>
    <n v="35"/>
    <x v="0"/>
    <x v="1"/>
  </r>
  <r>
    <n v="11340"/>
    <x v="0"/>
    <x v="0"/>
    <n v="10000"/>
    <n v="1"/>
    <x v="4"/>
    <s v="Clerical"/>
    <x v="0"/>
    <x v="0"/>
    <x v="0"/>
    <x v="0"/>
    <n v="70"/>
    <x v="1"/>
    <x v="1"/>
  </r>
  <r>
    <n v="25693"/>
    <x v="1"/>
    <x v="0"/>
    <n v="30000"/>
    <n v="5"/>
    <x v="4"/>
    <s v="Clerical"/>
    <x v="0"/>
    <x v="0"/>
    <x v="0"/>
    <x v="0"/>
    <n v="44"/>
    <x v="0"/>
    <x v="1"/>
  </r>
  <r>
    <n v="25555"/>
    <x v="0"/>
    <x v="0"/>
    <n v="10000"/>
    <n v="0"/>
    <x v="1"/>
    <s v="Manual"/>
    <x v="1"/>
    <x v="1"/>
    <x v="0"/>
    <x v="1"/>
    <n v="26"/>
    <x v="2"/>
    <x v="1"/>
  </r>
  <r>
    <n v="22006"/>
    <x v="0"/>
    <x v="1"/>
    <n v="70000"/>
    <n v="5"/>
    <x v="1"/>
    <s v="Skilled Manual"/>
    <x v="0"/>
    <x v="4"/>
    <x v="2"/>
    <x v="1"/>
    <n v="46"/>
    <x v="0"/>
    <x v="0"/>
  </r>
  <r>
    <n v="20060"/>
    <x v="1"/>
    <x v="0"/>
    <n v="30000"/>
    <n v="0"/>
    <x v="2"/>
    <s v="Manual"/>
    <x v="1"/>
    <x v="1"/>
    <x v="1"/>
    <x v="0"/>
    <n v="34"/>
    <x v="0"/>
    <x v="1"/>
  </r>
  <r>
    <n v="17702"/>
    <x v="0"/>
    <x v="1"/>
    <n v="10000"/>
    <n v="1"/>
    <x v="4"/>
    <s v="Manual"/>
    <x v="0"/>
    <x v="0"/>
    <x v="0"/>
    <x v="0"/>
    <n v="37"/>
    <x v="0"/>
    <x v="0"/>
  </r>
  <r>
    <n v="12503"/>
    <x v="1"/>
    <x v="0"/>
    <n v="30000"/>
    <n v="3"/>
    <x v="1"/>
    <s v="Clerical"/>
    <x v="0"/>
    <x v="2"/>
    <x v="0"/>
    <x v="0"/>
    <n v="27"/>
    <x v="2"/>
    <x v="0"/>
  </r>
  <r>
    <n v="23908"/>
    <x v="1"/>
    <x v="1"/>
    <n v="30000"/>
    <n v="1"/>
    <x v="0"/>
    <s v="Clerical"/>
    <x v="1"/>
    <x v="1"/>
    <x v="0"/>
    <x v="0"/>
    <n v="39"/>
    <x v="0"/>
    <x v="1"/>
  </r>
  <r>
    <n v="22527"/>
    <x v="1"/>
    <x v="0"/>
    <n v="20000"/>
    <n v="0"/>
    <x v="2"/>
    <s v="Manual"/>
    <x v="1"/>
    <x v="1"/>
    <x v="1"/>
    <x v="0"/>
    <n v="29"/>
    <x v="2"/>
    <x v="0"/>
  </r>
  <r>
    <n v="19057"/>
    <x v="0"/>
    <x v="0"/>
    <n v="120000"/>
    <n v="3"/>
    <x v="0"/>
    <s v="Management"/>
    <x v="1"/>
    <x v="2"/>
    <x v="4"/>
    <x v="0"/>
    <n v="52"/>
    <x v="0"/>
    <x v="1"/>
  </r>
  <r>
    <n v="18494"/>
    <x v="0"/>
    <x v="1"/>
    <n v="110000"/>
    <n v="5"/>
    <x v="0"/>
    <s v="Management"/>
    <x v="0"/>
    <x v="3"/>
    <x v="1"/>
    <x v="1"/>
    <n v="48"/>
    <x v="0"/>
    <x v="1"/>
  </r>
  <r>
    <n v="11249"/>
    <x v="0"/>
    <x v="0"/>
    <n v="130000"/>
    <n v="3"/>
    <x v="1"/>
    <s v="Professional"/>
    <x v="0"/>
    <x v="4"/>
    <x v="0"/>
    <x v="0"/>
    <n v="51"/>
    <x v="0"/>
    <x v="1"/>
  </r>
  <r>
    <n v="21568"/>
    <x v="0"/>
    <x v="0"/>
    <n v="100000"/>
    <n v="0"/>
    <x v="2"/>
    <s v="Management"/>
    <x v="0"/>
    <x v="3"/>
    <x v="4"/>
    <x v="1"/>
    <n v="34"/>
    <x v="0"/>
    <x v="1"/>
  </r>
  <r>
    <n v="13981"/>
    <x v="0"/>
    <x v="0"/>
    <n v="10000"/>
    <n v="5"/>
    <x v="2"/>
    <s v="Skilled Manual"/>
    <x v="1"/>
    <x v="4"/>
    <x v="3"/>
    <x v="1"/>
    <n v="62"/>
    <x v="1"/>
    <x v="0"/>
  </r>
  <r>
    <n v="23432"/>
    <x v="1"/>
    <x v="1"/>
    <n v="70000"/>
    <n v="0"/>
    <x v="0"/>
    <s v="Professional"/>
    <x v="0"/>
    <x v="1"/>
    <x v="2"/>
    <x v="1"/>
    <n v="37"/>
    <x v="0"/>
    <x v="1"/>
  </r>
  <r>
    <n v="22931"/>
    <x v="0"/>
    <x v="1"/>
    <n v="100000"/>
    <n v="5"/>
    <x v="4"/>
    <s v="Management"/>
    <x v="1"/>
    <x v="1"/>
    <x v="3"/>
    <x v="1"/>
    <n v="78"/>
    <x v="1"/>
    <x v="1"/>
  </r>
  <r>
    <n v="18172"/>
    <x v="0"/>
    <x v="1"/>
    <n v="130000"/>
    <n v="4"/>
    <x v="2"/>
    <s v="Professional"/>
    <x v="0"/>
    <x v="4"/>
    <x v="0"/>
    <x v="0"/>
    <n v="55"/>
    <x v="1"/>
    <x v="0"/>
  </r>
  <r>
    <n v="12666"/>
    <x v="1"/>
    <x v="1"/>
    <n v="60000"/>
    <n v="0"/>
    <x v="0"/>
    <s v="Professional"/>
    <x v="1"/>
    <x v="3"/>
    <x v="1"/>
    <x v="1"/>
    <n v="31"/>
    <x v="0"/>
    <x v="0"/>
  </r>
  <r>
    <n v="20598"/>
    <x v="0"/>
    <x v="1"/>
    <n v="100000"/>
    <n v="3"/>
    <x v="3"/>
    <s v="Professional"/>
    <x v="0"/>
    <x v="0"/>
    <x v="4"/>
    <x v="0"/>
    <n v="59"/>
    <x v="1"/>
    <x v="1"/>
  </r>
  <r>
    <n v="21375"/>
    <x v="1"/>
    <x v="1"/>
    <n v="20000"/>
    <n v="2"/>
    <x v="3"/>
    <s v="Clerical"/>
    <x v="0"/>
    <x v="2"/>
    <x v="2"/>
    <x v="1"/>
    <n v="57"/>
    <x v="1"/>
    <x v="0"/>
  </r>
  <r>
    <n v="20839"/>
    <x v="1"/>
    <x v="0"/>
    <n v="30000"/>
    <n v="3"/>
    <x v="4"/>
    <s v="Clerical"/>
    <x v="0"/>
    <x v="0"/>
    <x v="0"/>
    <x v="0"/>
    <n v="47"/>
    <x v="0"/>
    <x v="1"/>
  </r>
  <r>
    <n v="21738"/>
    <x v="0"/>
    <x v="1"/>
    <n v="20000"/>
    <n v="1"/>
    <x v="4"/>
    <s v="Clerical"/>
    <x v="0"/>
    <x v="0"/>
    <x v="0"/>
    <x v="0"/>
    <n v="43"/>
    <x v="0"/>
    <x v="0"/>
  </r>
  <r>
    <n v="14164"/>
    <x v="1"/>
    <x v="0"/>
    <n v="50000"/>
    <n v="0"/>
    <x v="4"/>
    <s v="Skilled Manual"/>
    <x v="0"/>
    <x v="0"/>
    <x v="0"/>
    <x v="0"/>
    <n v="36"/>
    <x v="0"/>
    <x v="1"/>
  </r>
  <r>
    <n v="14193"/>
    <x v="1"/>
    <x v="0"/>
    <n v="100000"/>
    <n v="3"/>
    <x v="1"/>
    <s v="Management"/>
    <x v="0"/>
    <x v="3"/>
    <x v="4"/>
    <x v="0"/>
    <n v="56"/>
    <x v="1"/>
    <x v="0"/>
  </r>
  <r>
    <n v="12705"/>
    <x v="0"/>
    <x v="1"/>
    <n v="150000"/>
    <n v="0"/>
    <x v="0"/>
    <s v="Management"/>
    <x v="0"/>
    <x v="3"/>
    <x v="0"/>
    <x v="1"/>
    <n v="37"/>
    <x v="0"/>
    <x v="1"/>
  </r>
  <r>
    <n v="22672"/>
    <x v="1"/>
    <x v="0"/>
    <n v="30000"/>
    <n v="2"/>
    <x v="1"/>
    <s v="Clerical"/>
    <x v="0"/>
    <x v="0"/>
    <x v="0"/>
    <x v="0"/>
    <n v="43"/>
    <x v="0"/>
    <x v="0"/>
  </r>
  <r>
    <n v="26219"/>
    <x v="0"/>
    <x v="0"/>
    <n v="40000"/>
    <n v="1"/>
    <x v="0"/>
    <s v="Skilled Manual"/>
    <x v="0"/>
    <x v="1"/>
    <x v="3"/>
    <x v="0"/>
    <n v="33"/>
    <x v="0"/>
    <x v="1"/>
  </r>
  <r>
    <n v="28468"/>
    <x v="0"/>
    <x v="0"/>
    <n v="10000"/>
    <n v="2"/>
    <x v="1"/>
    <s v="Manual"/>
    <x v="0"/>
    <x v="0"/>
    <x v="3"/>
    <x v="0"/>
    <n v="51"/>
    <x v="0"/>
    <x v="0"/>
  </r>
  <r>
    <n v="23419"/>
    <x v="1"/>
    <x v="0"/>
    <n v="70000"/>
    <n v="5"/>
    <x v="0"/>
    <s v="Professional"/>
    <x v="0"/>
    <x v="4"/>
    <x v="4"/>
    <x v="1"/>
    <n v="39"/>
    <x v="0"/>
    <x v="0"/>
  </r>
  <r>
    <n v="17964"/>
    <x v="0"/>
    <x v="1"/>
    <n v="40000"/>
    <n v="0"/>
    <x v="4"/>
    <s v="Clerical"/>
    <x v="0"/>
    <x v="0"/>
    <x v="0"/>
    <x v="0"/>
    <n v="37"/>
    <x v="0"/>
    <x v="1"/>
  </r>
  <r>
    <n v="20919"/>
    <x v="1"/>
    <x v="0"/>
    <n v="30000"/>
    <n v="2"/>
    <x v="1"/>
    <s v="Clerical"/>
    <x v="0"/>
    <x v="2"/>
    <x v="0"/>
    <x v="0"/>
    <n v="42"/>
    <x v="0"/>
    <x v="0"/>
  </r>
  <r>
    <n v="20927"/>
    <x v="1"/>
    <x v="0"/>
    <n v="20000"/>
    <n v="5"/>
    <x v="2"/>
    <s v="Manual"/>
    <x v="0"/>
    <x v="2"/>
    <x v="0"/>
    <x v="0"/>
    <n v="27"/>
    <x v="2"/>
    <x v="0"/>
  </r>
  <r>
    <n v="13133"/>
    <x v="1"/>
    <x v="1"/>
    <n v="100000"/>
    <n v="5"/>
    <x v="0"/>
    <s v="Professional"/>
    <x v="0"/>
    <x v="1"/>
    <x v="2"/>
    <x v="1"/>
    <n v="47"/>
    <x v="0"/>
    <x v="1"/>
  </r>
  <r>
    <n v="19626"/>
    <x v="0"/>
    <x v="1"/>
    <n v="70000"/>
    <n v="5"/>
    <x v="1"/>
    <s v="Skilled Manual"/>
    <x v="0"/>
    <x v="4"/>
    <x v="2"/>
    <x v="1"/>
    <n v="45"/>
    <x v="0"/>
    <x v="0"/>
  </r>
  <r>
    <n v="21039"/>
    <x v="1"/>
    <x v="0"/>
    <n v="50000"/>
    <n v="0"/>
    <x v="4"/>
    <s v="Skilled Manual"/>
    <x v="1"/>
    <x v="0"/>
    <x v="0"/>
    <x v="0"/>
    <n v="37"/>
    <x v="0"/>
    <x v="1"/>
  </r>
  <r>
    <n v="12231"/>
    <x v="1"/>
    <x v="0"/>
    <n v="10000"/>
    <n v="2"/>
    <x v="1"/>
    <s v="Manual"/>
    <x v="0"/>
    <x v="0"/>
    <x v="0"/>
    <x v="0"/>
    <n v="51"/>
    <x v="0"/>
    <x v="1"/>
  </r>
  <r>
    <n v="25665"/>
    <x v="1"/>
    <x v="0"/>
    <n v="20000"/>
    <n v="0"/>
    <x v="2"/>
    <s v="Manual"/>
    <x v="1"/>
    <x v="1"/>
    <x v="3"/>
    <x v="0"/>
    <n v="28"/>
    <x v="2"/>
    <x v="0"/>
  </r>
  <r>
    <n v="24061"/>
    <x v="0"/>
    <x v="1"/>
    <n v="10000"/>
    <n v="4"/>
    <x v="3"/>
    <s v="Manual"/>
    <x v="0"/>
    <x v="1"/>
    <x v="0"/>
    <x v="0"/>
    <n v="40"/>
    <x v="0"/>
    <x v="1"/>
  </r>
  <r>
    <n v="26879"/>
    <x v="1"/>
    <x v="0"/>
    <n v="20000"/>
    <n v="0"/>
    <x v="2"/>
    <s v="Manual"/>
    <x v="1"/>
    <x v="1"/>
    <x v="1"/>
    <x v="0"/>
    <n v="30"/>
    <x v="2"/>
    <x v="0"/>
  </r>
  <r>
    <n v="12284"/>
    <x v="0"/>
    <x v="0"/>
    <n v="30000"/>
    <n v="0"/>
    <x v="0"/>
    <s v="Clerical"/>
    <x v="1"/>
    <x v="0"/>
    <x v="0"/>
    <x v="0"/>
    <n v="36"/>
    <x v="0"/>
    <x v="1"/>
  </r>
  <r>
    <n v="26654"/>
    <x v="0"/>
    <x v="0"/>
    <n v="90000"/>
    <n v="1"/>
    <x v="4"/>
    <s v="Management"/>
    <x v="0"/>
    <x v="0"/>
    <x v="0"/>
    <x v="1"/>
    <n v="37"/>
    <x v="0"/>
    <x v="1"/>
  </r>
  <r>
    <n v="14545"/>
    <x v="0"/>
    <x v="0"/>
    <n v="10000"/>
    <n v="2"/>
    <x v="1"/>
    <s v="Manual"/>
    <x v="0"/>
    <x v="0"/>
    <x v="3"/>
    <x v="0"/>
    <n v="49"/>
    <x v="0"/>
    <x v="0"/>
  </r>
  <r>
    <n v="24201"/>
    <x v="0"/>
    <x v="0"/>
    <n v="10000"/>
    <n v="2"/>
    <x v="2"/>
    <s v="Manual"/>
    <x v="0"/>
    <x v="0"/>
    <x v="0"/>
    <x v="0"/>
    <n v="37"/>
    <x v="0"/>
    <x v="1"/>
  </r>
  <r>
    <n v="20625"/>
    <x v="0"/>
    <x v="1"/>
    <n v="100000"/>
    <n v="0"/>
    <x v="2"/>
    <s v="Management"/>
    <x v="0"/>
    <x v="4"/>
    <x v="4"/>
    <x v="1"/>
    <n v="35"/>
    <x v="0"/>
    <x v="1"/>
  </r>
  <r>
    <n v="16390"/>
    <x v="1"/>
    <x v="1"/>
    <n v="30000"/>
    <n v="1"/>
    <x v="0"/>
    <s v="Clerical"/>
    <x v="1"/>
    <x v="0"/>
    <x v="0"/>
    <x v="0"/>
    <n v="38"/>
    <x v="0"/>
    <x v="1"/>
  </r>
  <r>
    <n v="14804"/>
    <x v="1"/>
    <x v="0"/>
    <n v="10000"/>
    <n v="3"/>
    <x v="3"/>
    <s v="Manual"/>
    <x v="0"/>
    <x v="2"/>
    <x v="0"/>
    <x v="0"/>
    <n v="43"/>
    <x v="0"/>
    <x v="0"/>
  </r>
  <r>
    <n v="12629"/>
    <x v="1"/>
    <x v="1"/>
    <n v="20000"/>
    <n v="1"/>
    <x v="1"/>
    <s v="Manual"/>
    <x v="1"/>
    <x v="0"/>
    <x v="0"/>
    <x v="0"/>
    <n v="37"/>
    <x v="0"/>
    <x v="0"/>
  </r>
  <r>
    <n v="14696"/>
    <x v="1"/>
    <x v="1"/>
    <n v="10000"/>
    <n v="0"/>
    <x v="3"/>
    <s v="Manual"/>
    <x v="1"/>
    <x v="2"/>
    <x v="0"/>
    <x v="0"/>
    <n v="34"/>
    <x v="0"/>
    <x v="0"/>
  </r>
  <r>
    <n v="22005"/>
    <x v="0"/>
    <x v="0"/>
    <n v="70000"/>
    <n v="5"/>
    <x v="1"/>
    <s v="Skilled Manual"/>
    <x v="1"/>
    <x v="4"/>
    <x v="2"/>
    <x v="1"/>
    <n v="46"/>
    <x v="0"/>
    <x v="0"/>
  </r>
  <r>
    <n v="14544"/>
    <x v="1"/>
    <x v="1"/>
    <n v="10000"/>
    <n v="1"/>
    <x v="1"/>
    <s v="Manual"/>
    <x v="0"/>
    <x v="0"/>
    <x v="0"/>
    <x v="0"/>
    <n v="49"/>
    <x v="0"/>
    <x v="0"/>
  </r>
  <r>
    <n v="14312"/>
    <x v="0"/>
    <x v="0"/>
    <n v="60000"/>
    <n v="1"/>
    <x v="1"/>
    <s v="Skilled Manual"/>
    <x v="0"/>
    <x v="1"/>
    <x v="2"/>
    <x v="1"/>
    <n v="45"/>
    <x v="0"/>
    <x v="0"/>
  </r>
  <r>
    <n v="29120"/>
    <x v="1"/>
    <x v="0"/>
    <n v="100000"/>
    <n v="1"/>
    <x v="0"/>
    <s v="Management"/>
    <x v="0"/>
    <x v="3"/>
    <x v="1"/>
    <x v="1"/>
    <n v="48"/>
    <x v="0"/>
    <x v="0"/>
  </r>
  <r>
    <n v="24187"/>
    <x v="1"/>
    <x v="0"/>
    <n v="30000"/>
    <n v="3"/>
    <x v="4"/>
    <s v="Clerical"/>
    <x v="1"/>
    <x v="0"/>
    <x v="0"/>
    <x v="0"/>
    <n v="46"/>
    <x v="0"/>
    <x v="1"/>
  </r>
  <r>
    <n v="15758"/>
    <x v="0"/>
    <x v="1"/>
    <n v="130000"/>
    <n v="0"/>
    <x v="4"/>
    <s v="Management"/>
    <x v="0"/>
    <x v="0"/>
    <x v="2"/>
    <x v="1"/>
    <n v="48"/>
    <x v="0"/>
    <x v="0"/>
  </r>
  <r>
    <n v="29094"/>
    <x v="0"/>
    <x v="1"/>
    <n v="30000"/>
    <n v="3"/>
    <x v="2"/>
    <s v="Skilled Manual"/>
    <x v="0"/>
    <x v="2"/>
    <x v="2"/>
    <x v="1"/>
    <n v="54"/>
    <x v="0"/>
    <x v="1"/>
  </r>
  <r>
    <n v="28319"/>
    <x v="1"/>
    <x v="0"/>
    <n v="60000"/>
    <n v="1"/>
    <x v="1"/>
    <s v="Skilled Manual"/>
    <x v="1"/>
    <x v="1"/>
    <x v="0"/>
    <x v="1"/>
    <n v="46"/>
    <x v="0"/>
    <x v="1"/>
  </r>
  <r>
    <n v="16406"/>
    <x v="0"/>
    <x v="1"/>
    <n v="40000"/>
    <n v="0"/>
    <x v="0"/>
    <s v="Clerical"/>
    <x v="1"/>
    <x v="0"/>
    <x v="0"/>
    <x v="0"/>
    <n v="38"/>
    <x v="0"/>
    <x v="1"/>
  </r>
  <r>
    <n v="20923"/>
    <x v="0"/>
    <x v="0"/>
    <n v="40000"/>
    <n v="1"/>
    <x v="0"/>
    <s v="Skilled Manual"/>
    <x v="0"/>
    <x v="0"/>
    <x v="0"/>
    <x v="0"/>
    <n v="42"/>
    <x v="0"/>
    <x v="1"/>
  </r>
  <r>
    <n v="11378"/>
    <x v="1"/>
    <x v="0"/>
    <n v="10000"/>
    <n v="1"/>
    <x v="2"/>
    <s v="Manual"/>
    <x v="1"/>
    <x v="1"/>
    <x v="1"/>
    <x v="0"/>
    <n v="46"/>
    <x v="0"/>
    <x v="1"/>
  </r>
  <r>
    <n v="20851"/>
    <x v="1"/>
    <x v="1"/>
    <n v="20000"/>
    <n v="0"/>
    <x v="1"/>
    <s v="Manual"/>
    <x v="1"/>
    <x v="1"/>
    <x v="1"/>
    <x v="0"/>
    <n v="36"/>
    <x v="0"/>
    <x v="1"/>
  </r>
  <r>
    <n v="21557"/>
    <x v="1"/>
    <x v="0"/>
    <n v="110000"/>
    <n v="0"/>
    <x v="1"/>
    <s v="Management"/>
    <x v="0"/>
    <x v="4"/>
    <x v="4"/>
    <x v="1"/>
    <n v="32"/>
    <x v="0"/>
    <x v="1"/>
  </r>
  <r>
    <n v="26663"/>
    <x v="1"/>
    <x v="0"/>
    <n v="60000"/>
    <n v="2"/>
    <x v="0"/>
    <s v="Professional"/>
    <x v="1"/>
    <x v="1"/>
    <x v="0"/>
    <x v="1"/>
    <n v="39"/>
    <x v="0"/>
    <x v="1"/>
  </r>
  <r>
    <n v="11896"/>
    <x v="0"/>
    <x v="1"/>
    <n v="100000"/>
    <n v="1"/>
    <x v="4"/>
    <s v="Management"/>
    <x v="0"/>
    <x v="0"/>
    <x v="1"/>
    <x v="1"/>
    <n v="36"/>
    <x v="0"/>
    <x v="1"/>
  </r>
  <r>
    <n v="14189"/>
    <x v="0"/>
    <x v="0"/>
    <n v="90000"/>
    <n v="4"/>
    <x v="2"/>
    <s v="Professional"/>
    <x v="1"/>
    <x v="2"/>
    <x v="1"/>
    <x v="0"/>
    <n v="54"/>
    <x v="0"/>
    <x v="1"/>
  </r>
  <r>
    <n v="13136"/>
    <x v="0"/>
    <x v="0"/>
    <n v="30000"/>
    <n v="2"/>
    <x v="1"/>
    <s v="Clerical"/>
    <x v="1"/>
    <x v="2"/>
    <x v="2"/>
    <x v="1"/>
    <n v="69"/>
    <x v="1"/>
    <x v="0"/>
  </r>
  <r>
    <n v="25906"/>
    <x v="1"/>
    <x v="0"/>
    <n v="10000"/>
    <n v="5"/>
    <x v="2"/>
    <s v="Skilled Manual"/>
    <x v="1"/>
    <x v="2"/>
    <x v="3"/>
    <x v="1"/>
    <n v="62"/>
    <x v="1"/>
    <x v="0"/>
  </r>
  <r>
    <n v="17926"/>
    <x v="1"/>
    <x v="0"/>
    <n v="40000"/>
    <n v="0"/>
    <x v="0"/>
    <s v="Clerical"/>
    <x v="1"/>
    <x v="0"/>
    <x v="0"/>
    <x v="1"/>
    <n v="28"/>
    <x v="2"/>
    <x v="1"/>
  </r>
  <r>
    <n v="26928"/>
    <x v="1"/>
    <x v="1"/>
    <n v="30000"/>
    <n v="1"/>
    <x v="0"/>
    <s v="Clerical"/>
    <x v="0"/>
    <x v="0"/>
    <x v="0"/>
    <x v="0"/>
    <n v="62"/>
    <x v="1"/>
    <x v="1"/>
  </r>
  <r>
    <n v="20897"/>
    <x v="0"/>
    <x v="0"/>
    <n v="30000"/>
    <n v="1"/>
    <x v="0"/>
    <s v="Skilled Manual"/>
    <x v="0"/>
    <x v="2"/>
    <x v="0"/>
    <x v="0"/>
    <n v="40"/>
    <x v="0"/>
    <x v="0"/>
  </r>
  <r>
    <n v="28207"/>
    <x v="0"/>
    <x v="1"/>
    <n v="80000"/>
    <n v="4"/>
    <x v="4"/>
    <s v="Management"/>
    <x v="0"/>
    <x v="1"/>
    <x v="0"/>
    <x v="1"/>
    <n v="36"/>
    <x v="0"/>
    <x v="1"/>
  </r>
  <r>
    <n v="25923"/>
    <x v="1"/>
    <x v="1"/>
    <n v="10000"/>
    <n v="2"/>
    <x v="3"/>
    <s v="Clerical"/>
    <x v="0"/>
    <x v="2"/>
    <x v="2"/>
    <x v="1"/>
    <n v="58"/>
    <x v="1"/>
    <x v="0"/>
  </r>
  <r>
    <n v="11000"/>
    <x v="0"/>
    <x v="1"/>
    <n v="90000"/>
    <n v="2"/>
    <x v="0"/>
    <s v="Professional"/>
    <x v="0"/>
    <x v="0"/>
    <x v="3"/>
    <x v="1"/>
    <n v="40"/>
    <x v="0"/>
    <x v="1"/>
  </r>
  <r>
    <n v="20974"/>
    <x v="0"/>
    <x v="1"/>
    <n v="10000"/>
    <n v="2"/>
    <x v="0"/>
    <s v="Clerical"/>
    <x v="0"/>
    <x v="1"/>
    <x v="0"/>
    <x v="0"/>
    <n v="66"/>
    <x v="1"/>
    <x v="0"/>
  </r>
  <r>
    <n v="28758"/>
    <x v="0"/>
    <x v="1"/>
    <n v="40000"/>
    <n v="2"/>
    <x v="1"/>
    <s v="Clerical"/>
    <x v="0"/>
    <x v="1"/>
    <x v="3"/>
    <x v="0"/>
    <n v="35"/>
    <x v="0"/>
    <x v="1"/>
  </r>
  <r>
    <n v="11381"/>
    <x v="0"/>
    <x v="0"/>
    <n v="20000"/>
    <n v="2"/>
    <x v="1"/>
    <s v="Manual"/>
    <x v="0"/>
    <x v="1"/>
    <x v="1"/>
    <x v="0"/>
    <n v="47"/>
    <x v="0"/>
    <x v="1"/>
  </r>
  <r>
    <n v="17522"/>
    <x v="0"/>
    <x v="1"/>
    <n v="120000"/>
    <n v="4"/>
    <x v="0"/>
    <s v="Management"/>
    <x v="0"/>
    <x v="1"/>
    <x v="1"/>
    <x v="1"/>
    <n v="47"/>
    <x v="0"/>
    <x v="0"/>
  </r>
  <r>
    <n v="21207"/>
    <x v="0"/>
    <x v="1"/>
    <n v="60000"/>
    <n v="1"/>
    <x v="1"/>
    <s v="Skilled Manual"/>
    <x v="0"/>
    <x v="1"/>
    <x v="2"/>
    <x v="1"/>
    <n v="46"/>
    <x v="0"/>
    <x v="0"/>
  </r>
  <r>
    <n v="28102"/>
    <x v="0"/>
    <x v="1"/>
    <n v="20000"/>
    <n v="4"/>
    <x v="2"/>
    <s v="Skilled Manual"/>
    <x v="0"/>
    <x v="2"/>
    <x v="2"/>
    <x v="1"/>
    <n v="58"/>
    <x v="1"/>
    <x v="1"/>
  </r>
  <r>
    <n v="23105"/>
    <x v="1"/>
    <x v="1"/>
    <n v="40000"/>
    <n v="3"/>
    <x v="3"/>
    <s v="Clerical"/>
    <x v="1"/>
    <x v="2"/>
    <x v="2"/>
    <x v="1"/>
    <n v="52"/>
    <x v="0"/>
    <x v="1"/>
  </r>
  <r>
    <n v="18740"/>
    <x v="0"/>
    <x v="1"/>
    <n v="80000"/>
    <n v="5"/>
    <x v="0"/>
    <s v="Professional"/>
    <x v="1"/>
    <x v="1"/>
    <x v="0"/>
    <x v="1"/>
    <n v="47"/>
    <x v="0"/>
    <x v="1"/>
  </r>
  <r>
    <n v="21213"/>
    <x v="1"/>
    <x v="1"/>
    <n v="70000"/>
    <n v="0"/>
    <x v="0"/>
    <s v="Professional"/>
    <x v="1"/>
    <x v="1"/>
    <x v="2"/>
    <x v="1"/>
    <n v="41"/>
    <x v="0"/>
    <x v="0"/>
  </r>
  <r>
    <n v="17352"/>
    <x v="0"/>
    <x v="1"/>
    <n v="50000"/>
    <n v="2"/>
    <x v="4"/>
    <s v="Management"/>
    <x v="0"/>
    <x v="1"/>
    <x v="2"/>
    <x v="1"/>
    <n v="64"/>
    <x v="1"/>
    <x v="1"/>
  </r>
  <r>
    <n v="14154"/>
    <x v="0"/>
    <x v="1"/>
    <n v="30000"/>
    <n v="0"/>
    <x v="0"/>
    <s v="Clerical"/>
    <x v="0"/>
    <x v="0"/>
    <x v="0"/>
    <x v="0"/>
    <n v="35"/>
    <x v="0"/>
    <x v="1"/>
  </r>
  <r>
    <n v="19066"/>
    <x v="0"/>
    <x v="1"/>
    <n v="130000"/>
    <n v="4"/>
    <x v="1"/>
    <s v="Professional"/>
    <x v="1"/>
    <x v="4"/>
    <x v="4"/>
    <x v="0"/>
    <n v="54"/>
    <x v="0"/>
    <x v="0"/>
  </r>
  <r>
    <n v="11386"/>
    <x v="0"/>
    <x v="0"/>
    <n v="30000"/>
    <n v="3"/>
    <x v="0"/>
    <s v="Clerical"/>
    <x v="0"/>
    <x v="0"/>
    <x v="0"/>
    <x v="0"/>
    <n v="45"/>
    <x v="0"/>
    <x v="0"/>
  </r>
  <r>
    <n v="20228"/>
    <x v="0"/>
    <x v="1"/>
    <n v="100000"/>
    <n v="0"/>
    <x v="4"/>
    <s v="Management"/>
    <x v="0"/>
    <x v="0"/>
    <x v="1"/>
    <x v="1"/>
    <n v="40"/>
    <x v="0"/>
    <x v="1"/>
  </r>
  <r>
    <n v="16675"/>
    <x v="1"/>
    <x v="0"/>
    <n v="160000"/>
    <n v="0"/>
    <x v="4"/>
    <s v="Management"/>
    <x v="1"/>
    <x v="4"/>
    <x v="0"/>
    <x v="1"/>
    <n v="47"/>
    <x v="0"/>
    <x v="1"/>
  </r>
  <r>
    <n v="16410"/>
    <x v="1"/>
    <x v="0"/>
    <n v="10000"/>
    <n v="4"/>
    <x v="3"/>
    <s v="Manual"/>
    <x v="0"/>
    <x v="2"/>
    <x v="0"/>
    <x v="0"/>
    <n v="41"/>
    <x v="0"/>
    <x v="1"/>
  </r>
  <r>
    <n v="27760"/>
    <x v="1"/>
    <x v="0"/>
    <n v="40000"/>
    <n v="0"/>
    <x v="4"/>
    <s v="Clerical"/>
    <x v="1"/>
    <x v="0"/>
    <x v="0"/>
    <x v="0"/>
    <n v="37"/>
    <x v="0"/>
    <x v="1"/>
  </r>
  <r>
    <n v="22930"/>
    <x v="0"/>
    <x v="1"/>
    <n v="90000"/>
    <n v="4"/>
    <x v="0"/>
    <s v="Professional"/>
    <x v="0"/>
    <x v="0"/>
    <x v="3"/>
    <x v="1"/>
    <n v="38"/>
    <x v="0"/>
    <x v="1"/>
  </r>
  <r>
    <n v="23780"/>
    <x v="1"/>
    <x v="1"/>
    <n v="40000"/>
    <n v="2"/>
    <x v="1"/>
    <s v="Clerical"/>
    <x v="1"/>
    <x v="2"/>
    <x v="0"/>
    <x v="0"/>
    <n v="36"/>
    <x v="0"/>
    <x v="1"/>
  </r>
  <r>
    <n v="20994"/>
    <x v="0"/>
    <x v="0"/>
    <n v="20000"/>
    <n v="0"/>
    <x v="0"/>
    <s v="Clerical"/>
    <x v="1"/>
    <x v="0"/>
    <x v="0"/>
    <x v="1"/>
    <n v="26"/>
    <x v="2"/>
    <x v="1"/>
  </r>
  <r>
    <n v="28379"/>
    <x v="0"/>
    <x v="1"/>
    <n v="30000"/>
    <n v="1"/>
    <x v="0"/>
    <s v="Skilled Manual"/>
    <x v="0"/>
    <x v="2"/>
    <x v="0"/>
    <x v="0"/>
    <n v="40"/>
    <x v="0"/>
    <x v="0"/>
  </r>
  <r>
    <n v="14865"/>
    <x v="1"/>
    <x v="1"/>
    <n v="40000"/>
    <n v="2"/>
    <x v="1"/>
    <s v="Clerical"/>
    <x v="0"/>
    <x v="2"/>
    <x v="3"/>
    <x v="0"/>
    <n v="36"/>
    <x v="0"/>
    <x v="0"/>
  </r>
  <r>
    <n v="12663"/>
    <x v="0"/>
    <x v="0"/>
    <n v="90000"/>
    <n v="5"/>
    <x v="3"/>
    <s v="Skilled Manual"/>
    <x v="0"/>
    <x v="2"/>
    <x v="4"/>
    <x v="0"/>
    <n v="59"/>
    <x v="1"/>
    <x v="0"/>
  </r>
  <r>
    <n v="24898"/>
    <x v="1"/>
    <x v="0"/>
    <n v="80000"/>
    <n v="0"/>
    <x v="0"/>
    <s v="Professional"/>
    <x v="0"/>
    <x v="4"/>
    <x v="4"/>
    <x v="1"/>
    <n v="32"/>
    <x v="0"/>
    <x v="0"/>
  </r>
  <r>
    <n v="19508"/>
    <x v="0"/>
    <x v="1"/>
    <n v="10000"/>
    <n v="0"/>
    <x v="3"/>
    <s v="Manual"/>
    <x v="1"/>
    <x v="2"/>
    <x v="0"/>
    <x v="0"/>
    <n v="30"/>
    <x v="2"/>
    <x v="0"/>
  </r>
  <r>
    <n v="11489"/>
    <x v="1"/>
    <x v="0"/>
    <n v="20000"/>
    <n v="0"/>
    <x v="3"/>
    <s v="Manual"/>
    <x v="1"/>
    <x v="2"/>
    <x v="3"/>
    <x v="0"/>
    <n v="35"/>
    <x v="0"/>
    <x v="1"/>
  </r>
  <r>
    <n v="18160"/>
    <x v="0"/>
    <x v="1"/>
    <n v="130000"/>
    <n v="3"/>
    <x v="2"/>
    <s v="Professional"/>
    <x v="0"/>
    <x v="3"/>
    <x v="2"/>
    <x v="0"/>
    <n v="51"/>
    <x v="0"/>
    <x v="1"/>
  </r>
  <r>
    <n v="25241"/>
    <x v="0"/>
    <x v="1"/>
    <n v="90000"/>
    <n v="2"/>
    <x v="0"/>
    <s v="Professional"/>
    <x v="0"/>
    <x v="1"/>
    <x v="2"/>
    <x v="1"/>
    <n v="47"/>
    <x v="0"/>
    <x v="0"/>
  </r>
  <r>
    <n v="24369"/>
    <x v="0"/>
    <x v="1"/>
    <n v="80000"/>
    <n v="5"/>
    <x v="4"/>
    <s v="Management"/>
    <x v="1"/>
    <x v="2"/>
    <x v="0"/>
    <x v="1"/>
    <n v="39"/>
    <x v="0"/>
    <x v="0"/>
  </r>
  <r>
    <n v="27165"/>
    <x v="1"/>
    <x v="1"/>
    <n v="20000"/>
    <n v="0"/>
    <x v="3"/>
    <s v="Manual"/>
    <x v="1"/>
    <x v="2"/>
    <x v="0"/>
    <x v="0"/>
    <n v="34"/>
    <x v="0"/>
    <x v="0"/>
  </r>
  <r>
    <n v="29424"/>
    <x v="0"/>
    <x v="1"/>
    <n v="10000"/>
    <n v="0"/>
    <x v="3"/>
    <s v="Manual"/>
    <x v="0"/>
    <x v="2"/>
    <x v="0"/>
    <x v="0"/>
    <n v="32"/>
    <x v="0"/>
    <x v="0"/>
  </r>
  <r>
    <n v="15926"/>
    <x v="1"/>
    <x v="0"/>
    <n v="120000"/>
    <n v="3"/>
    <x v="2"/>
    <s v="Professional"/>
    <x v="0"/>
    <x v="3"/>
    <x v="2"/>
    <x v="0"/>
    <n v="50"/>
    <x v="0"/>
    <x v="1"/>
  </r>
  <r>
    <n v="14554"/>
    <x v="0"/>
    <x v="1"/>
    <n v="20000"/>
    <n v="1"/>
    <x v="0"/>
    <s v="Clerical"/>
    <x v="0"/>
    <x v="0"/>
    <x v="0"/>
    <x v="0"/>
    <n v="66"/>
    <x v="1"/>
    <x v="0"/>
  </r>
  <r>
    <n v="16468"/>
    <x v="1"/>
    <x v="1"/>
    <n v="30000"/>
    <n v="0"/>
    <x v="1"/>
    <s v="Clerical"/>
    <x v="0"/>
    <x v="1"/>
    <x v="1"/>
    <x v="0"/>
    <n v="30"/>
    <x v="2"/>
    <x v="0"/>
  </r>
  <r>
    <n v="19174"/>
    <x v="1"/>
    <x v="0"/>
    <n v="30000"/>
    <n v="0"/>
    <x v="2"/>
    <s v="Manual"/>
    <x v="1"/>
    <x v="1"/>
    <x v="1"/>
    <x v="0"/>
    <n v="32"/>
    <x v="0"/>
    <x v="1"/>
  </r>
  <r>
    <n v="19183"/>
    <x v="1"/>
    <x v="1"/>
    <n v="10000"/>
    <n v="0"/>
    <x v="3"/>
    <s v="Manual"/>
    <x v="0"/>
    <x v="2"/>
    <x v="3"/>
    <x v="0"/>
    <n v="35"/>
    <x v="0"/>
    <x v="0"/>
  </r>
  <r>
    <n v="13683"/>
    <x v="1"/>
    <x v="0"/>
    <n v="30000"/>
    <n v="0"/>
    <x v="2"/>
    <s v="Manual"/>
    <x v="1"/>
    <x v="1"/>
    <x v="1"/>
    <x v="0"/>
    <n v="32"/>
    <x v="0"/>
    <x v="0"/>
  </r>
  <r>
    <n v="17848"/>
    <x v="1"/>
    <x v="1"/>
    <n v="30000"/>
    <n v="0"/>
    <x v="1"/>
    <s v="Clerical"/>
    <x v="1"/>
    <x v="1"/>
    <x v="1"/>
    <x v="0"/>
    <n v="31"/>
    <x v="0"/>
    <x v="1"/>
  </r>
  <r>
    <n v="17894"/>
    <x v="0"/>
    <x v="0"/>
    <n v="20000"/>
    <n v="1"/>
    <x v="0"/>
    <s v="Clerical"/>
    <x v="0"/>
    <x v="0"/>
    <x v="0"/>
    <x v="0"/>
    <n v="50"/>
    <x v="0"/>
    <x v="1"/>
  </r>
  <r>
    <n v="25651"/>
    <x v="0"/>
    <x v="1"/>
    <n v="40000"/>
    <n v="1"/>
    <x v="0"/>
    <s v="Skilled Manual"/>
    <x v="1"/>
    <x v="0"/>
    <x v="0"/>
    <x v="0"/>
    <n v="43"/>
    <x v="0"/>
    <x v="1"/>
  </r>
  <r>
    <n v="22936"/>
    <x v="1"/>
    <x v="0"/>
    <n v="60000"/>
    <n v="1"/>
    <x v="1"/>
    <s v="Skilled Manual"/>
    <x v="1"/>
    <x v="1"/>
    <x v="0"/>
    <x v="1"/>
    <n v="45"/>
    <x v="0"/>
    <x v="1"/>
  </r>
  <r>
    <n v="23915"/>
    <x v="0"/>
    <x v="1"/>
    <n v="20000"/>
    <n v="2"/>
    <x v="2"/>
    <s v="Manual"/>
    <x v="0"/>
    <x v="2"/>
    <x v="0"/>
    <x v="0"/>
    <n v="42"/>
    <x v="0"/>
    <x v="0"/>
  </r>
  <r>
    <n v="24121"/>
    <x v="1"/>
    <x v="0"/>
    <n v="30000"/>
    <n v="0"/>
    <x v="1"/>
    <s v="Clerical"/>
    <x v="1"/>
    <x v="1"/>
    <x v="0"/>
    <x v="0"/>
    <n v="29"/>
    <x v="2"/>
    <x v="1"/>
  </r>
  <r>
    <n v="27878"/>
    <x v="1"/>
    <x v="1"/>
    <n v="20000"/>
    <n v="0"/>
    <x v="1"/>
    <s v="Manual"/>
    <x v="1"/>
    <x v="0"/>
    <x v="0"/>
    <x v="1"/>
    <n v="28"/>
    <x v="2"/>
    <x v="1"/>
  </r>
  <r>
    <n v="13572"/>
    <x v="1"/>
    <x v="1"/>
    <n v="10000"/>
    <n v="3"/>
    <x v="2"/>
    <s v="Manual"/>
    <x v="0"/>
    <x v="0"/>
    <x v="0"/>
    <x v="0"/>
    <n v="37"/>
    <x v="0"/>
    <x v="1"/>
  </r>
  <r>
    <n v="27941"/>
    <x v="0"/>
    <x v="0"/>
    <n v="80000"/>
    <n v="4"/>
    <x v="1"/>
    <s v="Professional"/>
    <x v="0"/>
    <x v="2"/>
    <x v="1"/>
    <x v="0"/>
    <n v="53"/>
    <x v="0"/>
    <x v="0"/>
  </r>
  <r>
    <n v="26354"/>
    <x v="1"/>
    <x v="1"/>
    <n v="40000"/>
    <n v="0"/>
    <x v="4"/>
    <s v="Clerical"/>
    <x v="1"/>
    <x v="0"/>
    <x v="0"/>
    <x v="0"/>
    <n v="38"/>
    <x v="0"/>
    <x v="1"/>
  </r>
  <r>
    <n v="14785"/>
    <x v="1"/>
    <x v="1"/>
    <n v="30000"/>
    <n v="1"/>
    <x v="0"/>
    <s v="Clerical"/>
    <x v="1"/>
    <x v="1"/>
    <x v="3"/>
    <x v="0"/>
    <n v="39"/>
    <x v="0"/>
    <x v="0"/>
  </r>
  <r>
    <n v="17238"/>
    <x v="1"/>
    <x v="1"/>
    <n v="80000"/>
    <n v="0"/>
    <x v="0"/>
    <s v="Professional"/>
    <x v="0"/>
    <x v="4"/>
    <x v="4"/>
    <x v="1"/>
    <n v="32"/>
    <x v="0"/>
    <x v="0"/>
  </r>
  <r>
    <n v="23608"/>
    <x v="0"/>
    <x v="0"/>
    <n v="150000"/>
    <n v="3"/>
    <x v="2"/>
    <s v="Professional"/>
    <x v="0"/>
    <x v="4"/>
    <x v="0"/>
    <x v="0"/>
    <n v="51"/>
    <x v="0"/>
    <x v="1"/>
  </r>
  <r>
    <n v="22538"/>
    <x v="1"/>
    <x v="0"/>
    <n v="10000"/>
    <n v="0"/>
    <x v="3"/>
    <s v="Manual"/>
    <x v="0"/>
    <x v="2"/>
    <x v="3"/>
    <x v="0"/>
    <n v="33"/>
    <x v="0"/>
    <x v="0"/>
  </r>
  <r>
    <n v="12332"/>
    <x v="0"/>
    <x v="1"/>
    <n v="90000"/>
    <n v="4"/>
    <x v="2"/>
    <s v="Management"/>
    <x v="0"/>
    <x v="4"/>
    <x v="2"/>
    <x v="0"/>
    <n v="58"/>
    <x v="1"/>
    <x v="1"/>
  </r>
  <r>
    <n v="17230"/>
    <x v="0"/>
    <x v="1"/>
    <n v="80000"/>
    <n v="0"/>
    <x v="0"/>
    <s v="Professional"/>
    <x v="0"/>
    <x v="4"/>
    <x v="4"/>
    <x v="1"/>
    <n v="30"/>
    <x v="2"/>
    <x v="0"/>
  </r>
  <r>
    <n v="13082"/>
    <x v="1"/>
    <x v="1"/>
    <n v="130000"/>
    <n v="0"/>
    <x v="4"/>
    <s v="Management"/>
    <x v="0"/>
    <x v="0"/>
    <x v="1"/>
    <x v="1"/>
    <n v="48"/>
    <x v="0"/>
    <x v="1"/>
  </r>
  <r>
    <n v="22518"/>
    <x v="1"/>
    <x v="0"/>
    <n v="30000"/>
    <n v="3"/>
    <x v="1"/>
    <s v="Clerical"/>
    <x v="1"/>
    <x v="2"/>
    <x v="0"/>
    <x v="0"/>
    <n v="27"/>
    <x v="2"/>
    <x v="1"/>
  </r>
  <r>
    <n v="13687"/>
    <x v="0"/>
    <x v="1"/>
    <n v="40000"/>
    <n v="1"/>
    <x v="0"/>
    <s v="Skilled Manual"/>
    <x v="0"/>
    <x v="1"/>
    <x v="0"/>
    <x v="0"/>
    <n v="33"/>
    <x v="0"/>
    <x v="1"/>
  </r>
  <r>
    <n v="23571"/>
    <x v="0"/>
    <x v="0"/>
    <n v="40000"/>
    <n v="2"/>
    <x v="0"/>
    <s v="Management"/>
    <x v="0"/>
    <x v="2"/>
    <x v="0"/>
    <x v="1"/>
    <n v="66"/>
    <x v="1"/>
    <x v="1"/>
  </r>
  <r>
    <n v="19305"/>
    <x v="1"/>
    <x v="0"/>
    <n v="10000"/>
    <n v="2"/>
    <x v="2"/>
    <s v="Manual"/>
    <x v="0"/>
    <x v="1"/>
    <x v="0"/>
    <x v="0"/>
    <n v="38"/>
    <x v="0"/>
    <x v="1"/>
  </r>
  <r>
    <n v="22636"/>
    <x v="1"/>
    <x v="0"/>
    <n v="40000"/>
    <n v="0"/>
    <x v="0"/>
    <s v="Clerical"/>
    <x v="1"/>
    <x v="0"/>
    <x v="0"/>
    <x v="0"/>
    <n v="38"/>
    <x v="0"/>
    <x v="1"/>
  </r>
  <r>
    <n v="17310"/>
    <x v="0"/>
    <x v="1"/>
    <n v="60000"/>
    <n v="1"/>
    <x v="1"/>
    <s v="Skilled Manual"/>
    <x v="0"/>
    <x v="1"/>
    <x v="0"/>
    <x v="1"/>
    <n v="45"/>
    <x v="0"/>
    <x v="1"/>
  </r>
  <r>
    <n v="12133"/>
    <x v="0"/>
    <x v="0"/>
    <n v="130000"/>
    <n v="3"/>
    <x v="1"/>
    <s v="Professional"/>
    <x v="0"/>
    <x v="4"/>
    <x v="2"/>
    <x v="0"/>
    <n v="50"/>
    <x v="0"/>
    <x v="1"/>
  </r>
  <r>
    <n v="25918"/>
    <x v="1"/>
    <x v="0"/>
    <n v="30000"/>
    <n v="2"/>
    <x v="1"/>
    <s v="Clerical"/>
    <x v="1"/>
    <x v="2"/>
    <x v="2"/>
    <x v="1"/>
    <n v="60"/>
    <x v="1"/>
    <x v="1"/>
  </r>
  <r>
    <n v="25752"/>
    <x v="1"/>
    <x v="0"/>
    <n v="20000"/>
    <n v="2"/>
    <x v="1"/>
    <s v="Manual"/>
    <x v="1"/>
    <x v="1"/>
    <x v="0"/>
    <x v="0"/>
    <n v="53"/>
    <x v="0"/>
    <x v="1"/>
  </r>
  <r>
    <n v="17324"/>
    <x v="0"/>
    <x v="0"/>
    <n v="100000"/>
    <n v="4"/>
    <x v="0"/>
    <s v="Professional"/>
    <x v="0"/>
    <x v="1"/>
    <x v="4"/>
    <x v="1"/>
    <n v="46"/>
    <x v="0"/>
    <x v="0"/>
  </r>
  <r>
    <n v="22918"/>
    <x v="1"/>
    <x v="1"/>
    <n v="80000"/>
    <n v="5"/>
    <x v="4"/>
    <s v="Management"/>
    <x v="0"/>
    <x v="4"/>
    <x v="0"/>
    <x v="1"/>
    <n v="50"/>
    <x v="0"/>
    <x v="0"/>
  </r>
  <r>
    <n v="12510"/>
    <x v="0"/>
    <x v="1"/>
    <n v="40000"/>
    <n v="1"/>
    <x v="0"/>
    <s v="Skilled Manual"/>
    <x v="0"/>
    <x v="1"/>
    <x v="0"/>
    <x v="0"/>
    <n v="43"/>
    <x v="0"/>
    <x v="1"/>
  </r>
  <r>
    <n v="25512"/>
    <x v="1"/>
    <x v="1"/>
    <n v="20000"/>
    <n v="0"/>
    <x v="2"/>
    <s v="Manual"/>
    <x v="1"/>
    <x v="1"/>
    <x v="1"/>
    <x v="0"/>
    <n v="30"/>
    <x v="2"/>
    <x v="0"/>
  </r>
  <r>
    <n v="16179"/>
    <x v="1"/>
    <x v="0"/>
    <n v="80000"/>
    <n v="5"/>
    <x v="0"/>
    <s v="Professional"/>
    <x v="0"/>
    <x v="3"/>
    <x v="3"/>
    <x v="1"/>
    <n v="38"/>
    <x v="0"/>
    <x v="0"/>
  </r>
  <r>
    <n v="15628"/>
    <x v="0"/>
    <x v="0"/>
    <n v="40000"/>
    <n v="1"/>
    <x v="0"/>
    <s v="Skilled Manual"/>
    <x v="0"/>
    <x v="1"/>
    <x v="0"/>
    <x v="0"/>
    <n v="89"/>
    <x v="1"/>
    <x v="0"/>
  </r>
  <r>
    <n v="20977"/>
    <x v="0"/>
    <x v="1"/>
    <n v="20000"/>
    <n v="1"/>
    <x v="0"/>
    <s v="Clerical"/>
    <x v="0"/>
    <x v="0"/>
    <x v="0"/>
    <x v="0"/>
    <n v="64"/>
    <x v="1"/>
    <x v="1"/>
  </r>
  <r>
    <n v="18140"/>
    <x v="0"/>
    <x v="1"/>
    <n v="130000"/>
    <n v="3"/>
    <x v="1"/>
    <s v="Professional"/>
    <x v="1"/>
    <x v="4"/>
    <x v="2"/>
    <x v="0"/>
    <n v="51"/>
    <x v="0"/>
    <x v="1"/>
  </r>
  <r>
    <n v="20417"/>
    <x v="0"/>
    <x v="1"/>
    <n v="30000"/>
    <n v="3"/>
    <x v="1"/>
    <s v="Clerical"/>
    <x v="1"/>
    <x v="2"/>
    <x v="2"/>
    <x v="1"/>
    <n v="56"/>
    <x v="1"/>
    <x v="0"/>
  </r>
  <r>
    <n v="18267"/>
    <x v="0"/>
    <x v="1"/>
    <n v="60000"/>
    <n v="3"/>
    <x v="0"/>
    <s v="Professional"/>
    <x v="0"/>
    <x v="2"/>
    <x v="2"/>
    <x v="1"/>
    <n v="43"/>
    <x v="0"/>
    <x v="0"/>
  </r>
  <r>
    <n v="13620"/>
    <x v="1"/>
    <x v="1"/>
    <n v="70000"/>
    <n v="0"/>
    <x v="0"/>
    <s v="Professional"/>
    <x v="1"/>
    <x v="4"/>
    <x v="4"/>
    <x v="1"/>
    <n v="30"/>
    <x v="2"/>
    <x v="1"/>
  </r>
  <r>
    <n v="22974"/>
    <x v="0"/>
    <x v="0"/>
    <n v="30000"/>
    <n v="2"/>
    <x v="1"/>
    <s v="Clerical"/>
    <x v="0"/>
    <x v="2"/>
    <x v="2"/>
    <x v="1"/>
    <n v="69"/>
    <x v="1"/>
    <x v="0"/>
  </r>
  <r>
    <n v="13586"/>
    <x v="0"/>
    <x v="1"/>
    <n v="80000"/>
    <n v="4"/>
    <x v="1"/>
    <s v="Professional"/>
    <x v="0"/>
    <x v="2"/>
    <x v="4"/>
    <x v="0"/>
    <n v="53"/>
    <x v="0"/>
    <x v="0"/>
  </r>
  <r>
    <n v="17978"/>
    <x v="0"/>
    <x v="1"/>
    <n v="40000"/>
    <n v="0"/>
    <x v="4"/>
    <s v="Clerical"/>
    <x v="0"/>
    <x v="0"/>
    <x v="0"/>
    <x v="0"/>
    <n v="37"/>
    <x v="0"/>
    <x v="1"/>
  </r>
  <r>
    <n v="12581"/>
    <x v="1"/>
    <x v="0"/>
    <n v="10000"/>
    <n v="0"/>
    <x v="1"/>
    <s v="Manual"/>
    <x v="1"/>
    <x v="1"/>
    <x v="0"/>
    <x v="1"/>
    <n v="28"/>
    <x v="2"/>
    <x v="1"/>
  </r>
  <r>
    <n v="18018"/>
    <x v="1"/>
    <x v="1"/>
    <n v="30000"/>
    <n v="3"/>
    <x v="1"/>
    <s v="Clerical"/>
    <x v="0"/>
    <x v="0"/>
    <x v="0"/>
    <x v="0"/>
    <n v="43"/>
    <x v="0"/>
    <x v="0"/>
  </r>
  <r>
    <n v="28957"/>
    <x v="1"/>
    <x v="0"/>
    <n v="120000"/>
    <n v="0"/>
    <x v="3"/>
    <s v="Professional"/>
    <x v="0"/>
    <x v="3"/>
    <x v="4"/>
    <x v="1"/>
    <n v="34"/>
    <x v="0"/>
    <x v="1"/>
  </r>
  <r>
    <n v="13690"/>
    <x v="1"/>
    <x v="0"/>
    <n v="20000"/>
    <n v="0"/>
    <x v="3"/>
    <s v="Manual"/>
    <x v="1"/>
    <x v="2"/>
    <x v="3"/>
    <x v="0"/>
    <n v="34"/>
    <x v="0"/>
    <x v="1"/>
  </r>
  <r>
    <n v="12568"/>
    <x v="0"/>
    <x v="0"/>
    <n v="30000"/>
    <n v="1"/>
    <x v="0"/>
    <s v="Clerical"/>
    <x v="0"/>
    <x v="0"/>
    <x v="0"/>
    <x v="0"/>
    <n v="64"/>
    <x v="1"/>
    <x v="0"/>
  </r>
  <r>
    <n v="13122"/>
    <x v="0"/>
    <x v="0"/>
    <n v="80000"/>
    <n v="0"/>
    <x v="0"/>
    <s v="Professional"/>
    <x v="0"/>
    <x v="1"/>
    <x v="3"/>
    <x v="1"/>
    <n v="41"/>
    <x v="0"/>
    <x v="1"/>
  </r>
  <r>
    <n v="21184"/>
    <x v="1"/>
    <x v="1"/>
    <n v="70000"/>
    <n v="0"/>
    <x v="0"/>
    <s v="Professional"/>
    <x v="1"/>
    <x v="1"/>
    <x v="2"/>
    <x v="1"/>
    <n v="38"/>
    <x v="0"/>
    <x v="0"/>
  </r>
  <r>
    <n v="26150"/>
    <x v="1"/>
    <x v="0"/>
    <n v="70000"/>
    <n v="0"/>
    <x v="0"/>
    <s v="Professional"/>
    <x v="1"/>
    <x v="1"/>
    <x v="0"/>
    <x v="1"/>
    <n v="41"/>
    <x v="0"/>
    <x v="1"/>
  </r>
  <r>
    <n v="24151"/>
    <x v="1"/>
    <x v="1"/>
    <n v="20000"/>
    <n v="1"/>
    <x v="0"/>
    <s v="Clerical"/>
    <x v="1"/>
    <x v="0"/>
    <x v="0"/>
    <x v="0"/>
    <n v="51"/>
    <x v="0"/>
    <x v="0"/>
  </r>
  <r>
    <n v="23962"/>
    <x v="0"/>
    <x v="0"/>
    <n v="10000"/>
    <n v="0"/>
    <x v="3"/>
    <s v="Manual"/>
    <x v="0"/>
    <x v="2"/>
    <x v="3"/>
    <x v="0"/>
    <n v="32"/>
    <x v="0"/>
    <x v="0"/>
  </r>
  <r>
    <n v="17793"/>
    <x v="0"/>
    <x v="0"/>
    <n v="40000"/>
    <n v="0"/>
    <x v="0"/>
    <s v="Clerical"/>
    <x v="0"/>
    <x v="0"/>
    <x v="0"/>
    <x v="0"/>
    <n v="38"/>
    <x v="0"/>
    <x v="1"/>
  </r>
  <r>
    <n v="14926"/>
    <x v="0"/>
    <x v="1"/>
    <n v="30000"/>
    <n v="1"/>
    <x v="0"/>
    <s v="Clerical"/>
    <x v="0"/>
    <x v="0"/>
    <x v="0"/>
    <x v="0"/>
    <n v="38"/>
    <x v="0"/>
    <x v="1"/>
  </r>
  <r>
    <n v="16163"/>
    <x v="1"/>
    <x v="1"/>
    <n v="60000"/>
    <n v="2"/>
    <x v="0"/>
    <s v="Professional"/>
    <x v="0"/>
    <x v="1"/>
    <x v="1"/>
    <x v="1"/>
    <n v="38"/>
    <x v="0"/>
    <x v="1"/>
  </r>
  <r>
    <n v="21365"/>
    <x v="0"/>
    <x v="0"/>
    <n v="10000"/>
    <n v="2"/>
    <x v="3"/>
    <s v="Clerical"/>
    <x v="0"/>
    <x v="2"/>
    <x v="2"/>
    <x v="1"/>
    <n v="58"/>
    <x v="1"/>
    <x v="0"/>
  </r>
  <r>
    <n v="27771"/>
    <x v="1"/>
    <x v="1"/>
    <n v="30000"/>
    <n v="1"/>
    <x v="0"/>
    <s v="Clerical"/>
    <x v="0"/>
    <x v="1"/>
    <x v="3"/>
    <x v="0"/>
    <n v="39"/>
    <x v="0"/>
    <x v="1"/>
  </r>
  <r>
    <n v="26167"/>
    <x v="1"/>
    <x v="0"/>
    <n v="40000"/>
    <n v="2"/>
    <x v="0"/>
    <s v="Management"/>
    <x v="1"/>
    <x v="1"/>
    <x v="2"/>
    <x v="1"/>
    <n v="53"/>
    <x v="0"/>
    <x v="1"/>
  </r>
  <r>
    <n v="25792"/>
    <x v="1"/>
    <x v="0"/>
    <n v="110000"/>
    <n v="3"/>
    <x v="0"/>
    <s v="Management"/>
    <x v="0"/>
    <x v="3"/>
    <x v="4"/>
    <x v="0"/>
    <n v="53"/>
    <x v="0"/>
    <x v="0"/>
  </r>
  <r>
    <n v="11555"/>
    <x v="0"/>
    <x v="0"/>
    <n v="40000"/>
    <n v="1"/>
    <x v="0"/>
    <s v="Clerical"/>
    <x v="0"/>
    <x v="0"/>
    <x v="0"/>
    <x v="0"/>
    <n v="80"/>
    <x v="1"/>
    <x v="0"/>
  </r>
  <r>
    <n v="22381"/>
    <x v="0"/>
    <x v="1"/>
    <n v="10000"/>
    <n v="1"/>
    <x v="4"/>
    <s v="Manual"/>
    <x v="0"/>
    <x v="0"/>
    <x v="0"/>
    <x v="0"/>
    <n v="44"/>
    <x v="0"/>
    <x v="0"/>
  </r>
  <r>
    <n v="17882"/>
    <x v="0"/>
    <x v="1"/>
    <n v="20000"/>
    <n v="1"/>
    <x v="4"/>
    <s v="Clerical"/>
    <x v="0"/>
    <x v="0"/>
    <x v="0"/>
    <x v="0"/>
    <n v="44"/>
    <x v="0"/>
    <x v="0"/>
  </r>
  <r>
    <n v="22174"/>
    <x v="0"/>
    <x v="1"/>
    <n v="30000"/>
    <n v="3"/>
    <x v="2"/>
    <s v="Skilled Manual"/>
    <x v="0"/>
    <x v="2"/>
    <x v="2"/>
    <x v="1"/>
    <n v="54"/>
    <x v="0"/>
    <x v="1"/>
  </r>
  <r>
    <n v="22439"/>
    <x v="0"/>
    <x v="0"/>
    <n v="30000"/>
    <n v="0"/>
    <x v="0"/>
    <s v="Clerical"/>
    <x v="0"/>
    <x v="0"/>
    <x v="0"/>
    <x v="0"/>
    <n v="37"/>
    <x v="0"/>
    <x v="1"/>
  </r>
  <r>
    <n v="18012"/>
    <x v="0"/>
    <x v="0"/>
    <n v="40000"/>
    <n v="1"/>
    <x v="0"/>
    <s v="Skilled Manual"/>
    <x v="0"/>
    <x v="0"/>
    <x v="0"/>
    <x v="0"/>
    <n v="41"/>
    <x v="0"/>
    <x v="0"/>
  </r>
  <r>
    <n v="27582"/>
    <x v="1"/>
    <x v="0"/>
    <n v="90000"/>
    <n v="2"/>
    <x v="0"/>
    <s v="Professional"/>
    <x v="1"/>
    <x v="0"/>
    <x v="0"/>
    <x v="1"/>
    <n v="36"/>
    <x v="0"/>
    <x v="1"/>
  </r>
  <r>
    <n v="12744"/>
    <x v="1"/>
    <x v="0"/>
    <n v="40000"/>
    <n v="2"/>
    <x v="1"/>
    <s v="Clerical"/>
    <x v="0"/>
    <x v="0"/>
    <x v="0"/>
    <x v="0"/>
    <n v="33"/>
    <x v="0"/>
    <x v="0"/>
  </r>
  <r>
    <n v="22821"/>
    <x v="0"/>
    <x v="0"/>
    <n v="130000"/>
    <n v="3"/>
    <x v="1"/>
    <s v="Professional"/>
    <x v="0"/>
    <x v="3"/>
    <x v="0"/>
    <x v="0"/>
    <n v="52"/>
    <x v="0"/>
    <x v="0"/>
  </r>
  <r>
    <n v="20171"/>
    <x v="0"/>
    <x v="0"/>
    <n v="20000"/>
    <n v="2"/>
    <x v="1"/>
    <s v="Manual"/>
    <x v="0"/>
    <x v="1"/>
    <x v="0"/>
    <x v="0"/>
    <n v="46"/>
    <x v="0"/>
    <x v="1"/>
  </r>
  <r>
    <n v="11116"/>
    <x v="0"/>
    <x v="1"/>
    <n v="70000"/>
    <n v="5"/>
    <x v="1"/>
    <s v="Skilled Manual"/>
    <x v="0"/>
    <x v="2"/>
    <x v="2"/>
    <x v="1"/>
    <n v="43"/>
    <x v="0"/>
    <x v="0"/>
  </r>
  <r>
    <n v="20053"/>
    <x v="1"/>
    <x v="1"/>
    <n v="40000"/>
    <n v="2"/>
    <x v="1"/>
    <s v="Clerical"/>
    <x v="0"/>
    <x v="0"/>
    <x v="0"/>
    <x v="0"/>
    <n v="34"/>
    <x v="0"/>
    <x v="0"/>
  </r>
  <r>
    <n v="25266"/>
    <x v="1"/>
    <x v="0"/>
    <n v="30000"/>
    <n v="2"/>
    <x v="1"/>
    <s v="Clerical"/>
    <x v="1"/>
    <x v="2"/>
    <x v="2"/>
    <x v="1"/>
    <n v="67"/>
    <x v="1"/>
    <x v="0"/>
  </r>
  <r>
    <n v="17960"/>
    <x v="0"/>
    <x v="0"/>
    <n v="40000"/>
    <n v="0"/>
    <x v="4"/>
    <s v="Clerical"/>
    <x v="0"/>
    <x v="0"/>
    <x v="0"/>
    <x v="0"/>
    <n v="35"/>
    <x v="0"/>
    <x v="1"/>
  </r>
  <r>
    <n v="13961"/>
    <x v="0"/>
    <x v="0"/>
    <n v="80000"/>
    <n v="5"/>
    <x v="4"/>
    <s v="Management"/>
    <x v="0"/>
    <x v="4"/>
    <x v="0"/>
    <x v="1"/>
    <n v="40"/>
    <x v="0"/>
    <x v="0"/>
  </r>
  <r>
    <n v="11897"/>
    <x v="1"/>
    <x v="1"/>
    <n v="60000"/>
    <n v="2"/>
    <x v="0"/>
    <s v="Professional"/>
    <x v="1"/>
    <x v="1"/>
    <x v="0"/>
    <x v="1"/>
    <n v="37"/>
    <x v="0"/>
    <x v="1"/>
  </r>
  <r>
    <n v="11139"/>
    <x v="1"/>
    <x v="0"/>
    <n v="30000"/>
    <n v="2"/>
    <x v="1"/>
    <s v="Clerical"/>
    <x v="1"/>
    <x v="2"/>
    <x v="2"/>
    <x v="1"/>
    <n v="67"/>
    <x v="1"/>
    <x v="0"/>
  </r>
  <r>
    <n v="11576"/>
    <x v="0"/>
    <x v="1"/>
    <n v="30000"/>
    <n v="1"/>
    <x v="0"/>
    <s v="Skilled Manual"/>
    <x v="0"/>
    <x v="2"/>
    <x v="0"/>
    <x v="0"/>
    <n v="41"/>
    <x v="0"/>
    <x v="1"/>
  </r>
  <r>
    <n v="19255"/>
    <x v="1"/>
    <x v="1"/>
    <n v="10000"/>
    <n v="2"/>
    <x v="1"/>
    <s v="Manual"/>
    <x v="0"/>
    <x v="1"/>
    <x v="0"/>
    <x v="0"/>
    <n v="51"/>
    <x v="0"/>
    <x v="1"/>
  </r>
  <r>
    <n v="18153"/>
    <x v="0"/>
    <x v="0"/>
    <n v="100000"/>
    <n v="2"/>
    <x v="0"/>
    <s v="Management"/>
    <x v="0"/>
    <x v="3"/>
    <x v="4"/>
    <x v="0"/>
    <n v="59"/>
    <x v="1"/>
    <x v="0"/>
  </r>
  <r>
    <n v="14547"/>
    <x v="0"/>
    <x v="1"/>
    <n v="10000"/>
    <n v="2"/>
    <x v="1"/>
    <s v="Manual"/>
    <x v="0"/>
    <x v="0"/>
    <x v="3"/>
    <x v="0"/>
    <n v="51"/>
    <x v="0"/>
    <x v="0"/>
  </r>
  <r>
    <n v="24901"/>
    <x v="1"/>
    <x v="1"/>
    <n v="110000"/>
    <n v="0"/>
    <x v="1"/>
    <s v="Management"/>
    <x v="1"/>
    <x v="4"/>
    <x v="4"/>
    <x v="1"/>
    <n v="32"/>
    <x v="0"/>
    <x v="1"/>
  </r>
  <r>
    <n v="27169"/>
    <x v="1"/>
    <x v="1"/>
    <n v="30000"/>
    <n v="0"/>
    <x v="2"/>
    <s v="Manual"/>
    <x v="0"/>
    <x v="1"/>
    <x v="1"/>
    <x v="0"/>
    <n v="34"/>
    <x v="0"/>
    <x v="1"/>
  </r>
  <r>
    <n v="14805"/>
    <x v="1"/>
    <x v="0"/>
    <n v="10000"/>
    <n v="3"/>
    <x v="3"/>
    <s v="Manual"/>
    <x v="0"/>
    <x v="2"/>
    <x v="0"/>
    <x v="0"/>
    <n v="43"/>
    <x v="0"/>
    <x v="0"/>
  </r>
  <r>
    <n v="15822"/>
    <x v="0"/>
    <x v="1"/>
    <n v="40000"/>
    <n v="2"/>
    <x v="0"/>
    <s v="Management"/>
    <x v="0"/>
    <x v="2"/>
    <x v="0"/>
    <x v="1"/>
    <n v="67"/>
    <x v="1"/>
    <x v="0"/>
  </r>
  <r>
    <n v="19389"/>
    <x v="1"/>
    <x v="1"/>
    <n v="30000"/>
    <n v="0"/>
    <x v="1"/>
    <s v="Clerical"/>
    <x v="1"/>
    <x v="1"/>
    <x v="1"/>
    <x v="0"/>
    <n v="28"/>
    <x v="2"/>
    <x v="0"/>
  </r>
  <r>
    <n v="17048"/>
    <x v="1"/>
    <x v="0"/>
    <n v="90000"/>
    <n v="1"/>
    <x v="4"/>
    <s v="Management"/>
    <x v="0"/>
    <x v="0"/>
    <x v="0"/>
    <x v="1"/>
    <n v="36"/>
    <x v="0"/>
    <x v="1"/>
  </r>
  <r>
    <n v="22204"/>
    <x v="0"/>
    <x v="1"/>
    <n v="110000"/>
    <n v="4"/>
    <x v="0"/>
    <s v="Management"/>
    <x v="0"/>
    <x v="4"/>
    <x v="1"/>
    <x v="1"/>
    <n v="48"/>
    <x v="0"/>
    <x v="0"/>
  </r>
  <r>
    <n v="12718"/>
    <x v="1"/>
    <x v="0"/>
    <n v="30000"/>
    <n v="0"/>
    <x v="1"/>
    <s v="Clerical"/>
    <x v="0"/>
    <x v="1"/>
    <x v="1"/>
    <x v="0"/>
    <n v="31"/>
    <x v="0"/>
    <x v="0"/>
  </r>
  <r>
    <n v="15019"/>
    <x v="1"/>
    <x v="0"/>
    <n v="30000"/>
    <n v="3"/>
    <x v="2"/>
    <s v="Skilled Manual"/>
    <x v="0"/>
    <x v="2"/>
    <x v="2"/>
    <x v="1"/>
    <n v="55"/>
    <x v="1"/>
    <x v="0"/>
  </r>
  <r>
    <n v="28488"/>
    <x v="1"/>
    <x v="1"/>
    <n v="20000"/>
    <n v="0"/>
    <x v="1"/>
    <s v="Manual"/>
    <x v="0"/>
    <x v="0"/>
    <x v="0"/>
    <x v="1"/>
    <n v="28"/>
    <x v="2"/>
    <x v="1"/>
  </r>
  <r>
    <n v="21891"/>
    <x v="0"/>
    <x v="0"/>
    <n v="110000"/>
    <n v="0"/>
    <x v="2"/>
    <s v="Management"/>
    <x v="0"/>
    <x v="4"/>
    <x v="4"/>
    <x v="1"/>
    <n v="34"/>
    <x v="0"/>
    <x v="1"/>
  </r>
  <r>
    <n v="27814"/>
    <x v="1"/>
    <x v="0"/>
    <n v="30000"/>
    <n v="3"/>
    <x v="1"/>
    <s v="Clerical"/>
    <x v="1"/>
    <x v="1"/>
    <x v="0"/>
    <x v="0"/>
    <n v="26"/>
    <x v="2"/>
    <x v="0"/>
  </r>
  <r>
    <n v="22175"/>
    <x v="0"/>
    <x v="0"/>
    <n v="30000"/>
    <n v="3"/>
    <x v="2"/>
    <s v="Skilled Manual"/>
    <x v="0"/>
    <x v="2"/>
    <x v="2"/>
    <x v="1"/>
    <n v="53"/>
    <x v="0"/>
    <x v="1"/>
  </r>
  <r>
    <n v="29447"/>
    <x v="1"/>
    <x v="0"/>
    <n v="10000"/>
    <n v="2"/>
    <x v="0"/>
    <s v="Clerical"/>
    <x v="1"/>
    <x v="1"/>
    <x v="1"/>
    <x v="0"/>
    <n v="68"/>
    <x v="1"/>
    <x v="0"/>
  </r>
  <r>
    <n v="19784"/>
    <x v="0"/>
    <x v="0"/>
    <n v="80000"/>
    <n v="2"/>
    <x v="2"/>
    <s v="Skilled Manual"/>
    <x v="0"/>
    <x v="2"/>
    <x v="2"/>
    <x v="1"/>
    <n v="50"/>
    <x v="0"/>
    <x v="1"/>
  </r>
  <r>
    <n v="27824"/>
    <x v="1"/>
    <x v="0"/>
    <n v="30000"/>
    <n v="3"/>
    <x v="1"/>
    <s v="Clerical"/>
    <x v="0"/>
    <x v="2"/>
    <x v="0"/>
    <x v="0"/>
    <n v="28"/>
    <x v="2"/>
    <x v="1"/>
  </r>
  <r>
    <n v="24093"/>
    <x v="1"/>
    <x v="0"/>
    <n v="80000"/>
    <n v="0"/>
    <x v="4"/>
    <s v="Skilled Manual"/>
    <x v="1"/>
    <x v="0"/>
    <x v="0"/>
    <x v="0"/>
    <n v="40"/>
    <x v="0"/>
    <x v="1"/>
  </r>
  <r>
    <n v="19618"/>
    <x v="0"/>
    <x v="1"/>
    <n v="70000"/>
    <n v="5"/>
    <x v="1"/>
    <s v="Skilled Manual"/>
    <x v="0"/>
    <x v="2"/>
    <x v="0"/>
    <x v="1"/>
    <n v="44"/>
    <x v="0"/>
    <x v="0"/>
  </r>
  <r>
    <n v="21561"/>
    <x v="1"/>
    <x v="1"/>
    <n v="90000"/>
    <n v="0"/>
    <x v="0"/>
    <s v="Professional"/>
    <x v="1"/>
    <x v="4"/>
    <x v="4"/>
    <x v="1"/>
    <n v="34"/>
    <x v="0"/>
    <x v="1"/>
  </r>
  <r>
    <n v="11061"/>
    <x v="0"/>
    <x v="1"/>
    <n v="70000"/>
    <n v="2"/>
    <x v="1"/>
    <s v="Skilled Manual"/>
    <x v="0"/>
    <x v="2"/>
    <x v="2"/>
    <x v="1"/>
    <n v="52"/>
    <x v="0"/>
    <x v="1"/>
  </r>
  <r>
    <n v="26651"/>
    <x v="1"/>
    <x v="1"/>
    <n v="80000"/>
    <n v="4"/>
    <x v="4"/>
    <s v="Management"/>
    <x v="0"/>
    <x v="0"/>
    <x v="0"/>
    <x v="1"/>
    <n v="36"/>
    <x v="0"/>
    <x v="1"/>
  </r>
  <r>
    <n v="21108"/>
    <x v="0"/>
    <x v="0"/>
    <n v="40000"/>
    <n v="1"/>
    <x v="0"/>
    <s v="Skilled Manual"/>
    <x v="0"/>
    <x v="1"/>
    <x v="0"/>
    <x v="0"/>
    <n v="43"/>
    <x v="0"/>
    <x v="1"/>
  </r>
  <r>
    <n v="12731"/>
    <x v="1"/>
    <x v="1"/>
    <n v="30000"/>
    <n v="0"/>
    <x v="2"/>
    <s v="Manual"/>
    <x v="1"/>
    <x v="1"/>
    <x v="3"/>
    <x v="0"/>
    <n v="32"/>
    <x v="0"/>
    <x v="0"/>
  </r>
  <r>
    <n v="25307"/>
    <x v="0"/>
    <x v="0"/>
    <n v="40000"/>
    <n v="1"/>
    <x v="0"/>
    <s v="Skilled Manual"/>
    <x v="0"/>
    <x v="1"/>
    <x v="3"/>
    <x v="0"/>
    <n v="32"/>
    <x v="0"/>
    <x v="1"/>
  </r>
  <r>
    <n v="14278"/>
    <x v="0"/>
    <x v="0"/>
    <n v="130000"/>
    <n v="0"/>
    <x v="4"/>
    <s v="Management"/>
    <x v="0"/>
    <x v="1"/>
    <x v="4"/>
    <x v="1"/>
    <n v="48"/>
    <x v="0"/>
    <x v="0"/>
  </r>
  <r>
    <n v="20711"/>
    <x v="0"/>
    <x v="0"/>
    <n v="40000"/>
    <n v="1"/>
    <x v="0"/>
    <s v="Skilled Manual"/>
    <x v="0"/>
    <x v="0"/>
    <x v="3"/>
    <x v="0"/>
    <n v="32"/>
    <x v="0"/>
    <x v="1"/>
  </r>
  <r>
    <n v="11383"/>
    <x v="0"/>
    <x v="0"/>
    <n v="30000"/>
    <n v="3"/>
    <x v="4"/>
    <s v="Clerical"/>
    <x v="0"/>
    <x v="0"/>
    <x v="0"/>
    <x v="0"/>
    <n v="46"/>
    <x v="0"/>
    <x v="0"/>
  </r>
  <r>
    <n v="12497"/>
    <x v="0"/>
    <x v="0"/>
    <n v="40000"/>
    <n v="1"/>
    <x v="0"/>
    <s v="Skilled Manual"/>
    <x v="0"/>
    <x v="0"/>
    <x v="0"/>
    <x v="0"/>
    <n v="42"/>
    <x v="0"/>
    <x v="0"/>
  </r>
  <r>
    <n v="16559"/>
    <x v="1"/>
    <x v="0"/>
    <n v="10000"/>
    <n v="2"/>
    <x v="2"/>
    <s v="Manual"/>
    <x v="0"/>
    <x v="0"/>
    <x v="0"/>
    <x v="0"/>
    <n v="36"/>
    <x v="0"/>
    <x v="1"/>
  </r>
  <r>
    <n v="11585"/>
    <x v="0"/>
    <x v="0"/>
    <n v="40000"/>
    <n v="1"/>
    <x v="0"/>
    <s v="Skilled Manual"/>
    <x v="0"/>
    <x v="0"/>
    <x v="0"/>
    <x v="0"/>
    <n v="41"/>
    <x v="0"/>
    <x v="0"/>
  </r>
  <r>
    <n v="20277"/>
    <x v="0"/>
    <x v="0"/>
    <n v="30000"/>
    <n v="2"/>
    <x v="1"/>
    <s v="Clerical"/>
    <x v="1"/>
    <x v="2"/>
    <x v="0"/>
    <x v="1"/>
    <n v="69"/>
    <x v="1"/>
    <x v="0"/>
  </r>
  <r>
    <n v="26765"/>
    <x v="1"/>
    <x v="0"/>
    <n v="70000"/>
    <n v="5"/>
    <x v="1"/>
    <s v="Skilled Manual"/>
    <x v="0"/>
    <x v="2"/>
    <x v="2"/>
    <x v="1"/>
    <n v="45"/>
    <x v="0"/>
    <x v="0"/>
  </r>
  <r>
    <n v="12389"/>
    <x v="1"/>
    <x v="1"/>
    <n v="30000"/>
    <n v="0"/>
    <x v="2"/>
    <s v="Manual"/>
    <x v="1"/>
    <x v="1"/>
    <x v="1"/>
    <x v="0"/>
    <n v="34"/>
    <x v="0"/>
    <x v="0"/>
  </r>
  <r>
    <n v="13585"/>
    <x v="0"/>
    <x v="0"/>
    <n v="80000"/>
    <n v="4"/>
    <x v="1"/>
    <s v="Professional"/>
    <x v="1"/>
    <x v="1"/>
    <x v="1"/>
    <x v="0"/>
    <n v="53"/>
    <x v="0"/>
    <x v="1"/>
  </r>
  <r>
    <n v="26385"/>
    <x v="1"/>
    <x v="1"/>
    <n v="120000"/>
    <n v="3"/>
    <x v="2"/>
    <s v="Professional"/>
    <x v="1"/>
    <x v="3"/>
    <x v="2"/>
    <x v="0"/>
    <n v="50"/>
    <x v="0"/>
    <x v="0"/>
  </r>
  <r>
    <n v="12236"/>
    <x v="0"/>
    <x v="0"/>
    <n v="20000"/>
    <n v="1"/>
    <x v="1"/>
    <s v="Manual"/>
    <x v="0"/>
    <x v="0"/>
    <x v="0"/>
    <x v="0"/>
    <n v="65"/>
    <x v="1"/>
    <x v="0"/>
  </r>
  <r>
    <n v="21560"/>
    <x v="0"/>
    <x v="1"/>
    <n v="120000"/>
    <n v="0"/>
    <x v="3"/>
    <s v="Professional"/>
    <x v="0"/>
    <x v="3"/>
    <x v="4"/>
    <x v="1"/>
    <n v="32"/>
    <x v="0"/>
    <x v="1"/>
  </r>
  <r>
    <n v="21554"/>
    <x v="1"/>
    <x v="0"/>
    <n v="80000"/>
    <n v="0"/>
    <x v="0"/>
    <s v="Professional"/>
    <x v="1"/>
    <x v="4"/>
    <x v="4"/>
    <x v="1"/>
    <n v="33"/>
    <x v="0"/>
    <x v="0"/>
  </r>
  <r>
    <n v="13662"/>
    <x v="1"/>
    <x v="1"/>
    <n v="20000"/>
    <n v="0"/>
    <x v="3"/>
    <s v="Manual"/>
    <x v="0"/>
    <x v="2"/>
    <x v="3"/>
    <x v="0"/>
    <n v="31"/>
    <x v="0"/>
    <x v="1"/>
  </r>
  <r>
    <n v="13089"/>
    <x v="0"/>
    <x v="0"/>
    <n v="120000"/>
    <n v="1"/>
    <x v="0"/>
    <s v="Management"/>
    <x v="0"/>
    <x v="2"/>
    <x v="0"/>
    <x v="1"/>
    <n v="46"/>
    <x v="0"/>
    <x v="1"/>
  </r>
  <r>
    <n v="14791"/>
    <x v="0"/>
    <x v="0"/>
    <n v="40000"/>
    <n v="0"/>
    <x v="0"/>
    <s v="Clerical"/>
    <x v="0"/>
    <x v="0"/>
    <x v="0"/>
    <x v="0"/>
    <n v="39"/>
    <x v="0"/>
    <x v="1"/>
  </r>
  <r>
    <n v="19331"/>
    <x v="1"/>
    <x v="1"/>
    <n v="20000"/>
    <n v="2"/>
    <x v="2"/>
    <s v="Manual"/>
    <x v="0"/>
    <x v="1"/>
    <x v="0"/>
    <x v="0"/>
    <n v="40"/>
    <x v="0"/>
    <x v="0"/>
  </r>
  <r>
    <n v="17754"/>
    <x v="1"/>
    <x v="0"/>
    <n v="30000"/>
    <n v="3"/>
    <x v="0"/>
    <s v="Clerical"/>
    <x v="0"/>
    <x v="0"/>
    <x v="0"/>
    <x v="0"/>
    <n v="46"/>
    <x v="0"/>
    <x v="1"/>
  </r>
  <r>
    <n v="11149"/>
    <x v="0"/>
    <x v="1"/>
    <n v="40000"/>
    <n v="2"/>
    <x v="0"/>
    <s v="Management"/>
    <x v="0"/>
    <x v="2"/>
    <x v="0"/>
    <x v="1"/>
    <n v="65"/>
    <x v="1"/>
    <x v="0"/>
  </r>
  <r>
    <n v="16549"/>
    <x v="1"/>
    <x v="0"/>
    <n v="30000"/>
    <n v="3"/>
    <x v="0"/>
    <s v="Clerical"/>
    <x v="0"/>
    <x v="0"/>
    <x v="0"/>
    <x v="0"/>
    <n v="47"/>
    <x v="0"/>
    <x v="1"/>
  </r>
  <r>
    <n v="24305"/>
    <x v="1"/>
    <x v="1"/>
    <n v="100000"/>
    <n v="1"/>
    <x v="0"/>
    <s v="Management"/>
    <x v="1"/>
    <x v="4"/>
    <x v="0"/>
    <x v="1"/>
    <n v="46"/>
    <x v="0"/>
    <x v="1"/>
  </r>
  <r>
    <n v="18253"/>
    <x v="0"/>
    <x v="0"/>
    <n v="80000"/>
    <n v="5"/>
    <x v="4"/>
    <s v="Management"/>
    <x v="0"/>
    <x v="4"/>
    <x v="0"/>
    <x v="1"/>
    <n v="40"/>
    <x v="0"/>
    <x v="0"/>
  </r>
  <r>
    <n v="20147"/>
    <x v="0"/>
    <x v="0"/>
    <n v="30000"/>
    <n v="1"/>
    <x v="0"/>
    <s v="Clerical"/>
    <x v="0"/>
    <x v="0"/>
    <x v="0"/>
    <x v="0"/>
    <n v="65"/>
    <x v="1"/>
    <x v="0"/>
  </r>
  <r>
    <n v="15612"/>
    <x v="1"/>
    <x v="1"/>
    <n v="30000"/>
    <n v="0"/>
    <x v="2"/>
    <s v="Manual"/>
    <x v="1"/>
    <x v="1"/>
    <x v="3"/>
    <x v="0"/>
    <n v="28"/>
    <x v="2"/>
    <x v="0"/>
  </r>
  <r>
    <n v="28323"/>
    <x v="1"/>
    <x v="1"/>
    <n v="70000"/>
    <n v="0"/>
    <x v="0"/>
    <s v="Professional"/>
    <x v="1"/>
    <x v="2"/>
    <x v="2"/>
    <x v="1"/>
    <n v="43"/>
    <x v="0"/>
    <x v="1"/>
  </r>
  <r>
    <n v="22634"/>
    <x v="1"/>
    <x v="0"/>
    <n v="40000"/>
    <n v="0"/>
    <x v="4"/>
    <s v="Clerical"/>
    <x v="0"/>
    <x v="0"/>
    <x v="0"/>
    <x v="0"/>
    <n v="38"/>
    <x v="0"/>
    <x v="1"/>
  </r>
  <r>
    <n v="15665"/>
    <x v="0"/>
    <x v="0"/>
    <n v="30000"/>
    <n v="0"/>
    <x v="0"/>
    <s v="Clerical"/>
    <x v="0"/>
    <x v="0"/>
    <x v="0"/>
    <x v="0"/>
    <n v="47"/>
    <x v="0"/>
    <x v="1"/>
  </r>
  <r>
    <n v="27585"/>
    <x v="0"/>
    <x v="0"/>
    <n v="90000"/>
    <n v="2"/>
    <x v="0"/>
    <s v="Professional"/>
    <x v="1"/>
    <x v="0"/>
    <x v="0"/>
    <x v="1"/>
    <n v="36"/>
    <x v="0"/>
    <x v="1"/>
  </r>
  <r>
    <n v="19748"/>
    <x v="0"/>
    <x v="1"/>
    <n v="20000"/>
    <n v="4"/>
    <x v="2"/>
    <s v="Skilled Manual"/>
    <x v="1"/>
    <x v="2"/>
    <x v="3"/>
    <x v="1"/>
    <n v="60"/>
    <x v="1"/>
    <x v="0"/>
  </r>
  <r>
    <n v="21974"/>
    <x v="1"/>
    <x v="0"/>
    <n v="70000"/>
    <n v="0"/>
    <x v="0"/>
    <s v="Professional"/>
    <x v="0"/>
    <x v="1"/>
    <x v="2"/>
    <x v="1"/>
    <n v="42"/>
    <x v="0"/>
    <x v="1"/>
  </r>
  <r>
    <n v="14032"/>
    <x v="0"/>
    <x v="1"/>
    <n v="70000"/>
    <n v="2"/>
    <x v="2"/>
    <s v="Skilled Manual"/>
    <x v="1"/>
    <x v="2"/>
    <x v="3"/>
    <x v="1"/>
    <n v="50"/>
    <x v="0"/>
    <x v="1"/>
  </r>
  <r>
    <n v="22610"/>
    <x v="0"/>
    <x v="1"/>
    <n v="30000"/>
    <n v="0"/>
    <x v="0"/>
    <s v="Clerical"/>
    <x v="0"/>
    <x v="0"/>
    <x v="0"/>
    <x v="0"/>
    <n v="35"/>
    <x v="0"/>
    <x v="1"/>
  </r>
  <r>
    <n v="26984"/>
    <x v="0"/>
    <x v="1"/>
    <n v="40000"/>
    <n v="1"/>
    <x v="0"/>
    <s v="Skilled Manual"/>
    <x v="0"/>
    <x v="1"/>
    <x v="0"/>
    <x v="0"/>
    <n v="32"/>
    <x v="0"/>
    <x v="1"/>
  </r>
  <r>
    <n v="18294"/>
    <x v="0"/>
    <x v="0"/>
    <n v="90000"/>
    <n v="1"/>
    <x v="0"/>
    <s v="Professional"/>
    <x v="0"/>
    <x v="1"/>
    <x v="2"/>
    <x v="1"/>
    <n v="46"/>
    <x v="0"/>
    <x v="0"/>
  </r>
  <r>
    <n v="28564"/>
    <x v="1"/>
    <x v="0"/>
    <n v="40000"/>
    <n v="2"/>
    <x v="1"/>
    <s v="Clerical"/>
    <x v="0"/>
    <x v="0"/>
    <x v="3"/>
    <x v="0"/>
    <n v="33"/>
    <x v="0"/>
    <x v="1"/>
  </r>
  <r>
    <n v="28521"/>
    <x v="1"/>
    <x v="1"/>
    <n v="40000"/>
    <n v="0"/>
    <x v="4"/>
    <s v="Clerical"/>
    <x v="1"/>
    <x v="0"/>
    <x v="0"/>
    <x v="0"/>
    <n v="36"/>
    <x v="0"/>
    <x v="1"/>
  </r>
  <r>
    <n v="15450"/>
    <x v="0"/>
    <x v="1"/>
    <n v="10000"/>
    <n v="1"/>
    <x v="4"/>
    <s v="Clerical"/>
    <x v="0"/>
    <x v="0"/>
    <x v="0"/>
    <x v="0"/>
    <n v="70"/>
    <x v="1"/>
    <x v="0"/>
  </r>
  <r>
    <n v="25681"/>
    <x v="1"/>
    <x v="0"/>
    <n v="30000"/>
    <n v="0"/>
    <x v="1"/>
    <s v="Clerical"/>
    <x v="1"/>
    <x v="1"/>
    <x v="1"/>
    <x v="0"/>
    <n v="31"/>
    <x v="0"/>
    <x v="1"/>
  </r>
  <r>
    <n v="19491"/>
    <x v="1"/>
    <x v="1"/>
    <n v="30000"/>
    <n v="2"/>
    <x v="1"/>
    <s v="Clerical"/>
    <x v="0"/>
    <x v="2"/>
    <x v="0"/>
    <x v="0"/>
    <n v="42"/>
    <x v="0"/>
    <x v="0"/>
  </r>
  <r>
    <n v="26415"/>
    <x v="0"/>
    <x v="0"/>
    <n v="90000"/>
    <n v="4"/>
    <x v="3"/>
    <s v="Skilled Manual"/>
    <x v="0"/>
    <x v="3"/>
    <x v="4"/>
    <x v="0"/>
    <n v="58"/>
    <x v="1"/>
    <x v="0"/>
  </r>
  <r>
    <n v="12821"/>
    <x v="0"/>
    <x v="1"/>
    <n v="40000"/>
    <n v="0"/>
    <x v="0"/>
    <s v="Clerical"/>
    <x v="0"/>
    <x v="0"/>
    <x v="0"/>
    <x v="0"/>
    <n v="39"/>
    <x v="0"/>
    <x v="0"/>
  </r>
  <r>
    <n v="15629"/>
    <x v="1"/>
    <x v="0"/>
    <n v="10000"/>
    <n v="0"/>
    <x v="3"/>
    <s v="Manual"/>
    <x v="0"/>
    <x v="2"/>
    <x v="3"/>
    <x v="0"/>
    <n v="34"/>
    <x v="0"/>
    <x v="0"/>
  </r>
  <r>
    <n v="27835"/>
    <x v="0"/>
    <x v="1"/>
    <n v="20000"/>
    <n v="0"/>
    <x v="3"/>
    <s v="Manual"/>
    <x v="0"/>
    <x v="2"/>
    <x v="0"/>
    <x v="0"/>
    <n v="32"/>
    <x v="0"/>
    <x v="0"/>
  </r>
  <r>
    <n v="11738"/>
    <x v="0"/>
    <x v="1"/>
    <n v="60000"/>
    <n v="4"/>
    <x v="0"/>
    <s v="Professional"/>
    <x v="0"/>
    <x v="0"/>
    <x v="1"/>
    <x v="2"/>
    <n v="46"/>
    <x v="0"/>
    <x v="0"/>
  </r>
  <r>
    <n v="25065"/>
    <x v="0"/>
    <x v="1"/>
    <n v="70000"/>
    <n v="2"/>
    <x v="3"/>
    <s v="Skilled Manual"/>
    <x v="0"/>
    <x v="2"/>
    <x v="2"/>
    <x v="2"/>
    <n v="48"/>
    <x v="0"/>
    <x v="0"/>
  </r>
  <r>
    <n v="26238"/>
    <x v="1"/>
    <x v="0"/>
    <n v="40000"/>
    <n v="3"/>
    <x v="1"/>
    <s v="Clerical"/>
    <x v="0"/>
    <x v="1"/>
    <x v="3"/>
    <x v="2"/>
    <n v="31"/>
    <x v="0"/>
    <x v="1"/>
  </r>
  <r>
    <n v="23707"/>
    <x v="1"/>
    <x v="1"/>
    <n v="70000"/>
    <n v="5"/>
    <x v="0"/>
    <s v="Management"/>
    <x v="0"/>
    <x v="4"/>
    <x v="4"/>
    <x v="2"/>
    <n v="60"/>
    <x v="1"/>
    <x v="1"/>
  </r>
  <r>
    <n v="27650"/>
    <x v="0"/>
    <x v="1"/>
    <n v="70000"/>
    <n v="4"/>
    <x v="2"/>
    <s v="Professional"/>
    <x v="0"/>
    <x v="0"/>
    <x v="2"/>
    <x v="2"/>
    <n v="51"/>
    <x v="0"/>
    <x v="0"/>
  </r>
  <r>
    <n v="24981"/>
    <x v="0"/>
    <x v="1"/>
    <n v="60000"/>
    <n v="2"/>
    <x v="1"/>
    <s v="Professional"/>
    <x v="0"/>
    <x v="2"/>
    <x v="4"/>
    <x v="2"/>
    <n v="56"/>
    <x v="1"/>
    <x v="0"/>
  </r>
  <r>
    <n v="20678"/>
    <x v="1"/>
    <x v="0"/>
    <n v="60000"/>
    <n v="3"/>
    <x v="0"/>
    <s v="Skilled Manual"/>
    <x v="0"/>
    <x v="1"/>
    <x v="1"/>
    <x v="2"/>
    <n v="40"/>
    <x v="0"/>
    <x v="1"/>
  </r>
  <r>
    <n v="15302"/>
    <x v="1"/>
    <x v="0"/>
    <n v="70000"/>
    <n v="1"/>
    <x v="4"/>
    <s v="Professional"/>
    <x v="0"/>
    <x v="0"/>
    <x v="1"/>
    <x v="2"/>
    <n v="34"/>
    <x v="0"/>
    <x v="1"/>
  </r>
  <r>
    <n v="26012"/>
    <x v="0"/>
    <x v="1"/>
    <n v="80000"/>
    <n v="1"/>
    <x v="1"/>
    <s v="Skilled Manual"/>
    <x v="0"/>
    <x v="1"/>
    <x v="1"/>
    <x v="2"/>
    <n v="48"/>
    <x v="0"/>
    <x v="1"/>
  </r>
  <r>
    <n v="26575"/>
    <x v="1"/>
    <x v="0"/>
    <n v="40000"/>
    <n v="0"/>
    <x v="2"/>
    <s v="Skilled Manual"/>
    <x v="1"/>
    <x v="2"/>
    <x v="3"/>
    <x v="2"/>
    <n v="31"/>
    <x v="0"/>
    <x v="1"/>
  </r>
  <r>
    <n v="15559"/>
    <x v="0"/>
    <x v="1"/>
    <n v="60000"/>
    <n v="5"/>
    <x v="0"/>
    <s v="Professional"/>
    <x v="0"/>
    <x v="1"/>
    <x v="1"/>
    <x v="2"/>
    <n v="47"/>
    <x v="0"/>
    <x v="0"/>
  </r>
  <r>
    <n v="19235"/>
    <x v="0"/>
    <x v="0"/>
    <n v="50000"/>
    <n v="0"/>
    <x v="4"/>
    <s v="Skilled Manual"/>
    <x v="0"/>
    <x v="0"/>
    <x v="0"/>
    <x v="2"/>
    <n v="34"/>
    <x v="0"/>
    <x v="0"/>
  </r>
  <r>
    <n v="15275"/>
    <x v="0"/>
    <x v="1"/>
    <n v="40000"/>
    <n v="0"/>
    <x v="1"/>
    <s v="Skilled Manual"/>
    <x v="0"/>
    <x v="1"/>
    <x v="2"/>
    <x v="2"/>
    <n v="29"/>
    <x v="2"/>
    <x v="0"/>
  </r>
  <r>
    <n v="20339"/>
    <x v="0"/>
    <x v="0"/>
    <n v="130000"/>
    <n v="1"/>
    <x v="0"/>
    <s v="Management"/>
    <x v="0"/>
    <x v="3"/>
    <x v="1"/>
    <x v="2"/>
    <n v="44"/>
    <x v="0"/>
    <x v="1"/>
  </r>
  <r>
    <n v="25405"/>
    <x v="0"/>
    <x v="1"/>
    <n v="70000"/>
    <n v="2"/>
    <x v="0"/>
    <s v="Skilled Manual"/>
    <x v="0"/>
    <x v="1"/>
    <x v="1"/>
    <x v="2"/>
    <n v="38"/>
    <x v="0"/>
    <x v="1"/>
  </r>
  <r>
    <n v="15940"/>
    <x v="0"/>
    <x v="1"/>
    <n v="100000"/>
    <n v="4"/>
    <x v="1"/>
    <s v="Professional"/>
    <x v="0"/>
    <x v="3"/>
    <x v="0"/>
    <x v="2"/>
    <n v="40"/>
    <x v="0"/>
    <x v="0"/>
  </r>
  <r>
    <n v="25074"/>
    <x v="0"/>
    <x v="0"/>
    <n v="70000"/>
    <n v="4"/>
    <x v="0"/>
    <s v="Professional"/>
    <x v="0"/>
    <x v="2"/>
    <x v="1"/>
    <x v="2"/>
    <n v="42"/>
    <x v="0"/>
    <x v="1"/>
  </r>
  <r>
    <n v="24738"/>
    <x v="0"/>
    <x v="0"/>
    <n v="40000"/>
    <n v="1"/>
    <x v="1"/>
    <s v="Clerical"/>
    <x v="0"/>
    <x v="1"/>
    <x v="3"/>
    <x v="2"/>
    <n v="51"/>
    <x v="0"/>
    <x v="1"/>
  </r>
  <r>
    <n v="16337"/>
    <x v="0"/>
    <x v="1"/>
    <n v="60000"/>
    <n v="0"/>
    <x v="1"/>
    <s v="Skilled Manual"/>
    <x v="1"/>
    <x v="2"/>
    <x v="3"/>
    <x v="2"/>
    <n v="29"/>
    <x v="2"/>
    <x v="0"/>
  </r>
  <r>
    <n v="24357"/>
    <x v="0"/>
    <x v="1"/>
    <n v="80000"/>
    <n v="3"/>
    <x v="0"/>
    <s v="Professional"/>
    <x v="0"/>
    <x v="1"/>
    <x v="1"/>
    <x v="2"/>
    <n v="48"/>
    <x v="0"/>
    <x v="1"/>
  </r>
  <r>
    <n v="18613"/>
    <x v="1"/>
    <x v="1"/>
    <n v="70000"/>
    <n v="0"/>
    <x v="0"/>
    <s v="Professional"/>
    <x v="1"/>
    <x v="1"/>
    <x v="1"/>
    <x v="2"/>
    <n v="37"/>
    <x v="0"/>
    <x v="1"/>
  </r>
  <r>
    <n v="12207"/>
    <x v="1"/>
    <x v="1"/>
    <n v="80000"/>
    <n v="4"/>
    <x v="0"/>
    <s v="Management"/>
    <x v="0"/>
    <x v="0"/>
    <x v="2"/>
    <x v="2"/>
    <n v="66"/>
    <x v="1"/>
    <x v="1"/>
  </r>
  <r>
    <n v="18052"/>
    <x v="0"/>
    <x v="0"/>
    <n v="60000"/>
    <n v="1"/>
    <x v="1"/>
    <s v="Skilled Manual"/>
    <x v="0"/>
    <x v="1"/>
    <x v="0"/>
    <x v="2"/>
    <n v="45"/>
    <x v="0"/>
    <x v="1"/>
  </r>
  <r>
    <n v="13353"/>
    <x v="1"/>
    <x v="0"/>
    <n v="60000"/>
    <n v="4"/>
    <x v="4"/>
    <s v="Management"/>
    <x v="0"/>
    <x v="2"/>
    <x v="4"/>
    <x v="2"/>
    <n v="61"/>
    <x v="1"/>
    <x v="1"/>
  </r>
  <r>
    <n v="19399"/>
    <x v="1"/>
    <x v="1"/>
    <n v="40000"/>
    <n v="0"/>
    <x v="0"/>
    <s v="Professional"/>
    <x v="1"/>
    <x v="1"/>
    <x v="1"/>
    <x v="2"/>
    <n v="45"/>
    <x v="0"/>
    <x v="0"/>
  </r>
  <r>
    <n v="16154"/>
    <x v="0"/>
    <x v="0"/>
    <n v="70000"/>
    <n v="5"/>
    <x v="0"/>
    <s v="Professional"/>
    <x v="0"/>
    <x v="2"/>
    <x v="1"/>
    <x v="2"/>
    <n v="47"/>
    <x v="0"/>
    <x v="0"/>
  </r>
  <r>
    <n v="22219"/>
    <x v="0"/>
    <x v="0"/>
    <n v="60000"/>
    <n v="2"/>
    <x v="2"/>
    <s v="Professional"/>
    <x v="0"/>
    <x v="2"/>
    <x v="2"/>
    <x v="2"/>
    <n v="49"/>
    <x v="0"/>
    <x v="0"/>
  </r>
  <r>
    <n v="17269"/>
    <x v="1"/>
    <x v="1"/>
    <n v="60000"/>
    <n v="3"/>
    <x v="0"/>
    <s v="Professional"/>
    <x v="1"/>
    <x v="0"/>
    <x v="0"/>
    <x v="2"/>
    <n v="47"/>
    <x v="0"/>
    <x v="1"/>
  </r>
  <r>
    <n v="23586"/>
    <x v="0"/>
    <x v="0"/>
    <n v="80000"/>
    <n v="0"/>
    <x v="0"/>
    <s v="Management"/>
    <x v="0"/>
    <x v="1"/>
    <x v="3"/>
    <x v="2"/>
    <n v="34"/>
    <x v="0"/>
    <x v="1"/>
  </r>
  <r>
    <n v="15740"/>
    <x v="0"/>
    <x v="1"/>
    <n v="80000"/>
    <n v="5"/>
    <x v="0"/>
    <s v="Management"/>
    <x v="0"/>
    <x v="2"/>
    <x v="3"/>
    <x v="2"/>
    <n v="64"/>
    <x v="1"/>
    <x v="0"/>
  </r>
  <r>
    <n v="27638"/>
    <x v="1"/>
    <x v="1"/>
    <n v="100000"/>
    <n v="1"/>
    <x v="1"/>
    <s v="Professional"/>
    <x v="1"/>
    <x v="4"/>
    <x v="3"/>
    <x v="2"/>
    <n v="44"/>
    <x v="0"/>
    <x v="0"/>
  </r>
  <r>
    <n v="18976"/>
    <x v="1"/>
    <x v="1"/>
    <n v="40000"/>
    <n v="4"/>
    <x v="2"/>
    <s v="Professional"/>
    <x v="0"/>
    <x v="2"/>
    <x v="4"/>
    <x v="2"/>
    <n v="62"/>
    <x v="1"/>
    <x v="1"/>
  </r>
  <r>
    <n v="19413"/>
    <x v="1"/>
    <x v="1"/>
    <n v="60000"/>
    <n v="3"/>
    <x v="0"/>
    <s v="Professional"/>
    <x v="1"/>
    <x v="1"/>
    <x v="0"/>
    <x v="2"/>
    <n v="47"/>
    <x v="0"/>
    <x v="1"/>
  </r>
  <r>
    <n v="13283"/>
    <x v="0"/>
    <x v="1"/>
    <n v="80000"/>
    <n v="3"/>
    <x v="1"/>
    <s v="Professional"/>
    <x v="1"/>
    <x v="2"/>
    <x v="0"/>
    <x v="2"/>
    <n v="49"/>
    <x v="0"/>
    <x v="1"/>
  </r>
  <r>
    <n v="17471"/>
    <x v="1"/>
    <x v="0"/>
    <n v="80000"/>
    <n v="4"/>
    <x v="4"/>
    <s v="Management"/>
    <x v="0"/>
    <x v="2"/>
    <x v="2"/>
    <x v="2"/>
    <n v="67"/>
    <x v="1"/>
    <x v="0"/>
  </r>
  <r>
    <n v="16791"/>
    <x v="1"/>
    <x v="1"/>
    <n v="60000"/>
    <n v="5"/>
    <x v="0"/>
    <s v="Management"/>
    <x v="0"/>
    <x v="4"/>
    <x v="4"/>
    <x v="2"/>
    <n v="59"/>
    <x v="1"/>
    <x v="1"/>
  </r>
  <r>
    <n v="15382"/>
    <x v="0"/>
    <x v="0"/>
    <n v="110000"/>
    <n v="1"/>
    <x v="0"/>
    <s v="Management"/>
    <x v="0"/>
    <x v="2"/>
    <x v="3"/>
    <x v="2"/>
    <n v="44"/>
    <x v="0"/>
    <x v="0"/>
  </r>
  <r>
    <n v="11641"/>
    <x v="0"/>
    <x v="1"/>
    <n v="50000"/>
    <n v="1"/>
    <x v="0"/>
    <s v="Skilled Manual"/>
    <x v="0"/>
    <x v="0"/>
    <x v="0"/>
    <x v="2"/>
    <n v="36"/>
    <x v="0"/>
    <x v="0"/>
  </r>
  <r>
    <n v="11935"/>
    <x v="1"/>
    <x v="0"/>
    <n v="30000"/>
    <n v="0"/>
    <x v="1"/>
    <s v="Skilled Manual"/>
    <x v="0"/>
    <x v="1"/>
    <x v="2"/>
    <x v="2"/>
    <n v="28"/>
    <x v="2"/>
    <x v="0"/>
  </r>
  <r>
    <n v="13233"/>
    <x v="0"/>
    <x v="1"/>
    <n v="60000"/>
    <n v="2"/>
    <x v="1"/>
    <s v="Professional"/>
    <x v="0"/>
    <x v="1"/>
    <x v="4"/>
    <x v="2"/>
    <n v="57"/>
    <x v="1"/>
    <x v="1"/>
  </r>
  <r>
    <n v="25909"/>
    <x v="0"/>
    <x v="1"/>
    <n v="60000"/>
    <n v="0"/>
    <x v="1"/>
    <s v="Skilled Manual"/>
    <x v="0"/>
    <x v="1"/>
    <x v="2"/>
    <x v="2"/>
    <n v="27"/>
    <x v="2"/>
    <x v="1"/>
  </r>
  <r>
    <n v="14092"/>
    <x v="1"/>
    <x v="1"/>
    <n v="30000"/>
    <n v="0"/>
    <x v="3"/>
    <s v="Clerical"/>
    <x v="0"/>
    <x v="2"/>
    <x v="2"/>
    <x v="2"/>
    <n v="28"/>
    <x v="2"/>
    <x v="0"/>
  </r>
  <r>
    <n v="29143"/>
    <x v="1"/>
    <x v="0"/>
    <n v="60000"/>
    <n v="1"/>
    <x v="0"/>
    <s v="Professional"/>
    <x v="1"/>
    <x v="1"/>
    <x v="0"/>
    <x v="2"/>
    <n v="44"/>
    <x v="0"/>
    <x v="1"/>
  </r>
  <r>
    <n v="24941"/>
    <x v="0"/>
    <x v="1"/>
    <n v="60000"/>
    <n v="3"/>
    <x v="0"/>
    <s v="Management"/>
    <x v="0"/>
    <x v="2"/>
    <x v="4"/>
    <x v="2"/>
    <n v="66"/>
    <x v="1"/>
    <x v="0"/>
  </r>
  <r>
    <n v="24637"/>
    <x v="0"/>
    <x v="1"/>
    <n v="40000"/>
    <n v="4"/>
    <x v="2"/>
    <s v="Professional"/>
    <x v="0"/>
    <x v="2"/>
    <x v="4"/>
    <x v="2"/>
    <n v="64"/>
    <x v="1"/>
    <x v="0"/>
  </r>
  <r>
    <n v="23893"/>
    <x v="0"/>
    <x v="1"/>
    <n v="50000"/>
    <n v="3"/>
    <x v="0"/>
    <s v="Skilled Manual"/>
    <x v="0"/>
    <x v="4"/>
    <x v="4"/>
    <x v="2"/>
    <n v="41"/>
    <x v="0"/>
    <x v="0"/>
  </r>
  <r>
    <n v="13907"/>
    <x v="1"/>
    <x v="0"/>
    <n v="80000"/>
    <n v="3"/>
    <x v="0"/>
    <s v="Skilled Manual"/>
    <x v="0"/>
    <x v="1"/>
    <x v="0"/>
    <x v="2"/>
    <n v="41"/>
    <x v="0"/>
    <x v="1"/>
  </r>
  <r>
    <n v="14900"/>
    <x v="0"/>
    <x v="0"/>
    <n v="40000"/>
    <n v="1"/>
    <x v="1"/>
    <s v="Clerical"/>
    <x v="0"/>
    <x v="1"/>
    <x v="3"/>
    <x v="2"/>
    <n v="49"/>
    <x v="0"/>
    <x v="1"/>
  </r>
  <r>
    <n v="11262"/>
    <x v="0"/>
    <x v="0"/>
    <n v="80000"/>
    <n v="4"/>
    <x v="0"/>
    <s v="Management"/>
    <x v="0"/>
    <x v="0"/>
    <x v="0"/>
    <x v="2"/>
    <n v="42"/>
    <x v="0"/>
    <x v="0"/>
  </r>
  <r>
    <n v="22294"/>
    <x v="1"/>
    <x v="0"/>
    <n v="70000"/>
    <n v="0"/>
    <x v="0"/>
    <s v="Professional"/>
    <x v="1"/>
    <x v="1"/>
    <x v="1"/>
    <x v="2"/>
    <n v="37"/>
    <x v="0"/>
    <x v="1"/>
  </r>
  <r>
    <n v="12195"/>
    <x v="1"/>
    <x v="0"/>
    <n v="70000"/>
    <n v="3"/>
    <x v="4"/>
    <s v="Management"/>
    <x v="0"/>
    <x v="2"/>
    <x v="3"/>
    <x v="2"/>
    <n v="52"/>
    <x v="0"/>
    <x v="0"/>
  </r>
  <r>
    <n v="25375"/>
    <x v="0"/>
    <x v="1"/>
    <n v="50000"/>
    <n v="1"/>
    <x v="4"/>
    <s v="Skilled Manual"/>
    <x v="0"/>
    <x v="0"/>
    <x v="3"/>
    <x v="2"/>
    <n v="34"/>
    <x v="0"/>
    <x v="0"/>
  </r>
  <r>
    <n v="11143"/>
    <x v="0"/>
    <x v="1"/>
    <n v="40000"/>
    <n v="0"/>
    <x v="2"/>
    <s v="Skilled Manual"/>
    <x v="0"/>
    <x v="2"/>
    <x v="2"/>
    <x v="2"/>
    <n v="29"/>
    <x v="2"/>
    <x v="0"/>
  </r>
  <r>
    <n v="25898"/>
    <x v="0"/>
    <x v="0"/>
    <n v="70000"/>
    <n v="2"/>
    <x v="2"/>
    <s v="Professional"/>
    <x v="0"/>
    <x v="2"/>
    <x v="1"/>
    <x v="2"/>
    <n v="53"/>
    <x v="0"/>
    <x v="0"/>
  </r>
  <r>
    <n v="24397"/>
    <x v="1"/>
    <x v="1"/>
    <n v="120000"/>
    <n v="2"/>
    <x v="0"/>
    <s v="Management"/>
    <x v="1"/>
    <x v="3"/>
    <x v="3"/>
    <x v="2"/>
    <n v="40"/>
    <x v="0"/>
    <x v="0"/>
  </r>
  <r>
    <n v="19758"/>
    <x v="1"/>
    <x v="1"/>
    <n v="60000"/>
    <n v="0"/>
    <x v="1"/>
    <s v="Skilled Manual"/>
    <x v="1"/>
    <x v="2"/>
    <x v="3"/>
    <x v="2"/>
    <n v="29"/>
    <x v="2"/>
    <x v="0"/>
  </r>
  <r>
    <n v="15529"/>
    <x v="0"/>
    <x v="1"/>
    <n v="60000"/>
    <n v="4"/>
    <x v="0"/>
    <s v="Professional"/>
    <x v="0"/>
    <x v="2"/>
    <x v="1"/>
    <x v="2"/>
    <n v="43"/>
    <x v="0"/>
    <x v="1"/>
  </r>
  <r>
    <n v="19884"/>
    <x v="0"/>
    <x v="1"/>
    <n v="60000"/>
    <n v="2"/>
    <x v="2"/>
    <s v="Professional"/>
    <x v="0"/>
    <x v="2"/>
    <x v="1"/>
    <x v="2"/>
    <n v="55"/>
    <x v="1"/>
    <x v="1"/>
  </r>
  <r>
    <n v="18674"/>
    <x v="1"/>
    <x v="0"/>
    <n v="80000"/>
    <n v="4"/>
    <x v="4"/>
    <s v="Skilled Manual"/>
    <x v="1"/>
    <x v="0"/>
    <x v="0"/>
    <x v="2"/>
    <n v="48"/>
    <x v="0"/>
    <x v="0"/>
  </r>
  <r>
    <n v="13453"/>
    <x v="0"/>
    <x v="0"/>
    <n v="130000"/>
    <n v="3"/>
    <x v="0"/>
    <s v="Management"/>
    <x v="0"/>
    <x v="4"/>
    <x v="0"/>
    <x v="2"/>
    <n v="45"/>
    <x v="0"/>
    <x v="1"/>
  </r>
  <r>
    <n v="14063"/>
    <x v="1"/>
    <x v="0"/>
    <n v="70000"/>
    <n v="0"/>
    <x v="0"/>
    <s v="Professional"/>
    <x v="1"/>
    <x v="1"/>
    <x v="0"/>
    <x v="1"/>
    <n v="42"/>
    <x v="0"/>
    <x v="1"/>
  </r>
  <r>
    <n v="27393"/>
    <x v="0"/>
    <x v="0"/>
    <n v="50000"/>
    <n v="4"/>
    <x v="0"/>
    <s v="Management"/>
    <x v="0"/>
    <x v="2"/>
    <x v="4"/>
    <x v="2"/>
    <n v="63"/>
    <x v="1"/>
    <x v="0"/>
  </r>
  <r>
    <n v="14417"/>
    <x v="1"/>
    <x v="1"/>
    <n v="60000"/>
    <n v="3"/>
    <x v="2"/>
    <s v="Professional"/>
    <x v="0"/>
    <x v="2"/>
    <x v="4"/>
    <x v="2"/>
    <n v="54"/>
    <x v="0"/>
    <x v="1"/>
  </r>
  <r>
    <n v="17533"/>
    <x v="0"/>
    <x v="1"/>
    <n v="40000"/>
    <n v="3"/>
    <x v="1"/>
    <s v="Professional"/>
    <x v="1"/>
    <x v="2"/>
    <x v="2"/>
    <x v="2"/>
    <n v="73"/>
    <x v="1"/>
    <x v="1"/>
  </r>
  <r>
    <n v="18580"/>
    <x v="0"/>
    <x v="0"/>
    <n v="60000"/>
    <n v="2"/>
    <x v="4"/>
    <s v="Professional"/>
    <x v="0"/>
    <x v="0"/>
    <x v="1"/>
    <x v="2"/>
    <n v="40"/>
    <x v="0"/>
    <x v="1"/>
  </r>
  <r>
    <n v="17025"/>
    <x v="1"/>
    <x v="1"/>
    <n v="50000"/>
    <n v="0"/>
    <x v="1"/>
    <s v="Skilled Manual"/>
    <x v="1"/>
    <x v="1"/>
    <x v="1"/>
    <x v="2"/>
    <n v="39"/>
    <x v="0"/>
    <x v="1"/>
  </r>
  <r>
    <n v="25293"/>
    <x v="0"/>
    <x v="1"/>
    <n v="80000"/>
    <n v="4"/>
    <x v="0"/>
    <s v="Management"/>
    <x v="0"/>
    <x v="0"/>
    <x v="3"/>
    <x v="2"/>
    <n v="42"/>
    <x v="0"/>
    <x v="0"/>
  </r>
  <r>
    <n v="24725"/>
    <x v="0"/>
    <x v="0"/>
    <n v="40000"/>
    <n v="3"/>
    <x v="1"/>
    <s v="Clerical"/>
    <x v="0"/>
    <x v="0"/>
    <x v="3"/>
    <x v="2"/>
    <n v="31"/>
    <x v="0"/>
    <x v="0"/>
  </r>
  <r>
    <n v="23200"/>
    <x v="0"/>
    <x v="0"/>
    <n v="50000"/>
    <n v="3"/>
    <x v="0"/>
    <s v="Skilled Manual"/>
    <x v="0"/>
    <x v="2"/>
    <x v="0"/>
    <x v="2"/>
    <n v="41"/>
    <x v="0"/>
    <x v="0"/>
  </r>
  <r>
    <n v="15895"/>
    <x v="1"/>
    <x v="0"/>
    <n v="60000"/>
    <n v="2"/>
    <x v="0"/>
    <s v="Management"/>
    <x v="0"/>
    <x v="0"/>
    <x v="4"/>
    <x v="2"/>
    <n v="58"/>
    <x v="1"/>
    <x v="0"/>
  </r>
  <r>
    <n v="18577"/>
    <x v="0"/>
    <x v="0"/>
    <n v="60000"/>
    <n v="0"/>
    <x v="4"/>
    <s v="Professional"/>
    <x v="0"/>
    <x v="0"/>
    <x v="0"/>
    <x v="2"/>
    <n v="40"/>
    <x v="0"/>
    <x v="0"/>
  </r>
  <r>
    <n v="27218"/>
    <x v="0"/>
    <x v="0"/>
    <n v="20000"/>
    <n v="2"/>
    <x v="3"/>
    <s v="Clerical"/>
    <x v="1"/>
    <x v="0"/>
    <x v="0"/>
    <x v="2"/>
    <n v="48"/>
    <x v="0"/>
    <x v="0"/>
  </r>
  <r>
    <n v="18560"/>
    <x v="0"/>
    <x v="0"/>
    <n v="70000"/>
    <n v="2"/>
    <x v="4"/>
    <s v="Professional"/>
    <x v="0"/>
    <x v="0"/>
    <x v="1"/>
    <x v="2"/>
    <n v="34"/>
    <x v="0"/>
    <x v="1"/>
  </r>
  <r>
    <n v="25006"/>
    <x v="1"/>
    <x v="0"/>
    <n v="30000"/>
    <n v="0"/>
    <x v="1"/>
    <s v="Skilled Manual"/>
    <x v="0"/>
    <x v="1"/>
    <x v="2"/>
    <x v="2"/>
    <n v="28"/>
    <x v="2"/>
    <x v="0"/>
  </r>
  <r>
    <n v="17369"/>
    <x v="1"/>
    <x v="1"/>
    <n v="30000"/>
    <n v="0"/>
    <x v="1"/>
    <s v="Skilled Manual"/>
    <x v="0"/>
    <x v="1"/>
    <x v="2"/>
    <x v="2"/>
    <n v="27"/>
    <x v="2"/>
    <x v="0"/>
  </r>
  <r>
    <n v="14495"/>
    <x v="0"/>
    <x v="1"/>
    <n v="40000"/>
    <n v="3"/>
    <x v="1"/>
    <s v="Professional"/>
    <x v="1"/>
    <x v="2"/>
    <x v="2"/>
    <x v="2"/>
    <n v="54"/>
    <x v="0"/>
    <x v="1"/>
  </r>
  <r>
    <n v="18847"/>
    <x v="0"/>
    <x v="0"/>
    <n v="60000"/>
    <n v="2"/>
    <x v="4"/>
    <s v="Management"/>
    <x v="0"/>
    <x v="2"/>
    <x v="2"/>
    <x v="2"/>
    <n v="70"/>
    <x v="1"/>
    <x v="0"/>
  </r>
  <r>
    <n v="14754"/>
    <x v="0"/>
    <x v="1"/>
    <n v="40000"/>
    <n v="1"/>
    <x v="1"/>
    <s v="Clerical"/>
    <x v="0"/>
    <x v="1"/>
    <x v="3"/>
    <x v="2"/>
    <n v="48"/>
    <x v="0"/>
    <x v="1"/>
  </r>
  <r>
    <n v="23378"/>
    <x v="0"/>
    <x v="1"/>
    <n v="70000"/>
    <n v="1"/>
    <x v="1"/>
    <s v="Skilled Manual"/>
    <x v="0"/>
    <x v="1"/>
    <x v="1"/>
    <x v="2"/>
    <n v="44"/>
    <x v="0"/>
    <x v="1"/>
  </r>
  <r>
    <n v="26452"/>
    <x v="1"/>
    <x v="1"/>
    <n v="50000"/>
    <n v="3"/>
    <x v="4"/>
    <s v="Management"/>
    <x v="0"/>
    <x v="2"/>
    <x v="4"/>
    <x v="2"/>
    <n v="69"/>
    <x v="1"/>
    <x v="0"/>
  </r>
  <r>
    <n v="20370"/>
    <x v="0"/>
    <x v="1"/>
    <n v="70000"/>
    <n v="3"/>
    <x v="3"/>
    <s v="Skilled Manual"/>
    <x v="0"/>
    <x v="2"/>
    <x v="2"/>
    <x v="2"/>
    <n v="52"/>
    <x v="0"/>
    <x v="0"/>
  </r>
  <r>
    <n v="20528"/>
    <x v="0"/>
    <x v="1"/>
    <n v="40000"/>
    <n v="2"/>
    <x v="3"/>
    <s v="Skilled Manual"/>
    <x v="0"/>
    <x v="2"/>
    <x v="1"/>
    <x v="2"/>
    <n v="55"/>
    <x v="1"/>
    <x v="0"/>
  </r>
  <r>
    <n v="23549"/>
    <x v="1"/>
    <x v="1"/>
    <n v="30000"/>
    <n v="0"/>
    <x v="2"/>
    <s v="Skilled Manual"/>
    <x v="0"/>
    <x v="2"/>
    <x v="2"/>
    <x v="2"/>
    <n v="30"/>
    <x v="2"/>
    <x v="0"/>
  </r>
  <r>
    <n v="21751"/>
    <x v="0"/>
    <x v="1"/>
    <n v="60000"/>
    <n v="3"/>
    <x v="4"/>
    <s v="Management"/>
    <x v="0"/>
    <x v="2"/>
    <x v="3"/>
    <x v="2"/>
    <n v="63"/>
    <x v="1"/>
    <x v="0"/>
  </r>
  <r>
    <n v="21266"/>
    <x v="1"/>
    <x v="0"/>
    <n v="80000"/>
    <n v="0"/>
    <x v="0"/>
    <s v="Management"/>
    <x v="0"/>
    <x v="1"/>
    <x v="3"/>
    <x v="2"/>
    <n v="34"/>
    <x v="0"/>
    <x v="1"/>
  </r>
  <r>
    <n v="13388"/>
    <x v="1"/>
    <x v="1"/>
    <n v="60000"/>
    <n v="2"/>
    <x v="1"/>
    <s v="Professional"/>
    <x v="0"/>
    <x v="1"/>
    <x v="4"/>
    <x v="2"/>
    <n v="56"/>
    <x v="1"/>
    <x v="0"/>
  </r>
  <r>
    <n v="18752"/>
    <x v="1"/>
    <x v="0"/>
    <n v="40000"/>
    <n v="0"/>
    <x v="2"/>
    <s v="Skilled Manual"/>
    <x v="0"/>
    <x v="1"/>
    <x v="2"/>
    <x v="2"/>
    <n v="31"/>
    <x v="0"/>
    <x v="0"/>
  </r>
  <r>
    <n v="16917"/>
    <x v="0"/>
    <x v="1"/>
    <n v="120000"/>
    <n v="1"/>
    <x v="0"/>
    <s v="Management"/>
    <x v="0"/>
    <x v="3"/>
    <x v="0"/>
    <x v="2"/>
    <n v="38"/>
    <x v="0"/>
    <x v="0"/>
  </r>
  <r>
    <n v="15313"/>
    <x v="0"/>
    <x v="1"/>
    <n v="60000"/>
    <n v="4"/>
    <x v="0"/>
    <s v="Management"/>
    <x v="0"/>
    <x v="2"/>
    <x v="1"/>
    <x v="2"/>
    <n v="59"/>
    <x v="1"/>
    <x v="0"/>
  </r>
  <r>
    <n v="25329"/>
    <x v="1"/>
    <x v="0"/>
    <n v="40000"/>
    <n v="3"/>
    <x v="1"/>
    <s v="Clerical"/>
    <x v="1"/>
    <x v="2"/>
    <x v="0"/>
    <x v="2"/>
    <n v="32"/>
    <x v="0"/>
    <x v="0"/>
  </r>
  <r>
    <n v="20380"/>
    <x v="0"/>
    <x v="0"/>
    <n v="60000"/>
    <n v="3"/>
    <x v="4"/>
    <s v="Management"/>
    <x v="0"/>
    <x v="2"/>
    <x v="4"/>
    <x v="2"/>
    <n v="69"/>
    <x v="1"/>
    <x v="0"/>
  </r>
  <r>
    <n v="23089"/>
    <x v="0"/>
    <x v="1"/>
    <n v="40000"/>
    <n v="0"/>
    <x v="1"/>
    <s v="Skilled Manual"/>
    <x v="0"/>
    <x v="1"/>
    <x v="2"/>
    <x v="2"/>
    <n v="28"/>
    <x v="2"/>
    <x v="0"/>
  </r>
  <r>
    <n v="13749"/>
    <x v="0"/>
    <x v="1"/>
    <n v="80000"/>
    <n v="4"/>
    <x v="4"/>
    <s v="Skilled Manual"/>
    <x v="0"/>
    <x v="0"/>
    <x v="3"/>
    <x v="2"/>
    <n v="47"/>
    <x v="0"/>
    <x v="0"/>
  </r>
  <r>
    <n v="24943"/>
    <x v="0"/>
    <x v="1"/>
    <n v="60000"/>
    <n v="3"/>
    <x v="0"/>
    <s v="Management"/>
    <x v="0"/>
    <x v="2"/>
    <x v="4"/>
    <x v="2"/>
    <n v="66"/>
    <x v="1"/>
    <x v="0"/>
  </r>
  <r>
    <n v="28667"/>
    <x v="1"/>
    <x v="1"/>
    <n v="70000"/>
    <n v="2"/>
    <x v="0"/>
    <s v="Skilled Manual"/>
    <x v="1"/>
    <x v="1"/>
    <x v="0"/>
    <x v="2"/>
    <n v="37"/>
    <x v="0"/>
    <x v="1"/>
  </r>
  <r>
    <n v="15194"/>
    <x v="1"/>
    <x v="1"/>
    <n v="120000"/>
    <n v="2"/>
    <x v="0"/>
    <s v="Management"/>
    <x v="1"/>
    <x v="4"/>
    <x v="0"/>
    <x v="2"/>
    <n v="39"/>
    <x v="0"/>
    <x v="1"/>
  </r>
  <r>
    <n v="17436"/>
    <x v="0"/>
    <x v="1"/>
    <n v="60000"/>
    <n v="2"/>
    <x v="2"/>
    <s v="Professional"/>
    <x v="1"/>
    <x v="2"/>
    <x v="3"/>
    <x v="2"/>
    <n v="51"/>
    <x v="0"/>
    <x v="0"/>
  </r>
  <r>
    <n v="18935"/>
    <x v="0"/>
    <x v="0"/>
    <n v="130000"/>
    <n v="0"/>
    <x v="4"/>
    <s v="Management"/>
    <x v="0"/>
    <x v="4"/>
    <x v="3"/>
    <x v="2"/>
    <n v="40"/>
    <x v="0"/>
    <x v="0"/>
  </r>
  <r>
    <n v="16871"/>
    <x v="0"/>
    <x v="0"/>
    <n v="90000"/>
    <n v="2"/>
    <x v="2"/>
    <s v="Professional"/>
    <x v="0"/>
    <x v="1"/>
    <x v="4"/>
    <x v="2"/>
    <n v="51"/>
    <x v="0"/>
    <x v="1"/>
  </r>
  <r>
    <n v="12100"/>
    <x v="1"/>
    <x v="1"/>
    <n v="60000"/>
    <n v="2"/>
    <x v="0"/>
    <s v="Management"/>
    <x v="0"/>
    <x v="0"/>
    <x v="4"/>
    <x v="2"/>
    <n v="57"/>
    <x v="1"/>
    <x v="0"/>
  </r>
  <r>
    <n v="23158"/>
    <x v="0"/>
    <x v="0"/>
    <n v="60000"/>
    <n v="1"/>
    <x v="4"/>
    <s v="Professional"/>
    <x v="1"/>
    <x v="0"/>
    <x v="0"/>
    <x v="2"/>
    <n v="35"/>
    <x v="0"/>
    <x v="1"/>
  </r>
  <r>
    <n v="18545"/>
    <x v="0"/>
    <x v="1"/>
    <n v="40000"/>
    <n v="4"/>
    <x v="2"/>
    <s v="Professional"/>
    <x v="1"/>
    <x v="2"/>
    <x v="4"/>
    <x v="2"/>
    <n v="61"/>
    <x v="1"/>
    <x v="1"/>
  </r>
  <r>
    <n v="18391"/>
    <x v="1"/>
    <x v="0"/>
    <n v="80000"/>
    <n v="5"/>
    <x v="1"/>
    <s v="Professional"/>
    <x v="0"/>
    <x v="2"/>
    <x v="2"/>
    <x v="2"/>
    <n v="44"/>
    <x v="0"/>
    <x v="0"/>
  </r>
  <r>
    <n v="19812"/>
    <x v="1"/>
    <x v="0"/>
    <n v="70000"/>
    <n v="2"/>
    <x v="1"/>
    <s v="Professional"/>
    <x v="0"/>
    <x v="0"/>
    <x v="2"/>
    <x v="2"/>
    <n v="49"/>
    <x v="0"/>
    <x v="1"/>
  </r>
  <r>
    <n v="27660"/>
    <x v="0"/>
    <x v="1"/>
    <n v="80000"/>
    <n v="4"/>
    <x v="4"/>
    <s v="Management"/>
    <x v="0"/>
    <x v="2"/>
    <x v="2"/>
    <x v="2"/>
    <n v="70"/>
    <x v="1"/>
    <x v="0"/>
  </r>
  <r>
    <n v="18058"/>
    <x v="1"/>
    <x v="0"/>
    <n v="20000"/>
    <n v="3"/>
    <x v="2"/>
    <s v="Skilled Manual"/>
    <x v="0"/>
    <x v="2"/>
    <x v="1"/>
    <x v="2"/>
    <n v="78"/>
    <x v="1"/>
    <x v="0"/>
  </r>
  <r>
    <n v="20343"/>
    <x v="0"/>
    <x v="0"/>
    <n v="90000"/>
    <n v="4"/>
    <x v="1"/>
    <s v="Professional"/>
    <x v="0"/>
    <x v="1"/>
    <x v="3"/>
    <x v="2"/>
    <n v="45"/>
    <x v="0"/>
    <x v="0"/>
  </r>
  <r>
    <n v="28997"/>
    <x v="1"/>
    <x v="1"/>
    <n v="40000"/>
    <n v="2"/>
    <x v="2"/>
    <s v="Professional"/>
    <x v="1"/>
    <x v="1"/>
    <x v="1"/>
    <x v="2"/>
    <n v="58"/>
    <x v="1"/>
    <x v="1"/>
  </r>
  <r>
    <n v="24398"/>
    <x v="0"/>
    <x v="1"/>
    <n v="130000"/>
    <n v="1"/>
    <x v="4"/>
    <s v="Management"/>
    <x v="0"/>
    <x v="3"/>
    <x v="0"/>
    <x v="2"/>
    <n v="41"/>
    <x v="0"/>
    <x v="0"/>
  </r>
  <r>
    <n v="19002"/>
    <x v="0"/>
    <x v="0"/>
    <n v="60000"/>
    <n v="2"/>
    <x v="1"/>
    <s v="Professional"/>
    <x v="0"/>
    <x v="1"/>
    <x v="1"/>
    <x v="2"/>
    <n v="57"/>
    <x v="1"/>
    <x v="1"/>
  </r>
  <r>
    <n v="28609"/>
    <x v="0"/>
    <x v="1"/>
    <n v="30000"/>
    <n v="2"/>
    <x v="2"/>
    <s v="Skilled Manual"/>
    <x v="1"/>
    <x v="2"/>
    <x v="0"/>
    <x v="2"/>
    <n v="49"/>
    <x v="0"/>
    <x v="0"/>
  </r>
  <r>
    <n v="29231"/>
    <x v="1"/>
    <x v="1"/>
    <n v="80000"/>
    <n v="4"/>
    <x v="1"/>
    <s v="Professional"/>
    <x v="1"/>
    <x v="2"/>
    <x v="0"/>
    <x v="2"/>
    <n v="43"/>
    <x v="0"/>
    <x v="0"/>
  </r>
  <r>
    <n v="18858"/>
    <x v="1"/>
    <x v="1"/>
    <n v="60000"/>
    <n v="2"/>
    <x v="3"/>
    <s v="Skilled Manual"/>
    <x v="0"/>
    <x v="2"/>
    <x v="2"/>
    <x v="2"/>
    <n v="52"/>
    <x v="0"/>
    <x v="1"/>
  </r>
  <r>
    <n v="20000"/>
    <x v="0"/>
    <x v="1"/>
    <n v="60000"/>
    <n v="1"/>
    <x v="4"/>
    <s v="Professional"/>
    <x v="0"/>
    <x v="0"/>
    <x v="0"/>
    <x v="2"/>
    <n v="35"/>
    <x v="0"/>
    <x v="1"/>
  </r>
  <r>
    <n v="25261"/>
    <x v="0"/>
    <x v="1"/>
    <n v="40000"/>
    <n v="0"/>
    <x v="2"/>
    <s v="Skilled Manual"/>
    <x v="0"/>
    <x v="2"/>
    <x v="2"/>
    <x v="2"/>
    <n v="27"/>
    <x v="2"/>
    <x v="0"/>
  </r>
  <r>
    <n v="17458"/>
    <x v="1"/>
    <x v="1"/>
    <n v="70000"/>
    <n v="3"/>
    <x v="2"/>
    <s v="Professional"/>
    <x v="0"/>
    <x v="0"/>
    <x v="2"/>
    <x v="2"/>
    <n v="52"/>
    <x v="0"/>
    <x v="1"/>
  </r>
  <r>
    <n v="11644"/>
    <x v="1"/>
    <x v="1"/>
    <n v="40000"/>
    <n v="2"/>
    <x v="0"/>
    <s v="Skilled Manual"/>
    <x v="0"/>
    <x v="0"/>
    <x v="1"/>
    <x v="2"/>
    <n v="36"/>
    <x v="0"/>
    <x v="0"/>
  </r>
  <r>
    <n v="16145"/>
    <x v="1"/>
    <x v="0"/>
    <n v="70000"/>
    <n v="5"/>
    <x v="4"/>
    <s v="Professional"/>
    <x v="0"/>
    <x v="4"/>
    <x v="4"/>
    <x v="2"/>
    <n v="46"/>
    <x v="0"/>
    <x v="1"/>
  </r>
  <r>
    <n v="16890"/>
    <x v="0"/>
    <x v="1"/>
    <n v="60000"/>
    <n v="3"/>
    <x v="3"/>
    <s v="Skilled Manual"/>
    <x v="0"/>
    <x v="2"/>
    <x v="2"/>
    <x v="2"/>
    <n v="52"/>
    <x v="0"/>
    <x v="1"/>
  </r>
  <r>
    <n v="25983"/>
    <x v="0"/>
    <x v="1"/>
    <n v="70000"/>
    <n v="0"/>
    <x v="0"/>
    <s v="Professional"/>
    <x v="1"/>
    <x v="1"/>
    <x v="0"/>
    <x v="2"/>
    <n v="43"/>
    <x v="0"/>
    <x v="0"/>
  </r>
  <r>
    <n v="14633"/>
    <x v="0"/>
    <x v="1"/>
    <n v="60000"/>
    <n v="1"/>
    <x v="1"/>
    <s v="Skilled Manual"/>
    <x v="0"/>
    <x v="1"/>
    <x v="1"/>
    <x v="2"/>
    <n v="44"/>
    <x v="0"/>
    <x v="0"/>
  </r>
  <r>
    <n v="22994"/>
    <x v="0"/>
    <x v="0"/>
    <n v="80000"/>
    <n v="0"/>
    <x v="0"/>
    <s v="Management"/>
    <x v="0"/>
    <x v="1"/>
    <x v="3"/>
    <x v="2"/>
    <n v="34"/>
    <x v="0"/>
    <x v="1"/>
  </r>
  <r>
    <n v="22983"/>
    <x v="1"/>
    <x v="0"/>
    <n v="30000"/>
    <n v="0"/>
    <x v="3"/>
    <s v="Clerical"/>
    <x v="0"/>
    <x v="2"/>
    <x v="2"/>
    <x v="2"/>
    <n v="27"/>
    <x v="2"/>
    <x v="0"/>
  </r>
  <r>
    <n v="25184"/>
    <x v="1"/>
    <x v="1"/>
    <n v="110000"/>
    <n v="1"/>
    <x v="1"/>
    <s v="Professional"/>
    <x v="0"/>
    <x v="3"/>
    <x v="2"/>
    <x v="2"/>
    <n v="45"/>
    <x v="0"/>
    <x v="1"/>
  </r>
  <r>
    <n v="14469"/>
    <x v="0"/>
    <x v="0"/>
    <n v="100000"/>
    <n v="3"/>
    <x v="1"/>
    <s v="Professional"/>
    <x v="0"/>
    <x v="3"/>
    <x v="3"/>
    <x v="2"/>
    <n v="45"/>
    <x v="0"/>
    <x v="0"/>
  </r>
  <r>
    <n v="11538"/>
    <x v="1"/>
    <x v="0"/>
    <n v="60000"/>
    <n v="4"/>
    <x v="4"/>
    <s v="Skilled Manual"/>
    <x v="1"/>
    <x v="0"/>
    <x v="0"/>
    <x v="2"/>
    <n v="47"/>
    <x v="0"/>
    <x v="1"/>
  </r>
  <r>
    <n v="16245"/>
    <x v="1"/>
    <x v="0"/>
    <n v="80000"/>
    <n v="4"/>
    <x v="4"/>
    <s v="Skilled Manual"/>
    <x v="0"/>
    <x v="0"/>
    <x v="3"/>
    <x v="2"/>
    <n v="47"/>
    <x v="0"/>
    <x v="0"/>
  </r>
  <r>
    <n v="17858"/>
    <x v="0"/>
    <x v="1"/>
    <n v="40000"/>
    <n v="4"/>
    <x v="2"/>
    <s v="Skilled Manual"/>
    <x v="0"/>
    <x v="2"/>
    <x v="1"/>
    <x v="2"/>
    <n v="44"/>
    <x v="0"/>
    <x v="1"/>
  </r>
  <r>
    <n v="25347"/>
    <x v="1"/>
    <x v="0"/>
    <n v="20000"/>
    <n v="3"/>
    <x v="3"/>
    <s v="Clerical"/>
    <x v="1"/>
    <x v="2"/>
    <x v="0"/>
    <x v="2"/>
    <n v="49"/>
    <x v="0"/>
    <x v="0"/>
  </r>
  <r>
    <n v="15814"/>
    <x v="1"/>
    <x v="0"/>
    <n v="40000"/>
    <n v="0"/>
    <x v="2"/>
    <s v="Skilled Manual"/>
    <x v="0"/>
    <x v="1"/>
    <x v="2"/>
    <x v="2"/>
    <n v="30"/>
    <x v="2"/>
    <x v="0"/>
  </r>
  <r>
    <n v="11259"/>
    <x v="0"/>
    <x v="0"/>
    <n v="100000"/>
    <n v="4"/>
    <x v="1"/>
    <s v="Professional"/>
    <x v="0"/>
    <x v="3"/>
    <x v="1"/>
    <x v="2"/>
    <n v="41"/>
    <x v="0"/>
    <x v="1"/>
  </r>
  <r>
    <n v="11200"/>
    <x v="0"/>
    <x v="1"/>
    <n v="70000"/>
    <n v="4"/>
    <x v="0"/>
    <s v="Management"/>
    <x v="0"/>
    <x v="1"/>
    <x v="3"/>
    <x v="2"/>
    <n v="58"/>
    <x v="1"/>
    <x v="0"/>
  </r>
  <r>
    <n v="25101"/>
    <x v="0"/>
    <x v="1"/>
    <n v="60000"/>
    <n v="5"/>
    <x v="0"/>
    <s v="Professional"/>
    <x v="0"/>
    <x v="1"/>
    <x v="1"/>
    <x v="2"/>
    <n v="47"/>
    <x v="0"/>
    <x v="0"/>
  </r>
  <r>
    <n v="21801"/>
    <x v="0"/>
    <x v="0"/>
    <n v="70000"/>
    <n v="4"/>
    <x v="1"/>
    <s v="Professional"/>
    <x v="0"/>
    <x v="1"/>
    <x v="3"/>
    <x v="2"/>
    <n v="55"/>
    <x v="1"/>
    <x v="0"/>
  </r>
  <r>
    <n v="25943"/>
    <x v="1"/>
    <x v="0"/>
    <n v="70000"/>
    <n v="0"/>
    <x v="1"/>
    <s v="Skilled Manual"/>
    <x v="1"/>
    <x v="2"/>
    <x v="0"/>
    <x v="2"/>
    <n v="27"/>
    <x v="2"/>
    <x v="1"/>
  </r>
  <r>
    <n v="22127"/>
    <x v="0"/>
    <x v="1"/>
    <n v="60000"/>
    <n v="3"/>
    <x v="4"/>
    <s v="Management"/>
    <x v="0"/>
    <x v="2"/>
    <x v="3"/>
    <x v="2"/>
    <n v="67"/>
    <x v="1"/>
    <x v="0"/>
  </r>
  <r>
    <n v="20414"/>
    <x v="0"/>
    <x v="0"/>
    <n v="60000"/>
    <n v="0"/>
    <x v="1"/>
    <s v="Skilled Manual"/>
    <x v="0"/>
    <x v="2"/>
    <x v="2"/>
    <x v="2"/>
    <n v="29"/>
    <x v="2"/>
    <x v="0"/>
  </r>
  <r>
    <n v="23672"/>
    <x v="0"/>
    <x v="0"/>
    <n v="60000"/>
    <n v="3"/>
    <x v="4"/>
    <s v="Management"/>
    <x v="0"/>
    <x v="2"/>
    <x v="3"/>
    <x v="2"/>
    <n v="67"/>
    <x v="1"/>
    <x v="0"/>
  </r>
  <r>
    <n v="29255"/>
    <x v="1"/>
    <x v="1"/>
    <n v="80000"/>
    <n v="3"/>
    <x v="1"/>
    <s v="Professional"/>
    <x v="1"/>
    <x v="1"/>
    <x v="3"/>
    <x v="2"/>
    <n v="51"/>
    <x v="0"/>
    <x v="1"/>
  </r>
  <r>
    <n v="28815"/>
    <x v="0"/>
    <x v="0"/>
    <n v="50000"/>
    <n v="1"/>
    <x v="4"/>
    <s v="Skilled Manual"/>
    <x v="0"/>
    <x v="0"/>
    <x v="0"/>
    <x v="2"/>
    <n v="35"/>
    <x v="0"/>
    <x v="0"/>
  </r>
  <r>
    <n v="27753"/>
    <x v="0"/>
    <x v="1"/>
    <n v="40000"/>
    <n v="0"/>
    <x v="2"/>
    <s v="Skilled Manual"/>
    <x v="1"/>
    <x v="2"/>
    <x v="3"/>
    <x v="2"/>
    <n v="30"/>
    <x v="2"/>
    <x v="0"/>
  </r>
  <r>
    <n v="27643"/>
    <x v="1"/>
    <x v="1"/>
    <n v="70000"/>
    <n v="5"/>
    <x v="1"/>
    <s v="Professional"/>
    <x v="0"/>
    <x v="4"/>
    <x v="1"/>
    <x v="2"/>
    <n v="44"/>
    <x v="0"/>
    <x v="0"/>
  </r>
  <r>
    <n v="13754"/>
    <x v="1"/>
    <x v="0"/>
    <n v="80000"/>
    <n v="4"/>
    <x v="4"/>
    <s v="Skilled Manual"/>
    <x v="0"/>
    <x v="0"/>
    <x v="3"/>
    <x v="2"/>
    <n v="48"/>
    <x v="0"/>
    <x v="0"/>
  </r>
  <r>
    <n v="22088"/>
    <x v="0"/>
    <x v="0"/>
    <n v="130000"/>
    <n v="1"/>
    <x v="0"/>
    <s v="Management"/>
    <x v="0"/>
    <x v="2"/>
    <x v="0"/>
    <x v="2"/>
    <n v="45"/>
    <x v="0"/>
    <x v="1"/>
  </r>
  <r>
    <n v="27388"/>
    <x v="0"/>
    <x v="1"/>
    <n v="60000"/>
    <n v="3"/>
    <x v="0"/>
    <s v="Management"/>
    <x v="1"/>
    <x v="2"/>
    <x v="3"/>
    <x v="2"/>
    <n v="66"/>
    <x v="1"/>
    <x v="0"/>
  </r>
  <r>
    <n v="24745"/>
    <x v="1"/>
    <x v="0"/>
    <n v="30000"/>
    <n v="2"/>
    <x v="2"/>
    <s v="Skilled Manual"/>
    <x v="1"/>
    <x v="2"/>
    <x v="0"/>
    <x v="2"/>
    <n v="49"/>
    <x v="0"/>
    <x v="0"/>
  </r>
  <r>
    <n v="29237"/>
    <x v="1"/>
    <x v="0"/>
    <n v="120000"/>
    <n v="4"/>
    <x v="1"/>
    <s v="Professional"/>
    <x v="0"/>
    <x v="4"/>
    <x v="2"/>
    <x v="2"/>
    <n v="43"/>
    <x v="0"/>
    <x v="1"/>
  </r>
  <r>
    <n v="15272"/>
    <x v="1"/>
    <x v="1"/>
    <n v="40000"/>
    <n v="0"/>
    <x v="2"/>
    <s v="Skilled Manual"/>
    <x v="1"/>
    <x v="2"/>
    <x v="3"/>
    <x v="2"/>
    <n v="30"/>
    <x v="2"/>
    <x v="0"/>
  </r>
  <r>
    <n v="18949"/>
    <x v="1"/>
    <x v="1"/>
    <n v="70000"/>
    <n v="0"/>
    <x v="4"/>
    <s v="Management"/>
    <x v="0"/>
    <x v="2"/>
    <x v="2"/>
    <x v="2"/>
    <n v="74"/>
    <x v="1"/>
    <x v="1"/>
  </r>
  <r>
    <n v="14507"/>
    <x v="0"/>
    <x v="1"/>
    <n v="100000"/>
    <n v="2"/>
    <x v="4"/>
    <s v="Management"/>
    <x v="0"/>
    <x v="4"/>
    <x v="3"/>
    <x v="2"/>
    <n v="65"/>
    <x v="1"/>
    <x v="0"/>
  </r>
  <r>
    <n v="25886"/>
    <x v="0"/>
    <x v="0"/>
    <n v="60000"/>
    <n v="2"/>
    <x v="1"/>
    <s v="Professional"/>
    <x v="0"/>
    <x v="2"/>
    <x v="1"/>
    <x v="2"/>
    <n v="56"/>
    <x v="1"/>
    <x v="1"/>
  </r>
  <r>
    <n v="21441"/>
    <x v="0"/>
    <x v="1"/>
    <n v="50000"/>
    <n v="4"/>
    <x v="0"/>
    <s v="Management"/>
    <x v="0"/>
    <x v="2"/>
    <x v="4"/>
    <x v="2"/>
    <n v="64"/>
    <x v="1"/>
    <x v="0"/>
  </r>
  <r>
    <n v="21741"/>
    <x v="0"/>
    <x v="0"/>
    <n v="70000"/>
    <n v="3"/>
    <x v="1"/>
    <s v="Professional"/>
    <x v="0"/>
    <x v="2"/>
    <x v="2"/>
    <x v="2"/>
    <n v="50"/>
    <x v="0"/>
    <x v="1"/>
  </r>
  <r>
    <n v="14572"/>
    <x v="0"/>
    <x v="0"/>
    <n v="70000"/>
    <n v="3"/>
    <x v="4"/>
    <s v="Professional"/>
    <x v="0"/>
    <x v="0"/>
    <x v="1"/>
    <x v="2"/>
    <n v="35"/>
    <x v="0"/>
    <x v="1"/>
  </r>
  <r>
    <n v="23368"/>
    <x v="0"/>
    <x v="0"/>
    <n v="60000"/>
    <n v="5"/>
    <x v="0"/>
    <s v="Skilled Manual"/>
    <x v="0"/>
    <x v="4"/>
    <x v="4"/>
    <x v="2"/>
    <n v="41"/>
    <x v="0"/>
    <x v="0"/>
  </r>
  <r>
    <n v="16217"/>
    <x v="1"/>
    <x v="0"/>
    <n v="60000"/>
    <n v="0"/>
    <x v="4"/>
    <s v="Skilled Manual"/>
    <x v="0"/>
    <x v="0"/>
    <x v="0"/>
    <x v="2"/>
    <n v="39"/>
    <x v="0"/>
    <x v="0"/>
  </r>
  <r>
    <n v="16247"/>
    <x v="1"/>
    <x v="0"/>
    <n v="60000"/>
    <n v="4"/>
    <x v="4"/>
    <s v="Skilled Manual"/>
    <x v="1"/>
    <x v="0"/>
    <x v="3"/>
    <x v="2"/>
    <n v="47"/>
    <x v="0"/>
    <x v="0"/>
  </r>
  <r>
    <n v="22010"/>
    <x v="1"/>
    <x v="1"/>
    <n v="40000"/>
    <n v="0"/>
    <x v="2"/>
    <s v="Skilled Manual"/>
    <x v="0"/>
    <x v="2"/>
    <x v="2"/>
    <x v="2"/>
    <n v="31"/>
    <x v="0"/>
    <x v="0"/>
  </r>
  <r>
    <n v="25872"/>
    <x v="1"/>
    <x v="0"/>
    <n v="70000"/>
    <n v="2"/>
    <x v="0"/>
    <s v="Management"/>
    <x v="1"/>
    <x v="1"/>
    <x v="1"/>
    <x v="2"/>
    <n v="58"/>
    <x v="1"/>
    <x v="1"/>
  </r>
  <r>
    <n v="19164"/>
    <x v="1"/>
    <x v="0"/>
    <n v="70000"/>
    <n v="0"/>
    <x v="0"/>
    <s v="Professional"/>
    <x v="1"/>
    <x v="1"/>
    <x v="1"/>
    <x v="2"/>
    <n v="38"/>
    <x v="0"/>
    <x v="1"/>
  </r>
  <r>
    <n v="18435"/>
    <x v="1"/>
    <x v="0"/>
    <n v="70000"/>
    <n v="5"/>
    <x v="4"/>
    <s v="Management"/>
    <x v="0"/>
    <x v="2"/>
    <x v="4"/>
    <x v="2"/>
    <n v="67"/>
    <x v="1"/>
    <x v="1"/>
  </r>
  <r>
    <n v="14284"/>
    <x v="1"/>
    <x v="1"/>
    <n v="60000"/>
    <n v="0"/>
    <x v="1"/>
    <s v="Professional"/>
    <x v="1"/>
    <x v="2"/>
    <x v="3"/>
    <x v="2"/>
    <n v="32"/>
    <x v="0"/>
    <x v="1"/>
  </r>
  <r>
    <n v="11287"/>
    <x v="0"/>
    <x v="1"/>
    <n v="70000"/>
    <n v="5"/>
    <x v="1"/>
    <s v="Professional"/>
    <x v="1"/>
    <x v="4"/>
    <x v="2"/>
    <x v="2"/>
    <n v="45"/>
    <x v="0"/>
    <x v="0"/>
  </r>
  <r>
    <n v="13066"/>
    <x v="1"/>
    <x v="1"/>
    <n v="30000"/>
    <n v="0"/>
    <x v="2"/>
    <s v="Skilled Manual"/>
    <x v="1"/>
    <x v="2"/>
    <x v="3"/>
    <x v="2"/>
    <n v="31"/>
    <x v="0"/>
    <x v="1"/>
  </r>
  <r>
    <n v="29106"/>
    <x v="1"/>
    <x v="1"/>
    <n v="40000"/>
    <n v="0"/>
    <x v="2"/>
    <s v="Skilled Manual"/>
    <x v="1"/>
    <x v="2"/>
    <x v="3"/>
    <x v="2"/>
    <n v="31"/>
    <x v="0"/>
    <x v="1"/>
  </r>
  <r>
    <n v="26236"/>
    <x v="0"/>
    <x v="0"/>
    <n v="40000"/>
    <n v="3"/>
    <x v="1"/>
    <s v="Clerical"/>
    <x v="0"/>
    <x v="1"/>
    <x v="0"/>
    <x v="2"/>
    <n v="31"/>
    <x v="0"/>
    <x v="0"/>
  </r>
  <r>
    <n v="17531"/>
    <x v="0"/>
    <x v="1"/>
    <n v="60000"/>
    <n v="2"/>
    <x v="2"/>
    <s v="Professional"/>
    <x v="1"/>
    <x v="2"/>
    <x v="2"/>
    <x v="2"/>
    <n v="50"/>
    <x v="0"/>
    <x v="0"/>
  </r>
  <r>
    <n v="12964"/>
    <x v="0"/>
    <x v="1"/>
    <n v="70000"/>
    <n v="1"/>
    <x v="1"/>
    <s v="Skilled Manual"/>
    <x v="0"/>
    <x v="1"/>
    <x v="0"/>
    <x v="2"/>
    <n v="44"/>
    <x v="0"/>
    <x v="0"/>
  </r>
  <r>
    <n v="19133"/>
    <x v="1"/>
    <x v="1"/>
    <n v="50000"/>
    <n v="2"/>
    <x v="0"/>
    <s v="Skilled Manual"/>
    <x v="0"/>
    <x v="1"/>
    <x v="1"/>
    <x v="2"/>
    <n v="38"/>
    <x v="0"/>
    <x v="1"/>
  </r>
  <r>
    <n v="24643"/>
    <x v="1"/>
    <x v="0"/>
    <n v="60000"/>
    <n v="4"/>
    <x v="0"/>
    <s v="Management"/>
    <x v="0"/>
    <x v="2"/>
    <x v="4"/>
    <x v="2"/>
    <n v="63"/>
    <x v="1"/>
    <x v="0"/>
  </r>
  <r>
    <n v="21599"/>
    <x v="0"/>
    <x v="0"/>
    <n v="60000"/>
    <n v="1"/>
    <x v="4"/>
    <s v="Professional"/>
    <x v="0"/>
    <x v="0"/>
    <x v="1"/>
    <x v="2"/>
    <n v="36"/>
    <x v="0"/>
    <x v="1"/>
  </r>
  <r>
    <n v="22976"/>
    <x v="1"/>
    <x v="1"/>
    <n v="40000"/>
    <n v="0"/>
    <x v="2"/>
    <s v="Skilled Manual"/>
    <x v="1"/>
    <x v="2"/>
    <x v="0"/>
    <x v="2"/>
    <n v="28"/>
    <x v="2"/>
    <x v="1"/>
  </r>
  <r>
    <n v="27637"/>
    <x v="1"/>
    <x v="0"/>
    <n v="100000"/>
    <n v="1"/>
    <x v="1"/>
    <s v="Professional"/>
    <x v="1"/>
    <x v="4"/>
    <x v="3"/>
    <x v="2"/>
    <n v="44"/>
    <x v="0"/>
    <x v="0"/>
  </r>
  <r>
    <n v="11890"/>
    <x v="0"/>
    <x v="0"/>
    <n v="70000"/>
    <n v="5"/>
    <x v="4"/>
    <s v="Professional"/>
    <x v="0"/>
    <x v="1"/>
    <x v="0"/>
    <x v="2"/>
    <n v="47"/>
    <x v="0"/>
    <x v="0"/>
  </r>
  <r>
    <n v="28580"/>
    <x v="0"/>
    <x v="0"/>
    <n v="80000"/>
    <n v="0"/>
    <x v="4"/>
    <s v="Skilled Manual"/>
    <x v="0"/>
    <x v="0"/>
    <x v="3"/>
    <x v="2"/>
    <n v="40"/>
    <x v="0"/>
    <x v="1"/>
  </r>
  <r>
    <n v="14443"/>
    <x v="0"/>
    <x v="1"/>
    <n v="130000"/>
    <n v="1"/>
    <x v="4"/>
    <s v="Management"/>
    <x v="0"/>
    <x v="3"/>
    <x v="0"/>
    <x v="2"/>
    <n v="40"/>
    <x v="0"/>
    <x v="0"/>
  </r>
  <r>
    <n v="17864"/>
    <x v="0"/>
    <x v="0"/>
    <n v="60000"/>
    <n v="1"/>
    <x v="1"/>
    <s v="Skilled Manual"/>
    <x v="0"/>
    <x v="1"/>
    <x v="1"/>
    <x v="2"/>
    <n v="46"/>
    <x v="0"/>
    <x v="1"/>
  </r>
  <r>
    <n v="20505"/>
    <x v="0"/>
    <x v="0"/>
    <n v="40000"/>
    <n v="5"/>
    <x v="2"/>
    <s v="Professional"/>
    <x v="1"/>
    <x v="2"/>
    <x v="4"/>
    <x v="2"/>
    <n v="61"/>
    <x v="1"/>
    <x v="0"/>
  </r>
  <r>
    <n v="14592"/>
    <x v="0"/>
    <x v="0"/>
    <n v="60000"/>
    <n v="0"/>
    <x v="4"/>
    <s v="Professional"/>
    <x v="0"/>
    <x v="0"/>
    <x v="0"/>
    <x v="2"/>
    <n v="40"/>
    <x v="0"/>
    <x v="0"/>
  </r>
  <r>
    <n v="22227"/>
    <x v="0"/>
    <x v="0"/>
    <n v="60000"/>
    <n v="2"/>
    <x v="2"/>
    <s v="Professional"/>
    <x v="0"/>
    <x v="2"/>
    <x v="2"/>
    <x v="2"/>
    <n v="50"/>
    <x v="0"/>
    <x v="0"/>
  </r>
  <r>
    <n v="21471"/>
    <x v="0"/>
    <x v="1"/>
    <n v="70000"/>
    <n v="2"/>
    <x v="1"/>
    <s v="Professional"/>
    <x v="0"/>
    <x v="1"/>
    <x v="4"/>
    <x v="2"/>
    <n v="59"/>
    <x v="1"/>
    <x v="0"/>
  </r>
  <r>
    <n v="22252"/>
    <x v="1"/>
    <x v="0"/>
    <n v="60000"/>
    <n v="1"/>
    <x v="4"/>
    <s v="Professional"/>
    <x v="0"/>
    <x v="0"/>
    <x v="1"/>
    <x v="2"/>
    <n v="36"/>
    <x v="0"/>
    <x v="1"/>
  </r>
  <r>
    <n v="21260"/>
    <x v="1"/>
    <x v="0"/>
    <n v="40000"/>
    <n v="0"/>
    <x v="2"/>
    <s v="Skilled Manual"/>
    <x v="0"/>
    <x v="2"/>
    <x v="2"/>
    <x v="2"/>
    <n v="30"/>
    <x v="2"/>
    <x v="0"/>
  </r>
  <r>
    <n v="11817"/>
    <x v="1"/>
    <x v="0"/>
    <n v="70000"/>
    <n v="4"/>
    <x v="4"/>
    <s v="Professional"/>
    <x v="0"/>
    <x v="0"/>
    <x v="1"/>
    <x v="2"/>
    <n v="35"/>
    <x v="0"/>
    <x v="1"/>
  </r>
  <r>
    <n v="19223"/>
    <x v="0"/>
    <x v="0"/>
    <n v="30000"/>
    <n v="2"/>
    <x v="2"/>
    <s v="Skilled Manual"/>
    <x v="0"/>
    <x v="2"/>
    <x v="3"/>
    <x v="2"/>
    <n v="48"/>
    <x v="0"/>
    <x v="0"/>
  </r>
  <r>
    <n v="18517"/>
    <x v="0"/>
    <x v="1"/>
    <n v="100000"/>
    <n v="3"/>
    <x v="0"/>
    <s v="Management"/>
    <x v="0"/>
    <x v="3"/>
    <x v="0"/>
    <x v="2"/>
    <n v="41"/>
    <x v="0"/>
    <x v="0"/>
  </r>
  <r>
    <n v="21717"/>
    <x v="0"/>
    <x v="1"/>
    <n v="40000"/>
    <n v="2"/>
    <x v="1"/>
    <s v="Clerical"/>
    <x v="0"/>
    <x v="1"/>
    <x v="0"/>
    <x v="2"/>
    <n v="47"/>
    <x v="0"/>
    <x v="0"/>
  </r>
  <r>
    <n v="13760"/>
    <x v="0"/>
    <x v="1"/>
    <n v="60000"/>
    <n v="4"/>
    <x v="4"/>
    <s v="Skilled Manual"/>
    <x v="1"/>
    <x v="0"/>
    <x v="0"/>
    <x v="2"/>
    <n v="47"/>
    <x v="0"/>
    <x v="0"/>
  </r>
  <r>
    <n v="18145"/>
    <x v="0"/>
    <x v="1"/>
    <n v="80000"/>
    <n v="5"/>
    <x v="0"/>
    <s v="Management"/>
    <x v="1"/>
    <x v="2"/>
    <x v="1"/>
    <x v="0"/>
    <n v="62"/>
    <x v="1"/>
    <x v="0"/>
  </r>
  <r>
    <n v="21770"/>
    <x v="0"/>
    <x v="1"/>
    <n v="60000"/>
    <n v="4"/>
    <x v="0"/>
    <s v="Management"/>
    <x v="0"/>
    <x v="2"/>
    <x v="4"/>
    <x v="2"/>
    <n v="60"/>
    <x v="1"/>
    <x v="0"/>
  </r>
  <r>
    <n v="11165"/>
    <x v="0"/>
    <x v="0"/>
    <n v="60000"/>
    <n v="0"/>
    <x v="1"/>
    <s v="Skilled Manual"/>
    <x v="1"/>
    <x v="1"/>
    <x v="3"/>
    <x v="2"/>
    <n v="33"/>
    <x v="0"/>
    <x v="0"/>
  </r>
  <r>
    <n v="16377"/>
    <x v="1"/>
    <x v="0"/>
    <n v="80000"/>
    <n v="4"/>
    <x v="4"/>
    <s v="Skilled Manual"/>
    <x v="1"/>
    <x v="0"/>
    <x v="0"/>
    <x v="2"/>
    <n v="47"/>
    <x v="0"/>
    <x v="0"/>
  </r>
  <r>
    <n v="26248"/>
    <x v="0"/>
    <x v="1"/>
    <n v="20000"/>
    <n v="3"/>
    <x v="3"/>
    <s v="Clerical"/>
    <x v="1"/>
    <x v="2"/>
    <x v="0"/>
    <x v="2"/>
    <n v="52"/>
    <x v="0"/>
    <x v="0"/>
  </r>
  <r>
    <n v="23461"/>
    <x v="0"/>
    <x v="0"/>
    <n v="90000"/>
    <n v="5"/>
    <x v="1"/>
    <s v="Professional"/>
    <x v="0"/>
    <x v="4"/>
    <x v="1"/>
    <x v="2"/>
    <n v="40"/>
    <x v="0"/>
    <x v="0"/>
  </r>
  <r>
    <n v="29133"/>
    <x v="1"/>
    <x v="0"/>
    <n v="60000"/>
    <n v="4"/>
    <x v="0"/>
    <s v="Skilled Manual"/>
    <x v="1"/>
    <x v="2"/>
    <x v="0"/>
    <x v="2"/>
    <n v="42"/>
    <x v="0"/>
    <x v="0"/>
  </r>
  <r>
    <n v="27673"/>
    <x v="1"/>
    <x v="0"/>
    <n v="60000"/>
    <n v="3"/>
    <x v="4"/>
    <s v="Management"/>
    <x v="0"/>
    <x v="2"/>
    <x v="2"/>
    <x v="2"/>
    <n v="53"/>
    <x v="0"/>
    <x v="1"/>
  </r>
  <r>
    <n v="12774"/>
    <x v="0"/>
    <x v="0"/>
    <n v="40000"/>
    <n v="1"/>
    <x v="1"/>
    <s v="Clerical"/>
    <x v="0"/>
    <x v="1"/>
    <x v="3"/>
    <x v="2"/>
    <n v="51"/>
    <x v="0"/>
    <x v="1"/>
  </r>
  <r>
    <n v="18910"/>
    <x v="1"/>
    <x v="1"/>
    <n v="30000"/>
    <n v="0"/>
    <x v="1"/>
    <s v="Skilled Manual"/>
    <x v="0"/>
    <x v="2"/>
    <x v="2"/>
    <x v="2"/>
    <n v="30"/>
    <x v="2"/>
    <x v="0"/>
  </r>
  <r>
    <n v="11699"/>
    <x v="1"/>
    <x v="1"/>
    <n v="60000"/>
    <n v="0"/>
    <x v="0"/>
    <s v="Skilled Manual"/>
    <x v="1"/>
    <x v="2"/>
    <x v="0"/>
    <x v="2"/>
    <n v="30"/>
    <x v="2"/>
    <x v="0"/>
  </r>
  <r>
    <n v="16725"/>
    <x v="0"/>
    <x v="1"/>
    <n v="30000"/>
    <n v="0"/>
    <x v="2"/>
    <s v="Skilled Manual"/>
    <x v="0"/>
    <x v="2"/>
    <x v="2"/>
    <x v="2"/>
    <n v="26"/>
    <x v="2"/>
    <x v="0"/>
  </r>
  <r>
    <n v="28269"/>
    <x v="1"/>
    <x v="0"/>
    <n v="130000"/>
    <n v="1"/>
    <x v="0"/>
    <s v="Management"/>
    <x v="1"/>
    <x v="1"/>
    <x v="1"/>
    <x v="2"/>
    <n v="45"/>
    <x v="0"/>
    <x v="0"/>
  </r>
  <r>
    <n v="23144"/>
    <x v="0"/>
    <x v="1"/>
    <n v="50000"/>
    <n v="1"/>
    <x v="0"/>
    <s v="Skilled Manual"/>
    <x v="0"/>
    <x v="0"/>
    <x v="0"/>
    <x v="2"/>
    <n v="34"/>
    <x v="0"/>
    <x v="1"/>
  </r>
  <r>
    <n v="23376"/>
    <x v="0"/>
    <x v="1"/>
    <n v="70000"/>
    <n v="1"/>
    <x v="0"/>
    <s v="Professional"/>
    <x v="0"/>
    <x v="1"/>
    <x v="1"/>
    <x v="2"/>
    <n v="44"/>
    <x v="0"/>
    <x v="1"/>
  </r>
  <r>
    <n v="25970"/>
    <x v="1"/>
    <x v="0"/>
    <n v="60000"/>
    <n v="4"/>
    <x v="0"/>
    <s v="Skilled Manual"/>
    <x v="1"/>
    <x v="2"/>
    <x v="0"/>
    <x v="2"/>
    <n v="41"/>
    <x v="0"/>
    <x v="1"/>
  </r>
  <r>
    <n v="28068"/>
    <x v="1"/>
    <x v="0"/>
    <n v="80000"/>
    <n v="3"/>
    <x v="4"/>
    <s v="Professional"/>
    <x v="1"/>
    <x v="0"/>
    <x v="0"/>
    <x v="2"/>
    <n v="36"/>
    <x v="0"/>
    <x v="1"/>
  </r>
  <r>
    <n v="18390"/>
    <x v="0"/>
    <x v="1"/>
    <n v="80000"/>
    <n v="5"/>
    <x v="1"/>
    <s v="Professional"/>
    <x v="0"/>
    <x v="2"/>
    <x v="0"/>
    <x v="2"/>
    <n v="44"/>
    <x v="0"/>
    <x v="0"/>
  </r>
  <r>
    <n v="29112"/>
    <x v="1"/>
    <x v="1"/>
    <n v="60000"/>
    <n v="0"/>
    <x v="1"/>
    <s v="Professional"/>
    <x v="1"/>
    <x v="2"/>
    <x v="3"/>
    <x v="2"/>
    <n v="30"/>
    <x v="2"/>
    <x v="0"/>
  </r>
  <r>
    <n v="14090"/>
    <x v="0"/>
    <x v="0"/>
    <n v="30000"/>
    <n v="0"/>
    <x v="3"/>
    <s v="Clerical"/>
    <x v="1"/>
    <x v="2"/>
    <x v="0"/>
    <x v="2"/>
    <n v="28"/>
    <x v="2"/>
    <x v="0"/>
  </r>
  <r>
    <n v="27040"/>
    <x v="0"/>
    <x v="1"/>
    <n v="20000"/>
    <n v="2"/>
    <x v="3"/>
    <s v="Clerical"/>
    <x v="0"/>
    <x v="2"/>
    <x v="3"/>
    <x v="2"/>
    <n v="49"/>
    <x v="0"/>
    <x v="0"/>
  </r>
  <r>
    <n v="23479"/>
    <x v="1"/>
    <x v="1"/>
    <n v="90000"/>
    <n v="0"/>
    <x v="1"/>
    <s v="Professional"/>
    <x v="1"/>
    <x v="2"/>
    <x v="0"/>
    <x v="2"/>
    <n v="43"/>
    <x v="0"/>
    <x v="1"/>
  </r>
  <r>
    <n v="16795"/>
    <x v="0"/>
    <x v="0"/>
    <n v="70000"/>
    <n v="4"/>
    <x v="0"/>
    <s v="Management"/>
    <x v="0"/>
    <x v="1"/>
    <x v="3"/>
    <x v="2"/>
    <n v="59"/>
    <x v="1"/>
    <x v="0"/>
  </r>
  <r>
    <n v="22014"/>
    <x v="1"/>
    <x v="1"/>
    <n v="30000"/>
    <n v="0"/>
    <x v="2"/>
    <s v="Skilled Manual"/>
    <x v="0"/>
    <x v="2"/>
    <x v="2"/>
    <x v="2"/>
    <n v="26"/>
    <x v="2"/>
    <x v="0"/>
  </r>
  <r>
    <n v="13314"/>
    <x v="0"/>
    <x v="1"/>
    <n v="120000"/>
    <n v="1"/>
    <x v="2"/>
    <s v="Professional"/>
    <x v="0"/>
    <x v="3"/>
    <x v="2"/>
    <x v="2"/>
    <n v="46"/>
    <x v="0"/>
    <x v="1"/>
  </r>
  <r>
    <n v="11619"/>
    <x v="1"/>
    <x v="0"/>
    <n v="50000"/>
    <n v="0"/>
    <x v="4"/>
    <s v="Skilled Manual"/>
    <x v="0"/>
    <x v="0"/>
    <x v="3"/>
    <x v="2"/>
    <n v="33"/>
    <x v="0"/>
    <x v="0"/>
  </r>
  <r>
    <n v="29132"/>
    <x v="1"/>
    <x v="0"/>
    <n v="40000"/>
    <n v="0"/>
    <x v="0"/>
    <s v="Professional"/>
    <x v="0"/>
    <x v="1"/>
    <x v="1"/>
    <x v="2"/>
    <n v="42"/>
    <x v="0"/>
    <x v="1"/>
  </r>
  <r>
    <n v="11199"/>
    <x v="0"/>
    <x v="0"/>
    <n v="70000"/>
    <n v="4"/>
    <x v="0"/>
    <s v="Management"/>
    <x v="0"/>
    <x v="1"/>
    <x v="4"/>
    <x v="2"/>
    <n v="59"/>
    <x v="1"/>
    <x v="0"/>
  </r>
  <r>
    <n v="20296"/>
    <x v="1"/>
    <x v="0"/>
    <n v="60000"/>
    <n v="0"/>
    <x v="1"/>
    <s v="Skilled Manual"/>
    <x v="1"/>
    <x v="1"/>
    <x v="3"/>
    <x v="2"/>
    <n v="33"/>
    <x v="0"/>
    <x v="1"/>
  </r>
  <r>
    <n v="17546"/>
    <x v="0"/>
    <x v="0"/>
    <n v="70000"/>
    <n v="1"/>
    <x v="1"/>
    <s v="Skilled Manual"/>
    <x v="0"/>
    <x v="1"/>
    <x v="0"/>
    <x v="2"/>
    <n v="44"/>
    <x v="0"/>
    <x v="1"/>
  </r>
  <r>
    <n v="18069"/>
    <x v="0"/>
    <x v="1"/>
    <n v="70000"/>
    <n v="5"/>
    <x v="0"/>
    <s v="Management"/>
    <x v="0"/>
    <x v="3"/>
    <x v="4"/>
    <x v="2"/>
    <n v="60"/>
    <x v="1"/>
    <x v="0"/>
  </r>
  <r>
    <n v="23712"/>
    <x v="1"/>
    <x v="0"/>
    <n v="70000"/>
    <n v="2"/>
    <x v="0"/>
    <s v="Management"/>
    <x v="0"/>
    <x v="1"/>
    <x v="4"/>
    <x v="2"/>
    <n v="59"/>
    <x v="1"/>
    <x v="0"/>
  </r>
  <r>
    <n v="23358"/>
    <x v="0"/>
    <x v="1"/>
    <n v="60000"/>
    <n v="0"/>
    <x v="2"/>
    <s v="Professional"/>
    <x v="0"/>
    <x v="2"/>
    <x v="2"/>
    <x v="2"/>
    <n v="32"/>
    <x v="0"/>
    <x v="1"/>
  </r>
  <r>
    <n v="20518"/>
    <x v="0"/>
    <x v="0"/>
    <n v="70000"/>
    <n v="2"/>
    <x v="1"/>
    <s v="Professional"/>
    <x v="0"/>
    <x v="1"/>
    <x v="4"/>
    <x v="2"/>
    <n v="58"/>
    <x v="1"/>
    <x v="0"/>
  </r>
  <r>
    <n v="28026"/>
    <x v="0"/>
    <x v="0"/>
    <n v="40000"/>
    <n v="2"/>
    <x v="2"/>
    <s v="Professional"/>
    <x v="1"/>
    <x v="2"/>
    <x v="1"/>
    <x v="2"/>
    <n v="59"/>
    <x v="1"/>
    <x v="0"/>
  </r>
  <r>
    <n v="11669"/>
    <x v="1"/>
    <x v="0"/>
    <n v="70000"/>
    <n v="2"/>
    <x v="0"/>
    <s v="Skilled Manual"/>
    <x v="0"/>
    <x v="1"/>
    <x v="1"/>
    <x v="2"/>
    <n v="38"/>
    <x v="0"/>
    <x v="0"/>
  </r>
  <r>
    <n v="16020"/>
    <x v="0"/>
    <x v="1"/>
    <n v="40000"/>
    <n v="0"/>
    <x v="2"/>
    <s v="Skilled Manual"/>
    <x v="0"/>
    <x v="2"/>
    <x v="2"/>
    <x v="2"/>
    <n v="28"/>
    <x v="2"/>
    <x v="1"/>
  </r>
  <r>
    <n v="27090"/>
    <x v="0"/>
    <x v="0"/>
    <n v="60000"/>
    <n v="1"/>
    <x v="4"/>
    <s v="Professional"/>
    <x v="0"/>
    <x v="0"/>
    <x v="1"/>
    <x v="2"/>
    <n v="37"/>
    <x v="0"/>
    <x v="1"/>
  </r>
  <r>
    <n v="27198"/>
    <x v="1"/>
    <x v="0"/>
    <n v="80000"/>
    <n v="0"/>
    <x v="4"/>
    <s v="Skilled Manual"/>
    <x v="1"/>
    <x v="0"/>
    <x v="0"/>
    <x v="2"/>
    <n v="40"/>
    <x v="0"/>
    <x v="0"/>
  </r>
  <r>
    <n v="19661"/>
    <x v="1"/>
    <x v="1"/>
    <n v="90000"/>
    <n v="4"/>
    <x v="0"/>
    <s v="Management"/>
    <x v="0"/>
    <x v="1"/>
    <x v="3"/>
    <x v="2"/>
    <n v="38"/>
    <x v="0"/>
    <x v="1"/>
  </r>
  <r>
    <n v="26327"/>
    <x v="0"/>
    <x v="1"/>
    <n v="70000"/>
    <n v="4"/>
    <x v="4"/>
    <s v="Professional"/>
    <x v="0"/>
    <x v="0"/>
    <x v="1"/>
    <x v="2"/>
    <n v="36"/>
    <x v="0"/>
    <x v="1"/>
  </r>
  <r>
    <n v="26341"/>
    <x v="0"/>
    <x v="0"/>
    <n v="70000"/>
    <n v="5"/>
    <x v="4"/>
    <s v="Professional"/>
    <x v="0"/>
    <x v="2"/>
    <x v="0"/>
    <x v="2"/>
    <n v="37"/>
    <x v="0"/>
    <x v="0"/>
  </r>
  <r>
    <n v="24958"/>
    <x v="1"/>
    <x v="0"/>
    <n v="40000"/>
    <n v="5"/>
    <x v="2"/>
    <s v="Professional"/>
    <x v="1"/>
    <x v="4"/>
    <x v="1"/>
    <x v="2"/>
    <n v="60"/>
    <x v="1"/>
    <x v="1"/>
  </r>
  <r>
    <n v="13287"/>
    <x v="1"/>
    <x v="1"/>
    <n v="110000"/>
    <n v="4"/>
    <x v="0"/>
    <s v="Management"/>
    <x v="0"/>
    <x v="3"/>
    <x v="2"/>
    <x v="2"/>
    <n v="42"/>
    <x v="0"/>
    <x v="1"/>
  </r>
  <r>
    <n v="14493"/>
    <x v="1"/>
    <x v="0"/>
    <n v="70000"/>
    <n v="3"/>
    <x v="4"/>
    <s v="Management"/>
    <x v="1"/>
    <x v="2"/>
    <x v="3"/>
    <x v="2"/>
    <n v="53"/>
    <x v="0"/>
    <x v="0"/>
  </r>
  <r>
    <n v="26678"/>
    <x v="1"/>
    <x v="0"/>
    <n v="80000"/>
    <n v="2"/>
    <x v="3"/>
    <s v="Skilled Manual"/>
    <x v="0"/>
    <x v="2"/>
    <x v="2"/>
    <x v="2"/>
    <n v="49"/>
    <x v="0"/>
    <x v="0"/>
  </r>
  <r>
    <n v="23275"/>
    <x v="0"/>
    <x v="1"/>
    <n v="30000"/>
    <n v="2"/>
    <x v="2"/>
    <s v="Skilled Manual"/>
    <x v="0"/>
    <x v="2"/>
    <x v="3"/>
    <x v="2"/>
    <n v="49"/>
    <x v="0"/>
    <x v="0"/>
  </r>
  <r>
    <n v="11270"/>
    <x v="0"/>
    <x v="1"/>
    <n v="130000"/>
    <n v="2"/>
    <x v="4"/>
    <s v="Management"/>
    <x v="0"/>
    <x v="4"/>
    <x v="0"/>
    <x v="2"/>
    <n v="42"/>
    <x v="0"/>
    <x v="1"/>
  </r>
  <r>
    <n v="20084"/>
    <x v="0"/>
    <x v="1"/>
    <n v="20000"/>
    <n v="2"/>
    <x v="2"/>
    <s v="Manual"/>
    <x v="1"/>
    <x v="2"/>
    <x v="0"/>
    <x v="2"/>
    <n v="53"/>
    <x v="0"/>
    <x v="0"/>
  </r>
  <r>
    <n v="16144"/>
    <x v="0"/>
    <x v="1"/>
    <n v="70000"/>
    <n v="1"/>
    <x v="4"/>
    <s v="Professional"/>
    <x v="0"/>
    <x v="1"/>
    <x v="0"/>
    <x v="2"/>
    <n v="46"/>
    <x v="0"/>
    <x v="1"/>
  </r>
  <r>
    <n v="27731"/>
    <x v="0"/>
    <x v="1"/>
    <n v="40000"/>
    <n v="0"/>
    <x v="2"/>
    <s v="Skilled Manual"/>
    <x v="0"/>
    <x v="2"/>
    <x v="2"/>
    <x v="2"/>
    <n v="27"/>
    <x v="2"/>
    <x v="0"/>
  </r>
  <r>
    <n v="11886"/>
    <x v="0"/>
    <x v="0"/>
    <n v="60000"/>
    <n v="3"/>
    <x v="0"/>
    <s v="Professional"/>
    <x v="0"/>
    <x v="1"/>
    <x v="0"/>
    <x v="2"/>
    <n v="48"/>
    <x v="0"/>
    <x v="1"/>
  </r>
  <r>
    <n v="24324"/>
    <x v="1"/>
    <x v="0"/>
    <n v="60000"/>
    <n v="4"/>
    <x v="0"/>
    <s v="Skilled Manual"/>
    <x v="0"/>
    <x v="2"/>
    <x v="1"/>
    <x v="2"/>
    <n v="41"/>
    <x v="0"/>
    <x v="1"/>
  </r>
  <r>
    <n v="22220"/>
    <x v="0"/>
    <x v="1"/>
    <n v="60000"/>
    <n v="2"/>
    <x v="2"/>
    <s v="Professional"/>
    <x v="1"/>
    <x v="2"/>
    <x v="3"/>
    <x v="2"/>
    <n v="49"/>
    <x v="0"/>
    <x v="1"/>
  </r>
  <r>
    <n v="26625"/>
    <x v="1"/>
    <x v="0"/>
    <n v="60000"/>
    <n v="0"/>
    <x v="4"/>
    <s v="Professional"/>
    <x v="0"/>
    <x v="1"/>
    <x v="1"/>
    <x v="2"/>
    <n v="38"/>
    <x v="0"/>
    <x v="1"/>
  </r>
  <r>
    <n v="23027"/>
    <x v="1"/>
    <x v="1"/>
    <n v="130000"/>
    <n v="1"/>
    <x v="0"/>
    <s v="Management"/>
    <x v="1"/>
    <x v="3"/>
    <x v="0"/>
    <x v="2"/>
    <n v="44"/>
    <x v="0"/>
    <x v="0"/>
  </r>
  <r>
    <n v="16867"/>
    <x v="1"/>
    <x v="0"/>
    <n v="130000"/>
    <n v="1"/>
    <x v="0"/>
    <s v="Management"/>
    <x v="1"/>
    <x v="4"/>
    <x v="0"/>
    <x v="2"/>
    <n v="45"/>
    <x v="0"/>
    <x v="1"/>
  </r>
  <r>
    <n v="14514"/>
    <x v="1"/>
    <x v="0"/>
    <n v="30000"/>
    <n v="0"/>
    <x v="1"/>
    <s v="Skilled Manual"/>
    <x v="0"/>
    <x v="1"/>
    <x v="2"/>
    <x v="2"/>
    <n v="26"/>
    <x v="2"/>
    <x v="0"/>
  </r>
  <r>
    <n v="19634"/>
    <x v="0"/>
    <x v="1"/>
    <n v="40000"/>
    <n v="0"/>
    <x v="2"/>
    <s v="Skilled Manual"/>
    <x v="0"/>
    <x v="1"/>
    <x v="2"/>
    <x v="2"/>
    <n v="31"/>
    <x v="0"/>
    <x v="0"/>
  </r>
  <r>
    <n v="18504"/>
    <x v="0"/>
    <x v="1"/>
    <n v="70000"/>
    <n v="2"/>
    <x v="3"/>
    <s v="Skilled Manual"/>
    <x v="1"/>
    <x v="2"/>
    <x v="3"/>
    <x v="2"/>
    <n v="49"/>
    <x v="0"/>
    <x v="0"/>
  </r>
  <r>
    <n v="28799"/>
    <x v="1"/>
    <x v="0"/>
    <n v="40000"/>
    <n v="2"/>
    <x v="1"/>
    <s v="Clerical"/>
    <x v="1"/>
    <x v="1"/>
    <x v="3"/>
    <x v="2"/>
    <n v="47"/>
    <x v="0"/>
    <x v="1"/>
  </r>
  <r>
    <n v="11225"/>
    <x v="0"/>
    <x v="0"/>
    <n v="60000"/>
    <n v="2"/>
    <x v="1"/>
    <s v="Professional"/>
    <x v="0"/>
    <x v="1"/>
    <x v="4"/>
    <x v="2"/>
    <n v="55"/>
    <x v="1"/>
    <x v="0"/>
  </r>
  <r>
    <n v="17657"/>
    <x v="0"/>
    <x v="1"/>
    <n v="40000"/>
    <n v="4"/>
    <x v="1"/>
    <s v="Clerical"/>
    <x v="1"/>
    <x v="0"/>
    <x v="0"/>
    <x v="2"/>
    <n v="30"/>
    <x v="2"/>
    <x v="0"/>
  </r>
  <r>
    <n v="14913"/>
    <x v="0"/>
    <x v="0"/>
    <n v="40000"/>
    <n v="1"/>
    <x v="1"/>
    <s v="Clerical"/>
    <x v="0"/>
    <x v="1"/>
    <x v="3"/>
    <x v="2"/>
    <n v="48"/>
    <x v="0"/>
    <x v="1"/>
  </r>
  <r>
    <n v="14077"/>
    <x v="1"/>
    <x v="1"/>
    <n v="30000"/>
    <n v="0"/>
    <x v="2"/>
    <s v="Skilled Manual"/>
    <x v="0"/>
    <x v="2"/>
    <x v="2"/>
    <x v="2"/>
    <n v="30"/>
    <x v="2"/>
    <x v="0"/>
  </r>
  <r>
    <n v="13296"/>
    <x v="0"/>
    <x v="1"/>
    <n v="110000"/>
    <n v="1"/>
    <x v="0"/>
    <s v="Management"/>
    <x v="0"/>
    <x v="4"/>
    <x v="2"/>
    <x v="2"/>
    <n v="45"/>
    <x v="0"/>
    <x v="0"/>
  </r>
  <r>
    <n v="20535"/>
    <x v="0"/>
    <x v="0"/>
    <n v="70000"/>
    <n v="4"/>
    <x v="1"/>
    <s v="Professional"/>
    <x v="0"/>
    <x v="1"/>
    <x v="4"/>
    <x v="2"/>
    <n v="56"/>
    <x v="1"/>
    <x v="0"/>
  </r>
  <r>
    <n v="12452"/>
    <x v="0"/>
    <x v="1"/>
    <n v="60000"/>
    <n v="4"/>
    <x v="4"/>
    <s v="Skilled Manual"/>
    <x v="0"/>
    <x v="0"/>
    <x v="3"/>
    <x v="2"/>
    <n v="47"/>
    <x v="0"/>
    <x v="1"/>
  </r>
  <r>
    <n v="28043"/>
    <x v="0"/>
    <x v="0"/>
    <n v="60000"/>
    <n v="2"/>
    <x v="0"/>
    <s v="Management"/>
    <x v="0"/>
    <x v="0"/>
    <x v="4"/>
    <x v="2"/>
    <n v="56"/>
    <x v="1"/>
    <x v="0"/>
  </r>
  <r>
    <n v="12957"/>
    <x v="1"/>
    <x v="0"/>
    <n v="70000"/>
    <n v="1"/>
    <x v="0"/>
    <s v="Professional"/>
    <x v="1"/>
    <x v="1"/>
    <x v="0"/>
    <x v="2"/>
    <n v="44"/>
    <x v="0"/>
    <x v="0"/>
  </r>
  <r>
    <n v="15412"/>
    <x v="0"/>
    <x v="1"/>
    <n v="130000"/>
    <n v="2"/>
    <x v="4"/>
    <s v="Management"/>
    <x v="0"/>
    <x v="4"/>
    <x v="1"/>
    <x v="2"/>
    <n v="69"/>
    <x v="1"/>
    <x v="0"/>
  </r>
  <r>
    <n v="20514"/>
    <x v="0"/>
    <x v="0"/>
    <n v="70000"/>
    <n v="2"/>
    <x v="1"/>
    <s v="Professional"/>
    <x v="0"/>
    <x v="1"/>
    <x v="1"/>
    <x v="2"/>
    <n v="59"/>
    <x v="1"/>
    <x v="0"/>
  </r>
  <r>
    <n v="20758"/>
    <x v="0"/>
    <x v="1"/>
    <n v="30000"/>
    <n v="2"/>
    <x v="2"/>
    <s v="Skilled Manual"/>
    <x v="0"/>
    <x v="2"/>
    <x v="3"/>
    <x v="2"/>
    <n v="50"/>
    <x v="0"/>
    <x v="0"/>
  </r>
  <r>
    <n v="11801"/>
    <x v="0"/>
    <x v="1"/>
    <n v="60000"/>
    <n v="1"/>
    <x v="4"/>
    <s v="Professional"/>
    <x v="0"/>
    <x v="0"/>
    <x v="1"/>
    <x v="2"/>
    <n v="36"/>
    <x v="0"/>
    <x v="0"/>
  </r>
  <r>
    <n v="22211"/>
    <x v="0"/>
    <x v="1"/>
    <n v="60000"/>
    <n v="0"/>
    <x v="1"/>
    <s v="Professional"/>
    <x v="0"/>
    <x v="2"/>
    <x v="2"/>
    <x v="2"/>
    <n v="32"/>
    <x v="0"/>
    <x v="0"/>
  </r>
  <r>
    <n v="28087"/>
    <x v="1"/>
    <x v="0"/>
    <n v="40000"/>
    <n v="0"/>
    <x v="1"/>
    <s v="Skilled Manual"/>
    <x v="1"/>
    <x v="1"/>
    <x v="3"/>
    <x v="2"/>
    <n v="27"/>
    <x v="2"/>
    <x v="0"/>
  </r>
  <r>
    <n v="23668"/>
    <x v="0"/>
    <x v="0"/>
    <n v="40000"/>
    <n v="4"/>
    <x v="2"/>
    <s v="Professional"/>
    <x v="0"/>
    <x v="2"/>
    <x v="2"/>
    <x v="2"/>
    <n v="59"/>
    <x v="1"/>
    <x v="1"/>
  </r>
  <r>
    <n v="27441"/>
    <x v="0"/>
    <x v="1"/>
    <n v="60000"/>
    <n v="3"/>
    <x v="2"/>
    <s v="Professional"/>
    <x v="1"/>
    <x v="2"/>
    <x v="1"/>
    <x v="2"/>
    <n v="53"/>
    <x v="0"/>
    <x v="0"/>
  </r>
  <r>
    <n v="27261"/>
    <x v="0"/>
    <x v="1"/>
    <n v="40000"/>
    <n v="1"/>
    <x v="0"/>
    <s v="Skilled Manual"/>
    <x v="1"/>
    <x v="1"/>
    <x v="0"/>
    <x v="2"/>
    <n v="36"/>
    <x v="0"/>
    <x v="1"/>
  </r>
  <r>
    <n v="18649"/>
    <x v="1"/>
    <x v="1"/>
    <n v="30000"/>
    <n v="1"/>
    <x v="2"/>
    <s v="Clerical"/>
    <x v="0"/>
    <x v="2"/>
    <x v="3"/>
    <x v="2"/>
    <n v="51"/>
    <x v="0"/>
    <x v="1"/>
  </r>
  <r>
    <n v="21714"/>
    <x v="1"/>
    <x v="0"/>
    <n v="80000"/>
    <n v="5"/>
    <x v="4"/>
    <s v="Skilled Manual"/>
    <x v="1"/>
    <x v="0"/>
    <x v="0"/>
    <x v="2"/>
    <n v="47"/>
    <x v="0"/>
    <x v="0"/>
  </r>
  <r>
    <n v="23217"/>
    <x v="1"/>
    <x v="0"/>
    <n v="60000"/>
    <n v="3"/>
    <x v="4"/>
    <s v="Professional"/>
    <x v="0"/>
    <x v="0"/>
    <x v="1"/>
    <x v="2"/>
    <n v="43"/>
    <x v="0"/>
    <x v="1"/>
  </r>
  <r>
    <n v="23797"/>
    <x v="1"/>
    <x v="1"/>
    <n v="20000"/>
    <n v="3"/>
    <x v="3"/>
    <s v="Clerical"/>
    <x v="1"/>
    <x v="2"/>
    <x v="0"/>
    <x v="2"/>
    <n v="50"/>
    <x v="0"/>
    <x v="0"/>
  </r>
  <r>
    <n v="13216"/>
    <x v="0"/>
    <x v="0"/>
    <n v="60000"/>
    <n v="5"/>
    <x v="0"/>
    <s v="Management"/>
    <x v="0"/>
    <x v="4"/>
    <x v="4"/>
    <x v="2"/>
    <n v="59"/>
    <x v="1"/>
    <x v="0"/>
  </r>
  <r>
    <n v="20657"/>
    <x v="1"/>
    <x v="1"/>
    <n v="50000"/>
    <n v="2"/>
    <x v="0"/>
    <s v="Skilled Manual"/>
    <x v="0"/>
    <x v="0"/>
    <x v="1"/>
    <x v="2"/>
    <n v="37"/>
    <x v="0"/>
    <x v="1"/>
  </r>
  <r>
    <n v="12882"/>
    <x v="0"/>
    <x v="1"/>
    <n v="50000"/>
    <n v="1"/>
    <x v="4"/>
    <s v="Skilled Manual"/>
    <x v="0"/>
    <x v="0"/>
    <x v="0"/>
    <x v="2"/>
    <n v="33"/>
    <x v="0"/>
    <x v="1"/>
  </r>
  <r>
    <n v="25908"/>
    <x v="0"/>
    <x v="0"/>
    <n v="60000"/>
    <n v="0"/>
    <x v="1"/>
    <s v="Skilled Manual"/>
    <x v="1"/>
    <x v="1"/>
    <x v="3"/>
    <x v="2"/>
    <n v="27"/>
    <x v="2"/>
    <x v="0"/>
  </r>
  <r>
    <n v="16753"/>
    <x v="1"/>
    <x v="0"/>
    <n v="70000"/>
    <n v="0"/>
    <x v="1"/>
    <s v="Skilled Manual"/>
    <x v="0"/>
    <x v="2"/>
    <x v="2"/>
    <x v="2"/>
    <n v="34"/>
    <x v="0"/>
    <x v="1"/>
  </r>
  <r>
    <n v="14608"/>
    <x v="0"/>
    <x v="1"/>
    <n v="50000"/>
    <n v="4"/>
    <x v="0"/>
    <s v="Skilled Manual"/>
    <x v="0"/>
    <x v="4"/>
    <x v="4"/>
    <x v="2"/>
    <n v="42"/>
    <x v="0"/>
    <x v="0"/>
  </r>
  <r>
    <n v="24979"/>
    <x v="0"/>
    <x v="0"/>
    <n v="60000"/>
    <n v="2"/>
    <x v="1"/>
    <s v="Professional"/>
    <x v="0"/>
    <x v="2"/>
    <x v="1"/>
    <x v="2"/>
    <n v="57"/>
    <x v="1"/>
    <x v="1"/>
  </r>
  <r>
    <n v="13313"/>
    <x v="0"/>
    <x v="0"/>
    <n v="120000"/>
    <n v="1"/>
    <x v="2"/>
    <s v="Professional"/>
    <x v="1"/>
    <x v="3"/>
    <x v="1"/>
    <x v="2"/>
    <n v="45"/>
    <x v="0"/>
    <x v="0"/>
  </r>
  <r>
    <n v="18952"/>
    <x v="0"/>
    <x v="0"/>
    <n v="100000"/>
    <n v="4"/>
    <x v="0"/>
    <s v="Management"/>
    <x v="0"/>
    <x v="3"/>
    <x v="0"/>
    <x v="2"/>
    <n v="40"/>
    <x v="0"/>
    <x v="0"/>
  </r>
  <r>
    <n v="17699"/>
    <x v="0"/>
    <x v="1"/>
    <n v="60000"/>
    <n v="1"/>
    <x v="4"/>
    <s v="Skilled Manual"/>
    <x v="1"/>
    <x v="0"/>
    <x v="0"/>
    <x v="2"/>
    <n v="55"/>
    <x v="1"/>
    <x v="0"/>
  </r>
  <r>
    <n v="14657"/>
    <x v="0"/>
    <x v="1"/>
    <n v="80000"/>
    <n v="1"/>
    <x v="1"/>
    <s v="Skilled Manual"/>
    <x v="1"/>
    <x v="1"/>
    <x v="0"/>
    <x v="2"/>
    <n v="47"/>
    <x v="0"/>
    <x v="1"/>
  </r>
  <r>
    <n v="11540"/>
    <x v="1"/>
    <x v="1"/>
    <n v="60000"/>
    <n v="4"/>
    <x v="4"/>
    <s v="Skilled Manual"/>
    <x v="0"/>
    <x v="0"/>
    <x v="3"/>
    <x v="2"/>
    <n v="47"/>
    <x v="0"/>
    <x v="1"/>
  </r>
  <r>
    <n v="11783"/>
    <x v="0"/>
    <x v="0"/>
    <n v="60000"/>
    <n v="1"/>
    <x v="4"/>
    <s v="Skilled Manual"/>
    <x v="0"/>
    <x v="0"/>
    <x v="0"/>
    <x v="2"/>
    <n v="34"/>
    <x v="0"/>
    <x v="0"/>
  </r>
  <r>
    <n v="14602"/>
    <x v="0"/>
    <x v="0"/>
    <n v="80000"/>
    <n v="3"/>
    <x v="4"/>
    <s v="Professional"/>
    <x v="0"/>
    <x v="0"/>
    <x v="0"/>
    <x v="2"/>
    <n v="36"/>
    <x v="0"/>
    <x v="1"/>
  </r>
  <r>
    <n v="29030"/>
    <x v="0"/>
    <x v="1"/>
    <n v="70000"/>
    <n v="2"/>
    <x v="3"/>
    <s v="Skilled Manual"/>
    <x v="0"/>
    <x v="2"/>
    <x v="4"/>
    <x v="2"/>
    <n v="54"/>
    <x v="0"/>
    <x v="0"/>
  </r>
  <r>
    <n v="26490"/>
    <x v="1"/>
    <x v="1"/>
    <n v="70000"/>
    <n v="2"/>
    <x v="0"/>
    <s v="Management"/>
    <x v="1"/>
    <x v="1"/>
    <x v="1"/>
    <x v="2"/>
    <n v="59"/>
    <x v="1"/>
    <x v="1"/>
  </r>
  <r>
    <n v="13151"/>
    <x v="1"/>
    <x v="1"/>
    <n v="40000"/>
    <n v="0"/>
    <x v="2"/>
    <s v="Skilled Manual"/>
    <x v="0"/>
    <x v="2"/>
    <x v="2"/>
    <x v="2"/>
    <n v="27"/>
    <x v="2"/>
    <x v="0"/>
  </r>
  <r>
    <n v="17260"/>
    <x v="0"/>
    <x v="1"/>
    <n v="90000"/>
    <n v="5"/>
    <x v="1"/>
    <s v="Professional"/>
    <x v="0"/>
    <x v="4"/>
    <x v="0"/>
    <x v="2"/>
    <n v="41"/>
    <x v="0"/>
    <x v="0"/>
  </r>
  <r>
    <n v="15372"/>
    <x v="0"/>
    <x v="1"/>
    <n v="80000"/>
    <n v="3"/>
    <x v="1"/>
    <s v="Professional"/>
    <x v="1"/>
    <x v="2"/>
    <x v="1"/>
    <x v="2"/>
    <n v="50"/>
    <x v="0"/>
    <x v="1"/>
  </r>
  <r>
    <n v="18105"/>
    <x v="0"/>
    <x v="0"/>
    <n v="60000"/>
    <n v="2"/>
    <x v="1"/>
    <s v="Professional"/>
    <x v="0"/>
    <x v="1"/>
    <x v="4"/>
    <x v="2"/>
    <n v="55"/>
    <x v="1"/>
    <x v="0"/>
  </r>
  <r>
    <n v="19660"/>
    <x v="0"/>
    <x v="1"/>
    <n v="80000"/>
    <n v="4"/>
    <x v="0"/>
    <s v="Management"/>
    <x v="0"/>
    <x v="0"/>
    <x v="0"/>
    <x v="2"/>
    <n v="43"/>
    <x v="0"/>
    <x v="0"/>
  </r>
  <r>
    <n v="16112"/>
    <x v="1"/>
    <x v="1"/>
    <n v="70000"/>
    <n v="4"/>
    <x v="0"/>
    <s v="Professional"/>
    <x v="0"/>
    <x v="2"/>
    <x v="1"/>
    <x v="2"/>
    <n v="43"/>
    <x v="0"/>
    <x v="1"/>
  </r>
  <r>
    <n v="20698"/>
    <x v="0"/>
    <x v="1"/>
    <n v="60000"/>
    <n v="4"/>
    <x v="0"/>
    <s v="Skilled Manual"/>
    <x v="0"/>
    <x v="4"/>
    <x v="2"/>
    <x v="2"/>
    <n v="42"/>
    <x v="0"/>
    <x v="0"/>
  </r>
  <r>
    <n v="20076"/>
    <x v="1"/>
    <x v="0"/>
    <n v="10000"/>
    <n v="2"/>
    <x v="2"/>
    <s v="Manual"/>
    <x v="0"/>
    <x v="2"/>
    <x v="3"/>
    <x v="2"/>
    <n v="53"/>
    <x v="0"/>
    <x v="1"/>
  </r>
  <r>
    <n v="24496"/>
    <x v="1"/>
    <x v="0"/>
    <n v="40000"/>
    <n v="0"/>
    <x v="2"/>
    <s v="Skilled Manual"/>
    <x v="1"/>
    <x v="2"/>
    <x v="0"/>
    <x v="2"/>
    <n v="28"/>
    <x v="2"/>
    <x v="1"/>
  </r>
  <r>
    <n v="15468"/>
    <x v="0"/>
    <x v="0"/>
    <n v="50000"/>
    <n v="1"/>
    <x v="0"/>
    <s v="Skilled Manual"/>
    <x v="0"/>
    <x v="1"/>
    <x v="0"/>
    <x v="2"/>
    <n v="35"/>
    <x v="0"/>
    <x v="0"/>
  </r>
  <r>
    <n v="28031"/>
    <x v="1"/>
    <x v="0"/>
    <n v="70000"/>
    <n v="2"/>
    <x v="0"/>
    <s v="Management"/>
    <x v="1"/>
    <x v="1"/>
    <x v="1"/>
    <x v="2"/>
    <n v="59"/>
    <x v="1"/>
    <x v="1"/>
  </r>
  <r>
    <n v="26270"/>
    <x v="1"/>
    <x v="0"/>
    <n v="20000"/>
    <n v="2"/>
    <x v="3"/>
    <s v="Clerical"/>
    <x v="0"/>
    <x v="2"/>
    <x v="3"/>
    <x v="2"/>
    <n v="49"/>
    <x v="0"/>
    <x v="0"/>
  </r>
  <r>
    <n v="22221"/>
    <x v="0"/>
    <x v="1"/>
    <n v="60000"/>
    <n v="2"/>
    <x v="2"/>
    <s v="Professional"/>
    <x v="1"/>
    <x v="2"/>
    <x v="3"/>
    <x v="2"/>
    <n v="48"/>
    <x v="0"/>
    <x v="1"/>
  </r>
  <r>
    <n v="28228"/>
    <x v="1"/>
    <x v="0"/>
    <n v="80000"/>
    <n v="2"/>
    <x v="3"/>
    <s v="Skilled Manual"/>
    <x v="1"/>
    <x v="2"/>
    <x v="3"/>
    <x v="2"/>
    <n v="50"/>
    <x v="0"/>
    <x v="0"/>
  </r>
  <r>
    <n v="18363"/>
    <x v="0"/>
    <x v="1"/>
    <n v="40000"/>
    <n v="0"/>
    <x v="2"/>
    <s v="Skilled Manual"/>
    <x v="0"/>
    <x v="2"/>
    <x v="2"/>
    <x v="2"/>
    <n v="28"/>
    <x v="2"/>
    <x v="1"/>
  </r>
  <r>
    <n v="23256"/>
    <x v="1"/>
    <x v="1"/>
    <n v="30000"/>
    <n v="1"/>
    <x v="2"/>
    <s v="Clerical"/>
    <x v="1"/>
    <x v="1"/>
    <x v="2"/>
    <x v="2"/>
    <n v="52"/>
    <x v="0"/>
    <x v="0"/>
  </r>
  <r>
    <n v="12768"/>
    <x v="0"/>
    <x v="1"/>
    <n v="30000"/>
    <n v="1"/>
    <x v="2"/>
    <s v="Clerical"/>
    <x v="0"/>
    <x v="1"/>
    <x v="1"/>
    <x v="2"/>
    <n v="52"/>
    <x v="0"/>
    <x v="1"/>
  </r>
  <r>
    <n v="20361"/>
    <x v="0"/>
    <x v="1"/>
    <n v="50000"/>
    <n v="2"/>
    <x v="4"/>
    <s v="Management"/>
    <x v="0"/>
    <x v="2"/>
    <x v="2"/>
    <x v="2"/>
    <n v="69"/>
    <x v="1"/>
    <x v="0"/>
  </r>
  <r>
    <n v="21306"/>
    <x v="1"/>
    <x v="1"/>
    <n v="60000"/>
    <n v="2"/>
    <x v="2"/>
    <s v="Professional"/>
    <x v="0"/>
    <x v="2"/>
    <x v="2"/>
    <x v="2"/>
    <n v="51"/>
    <x v="0"/>
    <x v="0"/>
  </r>
  <r>
    <n v="13382"/>
    <x v="0"/>
    <x v="1"/>
    <n v="70000"/>
    <n v="5"/>
    <x v="1"/>
    <s v="Professional"/>
    <x v="0"/>
    <x v="2"/>
    <x v="3"/>
    <x v="2"/>
    <n v="57"/>
    <x v="1"/>
    <x v="1"/>
  </r>
  <r>
    <n v="20310"/>
    <x v="1"/>
    <x v="1"/>
    <n v="60000"/>
    <n v="0"/>
    <x v="1"/>
    <s v="Skilled Manual"/>
    <x v="0"/>
    <x v="1"/>
    <x v="2"/>
    <x v="2"/>
    <n v="27"/>
    <x v="2"/>
    <x v="1"/>
  </r>
  <r>
    <n v="22971"/>
    <x v="1"/>
    <x v="0"/>
    <n v="30000"/>
    <n v="0"/>
    <x v="2"/>
    <s v="Skilled Manual"/>
    <x v="1"/>
    <x v="2"/>
    <x v="0"/>
    <x v="2"/>
    <n v="25"/>
    <x v="2"/>
    <x v="1"/>
  </r>
  <r>
    <n v="15287"/>
    <x v="1"/>
    <x v="0"/>
    <n v="50000"/>
    <n v="1"/>
    <x v="4"/>
    <s v="Skilled Manual"/>
    <x v="0"/>
    <x v="0"/>
    <x v="3"/>
    <x v="2"/>
    <n v="33"/>
    <x v="0"/>
    <x v="1"/>
  </r>
  <r>
    <n v="15532"/>
    <x v="1"/>
    <x v="1"/>
    <n v="60000"/>
    <n v="4"/>
    <x v="0"/>
    <s v="Professional"/>
    <x v="0"/>
    <x v="2"/>
    <x v="1"/>
    <x v="2"/>
    <n v="43"/>
    <x v="0"/>
    <x v="1"/>
  </r>
  <r>
    <n v="11255"/>
    <x v="0"/>
    <x v="1"/>
    <n v="70000"/>
    <n v="4"/>
    <x v="4"/>
    <s v="Management"/>
    <x v="0"/>
    <x v="2"/>
    <x v="2"/>
    <x v="2"/>
    <n v="73"/>
    <x v="1"/>
    <x v="0"/>
  </r>
  <r>
    <n v="28090"/>
    <x v="0"/>
    <x v="1"/>
    <n v="40000"/>
    <n v="0"/>
    <x v="1"/>
    <s v="Skilled Manual"/>
    <x v="0"/>
    <x v="1"/>
    <x v="2"/>
    <x v="2"/>
    <n v="27"/>
    <x v="2"/>
    <x v="0"/>
  </r>
  <r>
    <n v="15255"/>
    <x v="0"/>
    <x v="1"/>
    <n v="40000"/>
    <n v="0"/>
    <x v="2"/>
    <s v="Skilled Manual"/>
    <x v="0"/>
    <x v="2"/>
    <x v="2"/>
    <x v="2"/>
    <n v="28"/>
    <x v="2"/>
    <x v="1"/>
  </r>
  <r>
    <n v="13154"/>
    <x v="0"/>
    <x v="1"/>
    <n v="40000"/>
    <n v="0"/>
    <x v="2"/>
    <s v="Skilled Manual"/>
    <x v="1"/>
    <x v="2"/>
    <x v="0"/>
    <x v="2"/>
    <n v="27"/>
    <x v="2"/>
    <x v="1"/>
  </r>
  <r>
    <n v="26778"/>
    <x v="1"/>
    <x v="0"/>
    <n v="40000"/>
    <n v="0"/>
    <x v="2"/>
    <s v="Skilled Manual"/>
    <x v="0"/>
    <x v="2"/>
    <x v="2"/>
    <x v="2"/>
    <n v="31"/>
    <x v="0"/>
    <x v="0"/>
  </r>
  <r>
    <n v="23248"/>
    <x v="0"/>
    <x v="0"/>
    <n v="10000"/>
    <n v="2"/>
    <x v="2"/>
    <s v="Manual"/>
    <x v="0"/>
    <x v="2"/>
    <x v="3"/>
    <x v="2"/>
    <n v="53"/>
    <x v="0"/>
    <x v="0"/>
  </r>
  <r>
    <n v="21417"/>
    <x v="1"/>
    <x v="0"/>
    <n v="60000"/>
    <n v="0"/>
    <x v="1"/>
    <s v="Professional"/>
    <x v="1"/>
    <x v="2"/>
    <x v="3"/>
    <x v="2"/>
    <n v="32"/>
    <x v="0"/>
    <x v="1"/>
  </r>
  <r>
    <n v="17668"/>
    <x v="1"/>
    <x v="1"/>
    <n v="30000"/>
    <n v="2"/>
    <x v="2"/>
    <s v="Skilled Manual"/>
    <x v="0"/>
    <x v="2"/>
    <x v="3"/>
    <x v="2"/>
    <n v="50"/>
    <x v="0"/>
    <x v="1"/>
  </r>
  <r>
    <n v="27994"/>
    <x v="0"/>
    <x v="0"/>
    <n v="40000"/>
    <n v="4"/>
    <x v="2"/>
    <s v="Professional"/>
    <x v="0"/>
    <x v="2"/>
    <x v="2"/>
    <x v="2"/>
    <n v="69"/>
    <x v="1"/>
    <x v="0"/>
  </r>
  <r>
    <n v="20376"/>
    <x v="1"/>
    <x v="0"/>
    <n v="70000"/>
    <n v="3"/>
    <x v="4"/>
    <s v="Management"/>
    <x v="0"/>
    <x v="2"/>
    <x v="2"/>
    <x v="2"/>
    <n v="52"/>
    <x v="0"/>
    <x v="1"/>
  </r>
  <r>
    <n v="25954"/>
    <x v="0"/>
    <x v="1"/>
    <n v="60000"/>
    <n v="0"/>
    <x v="1"/>
    <s v="Skilled Manual"/>
    <x v="1"/>
    <x v="2"/>
    <x v="3"/>
    <x v="2"/>
    <n v="31"/>
    <x v="0"/>
    <x v="0"/>
  </r>
  <r>
    <n v="15749"/>
    <x v="1"/>
    <x v="0"/>
    <n v="70000"/>
    <n v="4"/>
    <x v="0"/>
    <s v="Management"/>
    <x v="0"/>
    <x v="2"/>
    <x v="4"/>
    <x v="2"/>
    <n v="61"/>
    <x v="1"/>
    <x v="0"/>
  </r>
  <r>
    <n v="25899"/>
    <x v="0"/>
    <x v="0"/>
    <n v="70000"/>
    <n v="2"/>
    <x v="2"/>
    <s v="Professional"/>
    <x v="0"/>
    <x v="2"/>
    <x v="4"/>
    <x v="2"/>
    <n v="53"/>
    <x v="0"/>
    <x v="0"/>
  </r>
  <r>
    <n v="13351"/>
    <x v="1"/>
    <x v="0"/>
    <n v="70000"/>
    <n v="4"/>
    <x v="0"/>
    <s v="Management"/>
    <x v="0"/>
    <x v="2"/>
    <x v="3"/>
    <x v="2"/>
    <n v="62"/>
    <x v="1"/>
    <x v="1"/>
  </r>
  <r>
    <n v="23333"/>
    <x v="0"/>
    <x v="1"/>
    <n v="40000"/>
    <n v="0"/>
    <x v="1"/>
    <s v="Skilled Manual"/>
    <x v="1"/>
    <x v="2"/>
    <x v="3"/>
    <x v="2"/>
    <n v="30"/>
    <x v="2"/>
    <x v="0"/>
  </r>
  <r>
    <n v="21660"/>
    <x v="0"/>
    <x v="0"/>
    <n v="60000"/>
    <n v="3"/>
    <x v="4"/>
    <s v="Professional"/>
    <x v="0"/>
    <x v="0"/>
    <x v="1"/>
    <x v="2"/>
    <n v="43"/>
    <x v="0"/>
    <x v="1"/>
  </r>
  <r>
    <n v="17012"/>
    <x v="0"/>
    <x v="0"/>
    <n v="60000"/>
    <n v="3"/>
    <x v="4"/>
    <s v="Professional"/>
    <x v="0"/>
    <x v="0"/>
    <x v="1"/>
    <x v="2"/>
    <n v="42"/>
    <x v="0"/>
    <x v="1"/>
  </r>
  <r>
    <n v="24514"/>
    <x v="0"/>
    <x v="1"/>
    <n v="40000"/>
    <n v="0"/>
    <x v="1"/>
    <s v="Skilled Manual"/>
    <x v="0"/>
    <x v="1"/>
    <x v="2"/>
    <x v="2"/>
    <n v="30"/>
    <x v="2"/>
    <x v="0"/>
  </r>
  <r>
    <n v="27505"/>
    <x v="1"/>
    <x v="0"/>
    <n v="40000"/>
    <n v="0"/>
    <x v="2"/>
    <s v="Skilled Manual"/>
    <x v="0"/>
    <x v="2"/>
    <x v="2"/>
    <x v="2"/>
    <n v="30"/>
    <x v="2"/>
    <x v="0"/>
  </r>
  <r>
    <n v="29243"/>
    <x v="1"/>
    <x v="1"/>
    <n v="110000"/>
    <n v="1"/>
    <x v="0"/>
    <s v="Management"/>
    <x v="0"/>
    <x v="1"/>
    <x v="2"/>
    <x v="2"/>
    <n v="43"/>
    <x v="0"/>
    <x v="0"/>
  </r>
  <r>
    <n v="26582"/>
    <x v="0"/>
    <x v="1"/>
    <n v="60000"/>
    <n v="0"/>
    <x v="1"/>
    <s v="Skilled Manual"/>
    <x v="0"/>
    <x v="2"/>
    <x v="2"/>
    <x v="2"/>
    <n v="33"/>
    <x v="0"/>
    <x v="1"/>
  </r>
  <r>
    <n v="14271"/>
    <x v="0"/>
    <x v="1"/>
    <n v="30000"/>
    <n v="0"/>
    <x v="2"/>
    <s v="Skilled Manual"/>
    <x v="0"/>
    <x v="2"/>
    <x v="2"/>
    <x v="2"/>
    <n v="32"/>
    <x v="0"/>
    <x v="0"/>
  </r>
  <r>
    <n v="23041"/>
    <x v="1"/>
    <x v="0"/>
    <n v="70000"/>
    <n v="4"/>
    <x v="2"/>
    <s v="Professional"/>
    <x v="0"/>
    <x v="0"/>
    <x v="2"/>
    <x v="2"/>
    <n v="50"/>
    <x v="0"/>
    <x v="1"/>
  </r>
  <r>
    <n v="29048"/>
    <x v="1"/>
    <x v="1"/>
    <n v="110000"/>
    <n v="2"/>
    <x v="0"/>
    <s v="Management"/>
    <x v="1"/>
    <x v="4"/>
    <x v="0"/>
    <x v="2"/>
    <n v="37"/>
    <x v="0"/>
    <x v="1"/>
  </r>
  <r>
    <n v="24433"/>
    <x v="0"/>
    <x v="1"/>
    <n v="70000"/>
    <n v="3"/>
    <x v="2"/>
    <s v="Professional"/>
    <x v="1"/>
    <x v="1"/>
    <x v="3"/>
    <x v="2"/>
    <n v="52"/>
    <x v="0"/>
    <x v="1"/>
  </r>
  <r>
    <n v="15501"/>
    <x v="0"/>
    <x v="1"/>
    <n v="70000"/>
    <n v="4"/>
    <x v="4"/>
    <s v="Professional"/>
    <x v="0"/>
    <x v="0"/>
    <x v="1"/>
    <x v="2"/>
    <n v="36"/>
    <x v="0"/>
    <x v="1"/>
  </r>
  <r>
    <n v="13911"/>
    <x v="1"/>
    <x v="0"/>
    <n v="80000"/>
    <n v="3"/>
    <x v="0"/>
    <s v="Skilled Manual"/>
    <x v="0"/>
    <x v="2"/>
    <x v="1"/>
    <x v="2"/>
    <n v="41"/>
    <x v="0"/>
    <x v="1"/>
  </r>
  <r>
    <n v="20421"/>
    <x v="1"/>
    <x v="0"/>
    <n v="40000"/>
    <n v="0"/>
    <x v="3"/>
    <s v="Clerical"/>
    <x v="0"/>
    <x v="2"/>
    <x v="2"/>
    <x v="2"/>
    <n v="26"/>
    <x v="2"/>
    <x v="0"/>
  </r>
  <r>
    <n v="16009"/>
    <x v="1"/>
    <x v="1"/>
    <n v="170000"/>
    <n v="1"/>
    <x v="4"/>
    <s v="Management"/>
    <x v="1"/>
    <x v="3"/>
    <x v="0"/>
    <x v="2"/>
    <n v="66"/>
    <x v="1"/>
    <x v="0"/>
  </r>
  <r>
    <n v="18411"/>
    <x v="0"/>
    <x v="1"/>
    <n v="60000"/>
    <n v="2"/>
    <x v="2"/>
    <s v="Professional"/>
    <x v="1"/>
    <x v="2"/>
    <x v="2"/>
    <x v="2"/>
    <n v="51"/>
    <x v="0"/>
    <x v="0"/>
  </r>
  <r>
    <n v="19163"/>
    <x v="0"/>
    <x v="0"/>
    <n v="70000"/>
    <n v="4"/>
    <x v="0"/>
    <s v="Professional"/>
    <x v="0"/>
    <x v="2"/>
    <x v="0"/>
    <x v="2"/>
    <n v="43"/>
    <x v="0"/>
    <x v="1"/>
  </r>
  <r>
    <n v="18572"/>
    <x v="0"/>
    <x v="0"/>
    <n v="60000"/>
    <n v="0"/>
    <x v="4"/>
    <s v="Professional"/>
    <x v="0"/>
    <x v="0"/>
    <x v="0"/>
    <x v="2"/>
    <n v="39"/>
    <x v="0"/>
    <x v="0"/>
  </r>
  <r>
    <n v="27540"/>
    <x v="1"/>
    <x v="0"/>
    <n v="70000"/>
    <n v="0"/>
    <x v="0"/>
    <s v="Professional"/>
    <x v="1"/>
    <x v="1"/>
    <x v="0"/>
    <x v="2"/>
    <n v="37"/>
    <x v="0"/>
    <x v="1"/>
  </r>
  <r>
    <n v="19889"/>
    <x v="1"/>
    <x v="0"/>
    <n v="70000"/>
    <n v="2"/>
    <x v="3"/>
    <s v="Skilled Manual"/>
    <x v="1"/>
    <x v="2"/>
    <x v="1"/>
    <x v="2"/>
    <n v="54"/>
    <x v="0"/>
    <x v="1"/>
  </r>
  <r>
    <n v="12922"/>
    <x v="1"/>
    <x v="0"/>
    <n v="60000"/>
    <n v="3"/>
    <x v="0"/>
    <s v="Skilled Manual"/>
    <x v="0"/>
    <x v="0"/>
    <x v="1"/>
    <x v="2"/>
    <n v="40"/>
    <x v="0"/>
    <x v="1"/>
  </r>
  <r>
    <n v="18891"/>
    <x v="0"/>
    <x v="0"/>
    <n v="40000"/>
    <n v="0"/>
    <x v="1"/>
    <s v="Skilled Manual"/>
    <x v="0"/>
    <x v="2"/>
    <x v="2"/>
    <x v="2"/>
    <n v="28"/>
    <x v="2"/>
    <x v="0"/>
  </r>
  <r>
    <n v="16773"/>
    <x v="0"/>
    <x v="1"/>
    <n v="60000"/>
    <n v="1"/>
    <x v="4"/>
    <s v="Skilled Manual"/>
    <x v="0"/>
    <x v="0"/>
    <x v="0"/>
    <x v="2"/>
    <n v="33"/>
    <x v="0"/>
    <x v="0"/>
  </r>
  <r>
    <n v="19143"/>
    <x v="1"/>
    <x v="0"/>
    <n v="80000"/>
    <n v="3"/>
    <x v="0"/>
    <s v="Skilled Manual"/>
    <x v="0"/>
    <x v="2"/>
    <x v="1"/>
    <x v="2"/>
    <n v="41"/>
    <x v="0"/>
    <x v="1"/>
  </r>
  <r>
    <n v="23882"/>
    <x v="1"/>
    <x v="0"/>
    <n v="80000"/>
    <n v="3"/>
    <x v="4"/>
    <s v="Professional"/>
    <x v="0"/>
    <x v="0"/>
    <x v="0"/>
    <x v="2"/>
    <n v="37"/>
    <x v="0"/>
    <x v="1"/>
  </r>
  <r>
    <n v="11233"/>
    <x v="0"/>
    <x v="1"/>
    <n v="70000"/>
    <n v="4"/>
    <x v="1"/>
    <s v="Professional"/>
    <x v="0"/>
    <x v="2"/>
    <x v="4"/>
    <x v="2"/>
    <n v="53"/>
    <x v="0"/>
    <x v="0"/>
  </r>
  <r>
    <n v="12056"/>
    <x v="0"/>
    <x v="1"/>
    <n v="120000"/>
    <n v="2"/>
    <x v="4"/>
    <s v="Management"/>
    <x v="0"/>
    <x v="4"/>
    <x v="2"/>
    <x v="2"/>
    <n v="64"/>
    <x v="1"/>
    <x v="0"/>
  </r>
  <r>
    <n v="15555"/>
    <x v="0"/>
    <x v="0"/>
    <n v="60000"/>
    <n v="1"/>
    <x v="1"/>
    <s v="Skilled Manual"/>
    <x v="0"/>
    <x v="1"/>
    <x v="1"/>
    <x v="2"/>
    <n v="45"/>
    <x v="0"/>
    <x v="1"/>
  </r>
  <r>
    <n v="18423"/>
    <x v="1"/>
    <x v="1"/>
    <n v="80000"/>
    <n v="2"/>
    <x v="3"/>
    <s v="Skilled Manual"/>
    <x v="1"/>
    <x v="2"/>
    <x v="3"/>
    <x v="2"/>
    <n v="52"/>
    <x v="0"/>
    <x v="0"/>
  </r>
  <r>
    <n v="22743"/>
    <x v="0"/>
    <x v="0"/>
    <n v="40000"/>
    <n v="5"/>
    <x v="2"/>
    <s v="Professional"/>
    <x v="0"/>
    <x v="2"/>
    <x v="4"/>
    <x v="2"/>
    <n v="60"/>
    <x v="1"/>
    <x v="0"/>
  </r>
  <r>
    <n v="25343"/>
    <x v="1"/>
    <x v="0"/>
    <n v="20000"/>
    <n v="3"/>
    <x v="3"/>
    <s v="Clerical"/>
    <x v="0"/>
    <x v="2"/>
    <x v="3"/>
    <x v="2"/>
    <n v="50"/>
    <x v="0"/>
    <x v="0"/>
  </r>
  <r>
    <n v="13390"/>
    <x v="0"/>
    <x v="0"/>
    <n v="70000"/>
    <n v="4"/>
    <x v="1"/>
    <s v="Professional"/>
    <x v="1"/>
    <x v="1"/>
    <x v="3"/>
    <x v="2"/>
    <n v="56"/>
    <x v="1"/>
    <x v="0"/>
  </r>
  <r>
    <n v="17482"/>
    <x v="1"/>
    <x v="0"/>
    <n v="40000"/>
    <n v="0"/>
    <x v="3"/>
    <s v="Clerical"/>
    <x v="0"/>
    <x v="2"/>
    <x v="2"/>
    <x v="2"/>
    <n v="29"/>
    <x v="2"/>
    <x v="0"/>
  </r>
  <r>
    <n v="13176"/>
    <x v="1"/>
    <x v="1"/>
    <n v="130000"/>
    <n v="0"/>
    <x v="4"/>
    <s v="Management"/>
    <x v="1"/>
    <x v="2"/>
    <x v="0"/>
    <x v="2"/>
    <n v="38"/>
    <x v="0"/>
    <x v="1"/>
  </r>
  <r>
    <n v="20504"/>
    <x v="0"/>
    <x v="0"/>
    <n v="40000"/>
    <n v="5"/>
    <x v="2"/>
    <s v="Professional"/>
    <x v="1"/>
    <x v="2"/>
    <x v="1"/>
    <x v="2"/>
    <n v="60"/>
    <x v="1"/>
    <x v="0"/>
  </r>
  <r>
    <n v="12205"/>
    <x v="1"/>
    <x v="0"/>
    <n v="130000"/>
    <n v="2"/>
    <x v="0"/>
    <s v="Management"/>
    <x v="1"/>
    <x v="3"/>
    <x v="0"/>
    <x v="2"/>
    <n v="67"/>
    <x v="1"/>
    <x v="0"/>
  </r>
  <r>
    <n v="16751"/>
    <x v="0"/>
    <x v="1"/>
    <n v="60000"/>
    <n v="0"/>
    <x v="1"/>
    <s v="Skilled Manual"/>
    <x v="0"/>
    <x v="1"/>
    <x v="2"/>
    <x v="2"/>
    <n v="32"/>
    <x v="0"/>
    <x v="1"/>
  </r>
  <r>
    <n v="21613"/>
    <x v="1"/>
    <x v="1"/>
    <n v="50000"/>
    <n v="2"/>
    <x v="0"/>
    <s v="Skilled Manual"/>
    <x v="1"/>
    <x v="1"/>
    <x v="0"/>
    <x v="2"/>
    <n v="39"/>
    <x v="0"/>
    <x v="1"/>
  </r>
  <r>
    <n v="24801"/>
    <x v="1"/>
    <x v="1"/>
    <n v="60000"/>
    <n v="1"/>
    <x v="4"/>
    <s v="Professional"/>
    <x v="0"/>
    <x v="0"/>
    <x v="1"/>
    <x v="2"/>
    <n v="35"/>
    <x v="0"/>
    <x v="1"/>
  </r>
  <r>
    <n v="17519"/>
    <x v="0"/>
    <x v="0"/>
    <n v="60000"/>
    <n v="0"/>
    <x v="1"/>
    <s v="Professional"/>
    <x v="0"/>
    <x v="2"/>
    <x v="2"/>
    <x v="2"/>
    <n v="32"/>
    <x v="0"/>
    <x v="0"/>
  </r>
  <r>
    <n v="18347"/>
    <x v="1"/>
    <x v="0"/>
    <n v="30000"/>
    <n v="0"/>
    <x v="1"/>
    <s v="Skilled Manual"/>
    <x v="1"/>
    <x v="1"/>
    <x v="3"/>
    <x v="2"/>
    <n v="31"/>
    <x v="0"/>
    <x v="0"/>
  </r>
  <r>
    <n v="29052"/>
    <x v="1"/>
    <x v="1"/>
    <n v="40000"/>
    <n v="0"/>
    <x v="1"/>
    <s v="Skilled Manual"/>
    <x v="0"/>
    <x v="1"/>
    <x v="2"/>
    <x v="2"/>
    <n v="27"/>
    <x v="2"/>
    <x v="0"/>
  </r>
  <r>
    <n v="11745"/>
    <x v="0"/>
    <x v="0"/>
    <n v="60000"/>
    <n v="1"/>
    <x v="0"/>
    <s v="Professional"/>
    <x v="0"/>
    <x v="1"/>
    <x v="0"/>
    <x v="2"/>
    <n v="47"/>
    <x v="0"/>
    <x v="1"/>
  </r>
  <r>
    <n v="19147"/>
    <x v="0"/>
    <x v="1"/>
    <n v="40000"/>
    <n v="0"/>
    <x v="0"/>
    <s v="Professional"/>
    <x v="1"/>
    <x v="1"/>
    <x v="0"/>
    <x v="2"/>
    <n v="42"/>
    <x v="0"/>
    <x v="0"/>
  </r>
  <r>
    <n v="19217"/>
    <x v="0"/>
    <x v="1"/>
    <n v="30000"/>
    <n v="2"/>
    <x v="2"/>
    <s v="Skilled Manual"/>
    <x v="0"/>
    <x v="2"/>
    <x v="3"/>
    <x v="2"/>
    <n v="49"/>
    <x v="0"/>
    <x v="0"/>
  </r>
  <r>
    <n v="15839"/>
    <x v="1"/>
    <x v="1"/>
    <n v="30000"/>
    <n v="0"/>
    <x v="1"/>
    <s v="Skilled Manual"/>
    <x v="0"/>
    <x v="1"/>
    <x v="2"/>
    <x v="2"/>
    <n v="32"/>
    <x v="0"/>
    <x v="0"/>
  </r>
  <r>
    <n v="13714"/>
    <x v="0"/>
    <x v="0"/>
    <n v="20000"/>
    <n v="2"/>
    <x v="2"/>
    <s v="Manual"/>
    <x v="1"/>
    <x v="2"/>
    <x v="3"/>
    <x v="2"/>
    <n v="53"/>
    <x v="0"/>
    <x v="1"/>
  </r>
  <r>
    <n v="22330"/>
    <x v="0"/>
    <x v="1"/>
    <n v="50000"/>
    <n v="0"/>
    <x v="4"/>
    <s v="Skilled Manual"/>
    <x v="0"/>
    <x v="0"/>
    <x v="3"/>
    <x v="2"/>
    <n v="32"/>
    <x v="0"/>
    <x v="1"/>
  </r>
  <r>
    <n v="18783"/>
    <x v="1"/>
    <x v="1"/>
    <n v="80000"/>
    <n v="0"/>
    <x v="0"/>
    <s v="Management"/>
    <x v="1"/>
    <x v="1"/>
    <x v="0"/>
    <x v="2"/>
    <n v="38"/>
    <x v="0"/>
    <x v="1"/>
  </r>
  <r>
    <n v="25041"/>
    <x v="1"/>
    <x v="1"/>
    <n v="40000"/>
    <n v="0"/>
    <x v="2"/>
    <s v="Skilled Manual"/>
    <x v="0"/>
    <x v="2"/>
    <x v="2"/>
    <x v="2"/>
    <n v="31"/>
    <x v="0"/>
    <x v="0"/>
  </r>
  <r>
    <n v="22046"/>
    <x v="1"/>
    <x v="0"/>
    <n v="80000"/>
    <n v="0"/>
    <x v="0"/>
    <s v="Management"/>
    <x v="1"/>
    <x v="1"/>
    <x v="0"/>
    <x v="2"/>
    <n v="38"/>
    <x v="0"/>
    <x v="1"/>
  </r>
  <r>
    <n v="28052"/>
    <x v="0"/>
    <x v="1"/>
    <n v="60000"/>
    <n v="2"/>
    <x v="2"/>
    <s v="Professional"/>
    <x v="0"/>
    <x v="2"/>
    <x v="4"/>
    <x v="2"/>
    <n v="55"/>
    <x v="1"/>
    <x v="0"/>
  </r>
  <r>
    <n v="26693"/>
    <x v="0"/>
    <x v="1"/>
    <n v="70000"/>
    <n v="3"/>
    <x v="1"/>
    <s v="Professional"/>
    <x v="0"/>
    <x v="1"/>
    <x v="2"/>
    <x v="2"/>
    <n v="49"/>
    <x v="0"/>
    <x v="0"/>
  </r>
  <r>
    <n v="24955"/>
    <x v="1"/>
    <x v="1"/>
    <n v="30000"/>
    <n v="5"/>
    <x v="3"/>
    <s v="Skilled Manual"/>
    <x v="0"/>
    <x v="4"/>
    <x v="4"/>
    <x v="2"/>
    <n v="60"/>
    <x v="1"/>
    <x v="1"/>
  </r>
  <r>
    <n v="26065"/>
    <x v="1"/>
    <x v="0"/>
    <n v="110000"/>
    <n v="3"/>
    <x v="0"/>
    <s v="Management"/>
    <x v="1"/>
    <x v="3"/>
    <x v="3"/>
    <x v="2"/>
    <n v="42"/>
    <x v="0"/>
    <x v="0"/>
  </r>
  <r>
    <n v="13942"/>
    <x v="0"/>
    <x v="1"/>
    <n v="60000"/>
    <n v="1"/>
    <x v="1"/>
    <s v="Skilled Manual"/>
    <x v="0"/>
    <x v="1"/>
    <x v="0"/>
    <x v="2"/>
    <n v="46"/>
    <x v="0"/>
    <x v="0"/>
  </r>
  <r>
    <n v="11219"/>
    <x v="0"/>
    <x v="1"/>
    <n v="60000"/>
    <n v="2"/>
    <x v="2"/>
    <s v="Professional"/>
    <x v="0"/>
    <x v="2"/>
    <x v="4"/>
    <x v="2"/>
    <n v="55"/>
    <x v="1"/>
    <x v="0"/>
  </r>
  <r>
    <n v="22118"/>
    <x v="1"/>
    <x v="0"/>
    <n v="70000"/>
    <n v="3"/>
    <x v="4"/>
    <s v="Management"/>
    <x v="0"/>
    <x v="2"/>
    <x v="2"/>
    <x v="2"/>
    <n v="53"/>
    <x v="0"/>
    <x v="1"/>
  </r>
  <r>
    <n v="23197"/>
    <x v="0"/>
    <x v="1"/>
    <n v="50000"/>
    <n v="3"/>
    <x v="0"/>
    <s v="Skilled Manual"/>
    <x v="0"/>
    <x v="2"/>
    <x v="1"/>
    <x v="2"/>
    <n v="40"/>
    <x v="0"/>
    <x v="0"/>
  </r>
  <r>
    <n v="14883"/>
    <x v="0"/>
    <x v="0"/>
    <n v="30000"/>
    <n v="1"/>
    <x v="0"/>
    <s v="Skilled Manual"/>
    <x v="0"/>
    <x v="1"/>
    <x v="2"/>
    <x v="2"/>
    <n v="53"/>
    <x v="0"/>
    <x v="1"/>
  </r>
  <r>
    <n v="27279"/>
    <x v="1"/>
    <x v="0"/>
    <n v="70000"/>
    <n v="2"/>
    <x v="0"/>
    <s v="Skilled Manual"/>
    <x v="0"/>
    <x v="0"/>
    <x v="1"/>
    <x v="2"/>
    <n v="38"/>
    <x v="0"/>
    <x v="1"/>
  </r>
  <r>
    <n v="18322"/>
    <x v="1"/>
    <x v="1"/>
    <n v="30000"/>
    <n v="0"/>
    <x v="3"/>
    <s v="Clerical"/>
    <x v="1"/>
    <x v="2"/>
    <x v="0"/>
    <x v="2"/>
    <n v="26"/>
    <x v="2"/>
    <x v="0"/>
  </r>
  <r>
    <n v="15879"/>
    <x v="0"/>
    <x v="1"/>
    <n v="70000"/>
    <n v="5"/>
    <x v="0"/>
    <s v="Management"/>
    <x v="0"/>
    <x v="2"/>
    <x v="1"/>
    <x v="2"/>
    <n v="61"/>
    <x v="1"/>
    <x v="0"/>
  </r>
  <r>
    <n v="28278"/>
    <x v="0"/>
    <x v="1"/>
    <n v="50000"/>
    <n v="2"/>
    <x v="4"/>
    <s v="Management"/>
    <x v="0"/>
    <x v="2"/>
    <x v="2"/>
    <x v="2"/>
    <n v="71"/>
    <x v="1"/>
    <x v="0"/>
  </r>
  <r>
    <n v="24416"/>
    <x v="0"/>
    <x v="1"/>
    <n v="90000"/>
    <n v="4"/>
    <x v="2"/>
    <s v="Professional"/>
    <x v="0"/>
    <x v="2"/>
    <x v="3"/>
    <x v="2"/>
    <n v="45"/>
    <x v="0"/>
    <x v="0"/>
  </r>
  <r>
    <n v="28066"/>
    <x v="0"/>
    <x v="1"/>
    <n v="80000"/>
    <n v="2"/>
    <x v="4"/>
    <s v="Professional"/>
    <x v="0"/>
    <x v="0"/>
    <x v="0"/>
    <x v="2"/>
    <n v="37"/>
    <x v="0"/>
    <x v="1"/>
  </r>
  <r>
    <n v="11275"/>
    <x v="0"/>
    <x v="0"/>
    <n v="80000"/>
    <n v="4"/>
    <x v="4"/>
    <s v="Management"/>
    <x v="0"/>
    <x v="2"/>
    <x v="0"/>
    <x v="2"/>
    <n v="72"/>
    <x v="1"/>
    <x v="1"/>
  </r>
  <r>
    <n v="14872"/>
    <x v="0"/>
    <x v="1"/>
    <n v="30000"/>
    <n v="0"/>
    <x v="4"/>
    <s v="Skilled Manual"/>
    <x v="0"/>
    <x v="0"/>
    <x v="0"/>
    <x v="2"/>
    <n v="32"/>
    <x v="0"/>
    <x v="0"/>
  </r>
  <r>
    <n v="16151"/>
    <x v="0"/>
    <x v="0"/>
    <n v="60000"/>
    <n v="1"/>
    <x v="0"/>
    <s v="Professional"/>
    <x v="0"/>
    <x v="1"/>
    <x v="1"/>
    <x v="2"/>
    <n v="48"/>
    <x v="0"/>
    <x v="1"/>
  </r>
  <r>
    <n v="19731"/>
    <x v="0"/>
    <x v="1"/>
    <n v="80000"/>
    <n v="4"/>
    <x v="4"/>
    <s v="Management"/>
    <x v="0"/>
    <x v="2"/>
    <x v="2"/>
    <x v="2"/>
    <n v="68"/>
    <x v="1"/>
    <x v="0"/>
  </r>
  <r>
    <n v="23801"/>
    <x v="0"/>
    <x v="0"/>
    <n v="20000"/>
    <n v="2"/>
    <x v="3"/>
    <s v="Clerical"/>
    <x v="0"/>
    <x v="2"/>
    <x v="0"/>
    <x v="2"/>
    <n v="49"/>
    <x v="0"/>
    <x v="0"/>
  </r>
  <r>
    <n v="11807"/>
    <x v="0"/>
    <x v="1"/>
    <n v="70000"/>
    <n v="3"/>
    <x v="4"/>
    <s v="Professional"/>
    <x v="0"/>
    <x v="0"/>
    <x v="1"/>
    <x v="2"/>
    <n v="34"/>
    <x v="0"/>
    <x v="0"/>
  </r>
  <r>
    <n v="11622"/>
    <x v="0"/>
    <x v="1"/>
    <n v="50000"/>
    <n v="0"/>
    <x v="4"/>
    <s v="Skilled Manual"/>
    <x v="0"/>
    <x v="0"/>
    <x v="0"/>
    <x v="2"/>
    <n v="32"/>
    <x v="0"/>
    <x v="0"/>
  </r>
  <r>
    <n v="26597"/>
    <x v="1"/>
    <x v="0"/>
    <n v="60000"/>
    <n v="4"/>
    <x v="0"/>
    <s v="Skilled Manual"/>
    <x v="1"/>
    <x v="2"/>
    <x v="0"/>
    <x v="2"/>
    <n v="42"/>
    <x v="0"/>
    <x v="0"/>
  </r>
  <r>
    <n v="27074"/>
    <x v="0"/>
    <x v="0"/>
    <n v="70000"/>
    <n v="1"/>
    <x v="4"/>
    <s v="Skilled Manual"/>
    <x v="0"/>
    <x v="0"/>
    <x v="0"/>
    <x v="2"/>
    <n v="35"/>
    <x v="0"/>
    <x v="1"/>
  </r>
  <r>
    <n v="19228"/>
    <x v="0"/>
    <x v="0"/>
    <n v="40000"/>
    <n v="2"/>
    <x v="1"/>
    <s v="Clerical"/>
    <x v="0"/>
    <x v="1"/>
    <x v="0"/>
    <x v="2"/>
    <n v="48"/>
    <x v="0"/>
    <x v="0"/>
  </r>
  <r>
    <n v="13415"/>
    <x v="1"/>
    <x v="1"/>
    <n v="100000"/>
    <n v="1"/>
    <x v="4"/>
    <s v="Management"/>
    <x v="0"/>
    <x v="4"/>
    <x v="1"/>
    <x v="2"/>
    <n v="73"/>
    <x v="1"/>
    <x v="1"/>
  </r>
  <r>
    <n v="17000"/>
    <x v="1"/>
    <x v="0"/>
    <n v="70000"/>
    <n v="4"/>
    <x v="0"/>
    <s v="Skilled Manual"/>
    <x v="0"/>
    <x v="2"/>
    <x v="1"/>
    <x v="2"/>
    <n v="43"/>
    <x v="0"/>
    <x v="1"/>
  </r>
  <r>
    <n v="14569"/>
    <x v="0"/>
    <x v="1"/>
    <n v="60000"/>
    <n v="1"/>
    <x v="4"/>
    <s v="Professional"/>
    <x v="0"/>
    <x v="0"/>
    <x v="0"/>
    <x v="2"/>
    <n v="35"/>
    <x v="0"/>
    <x v="0"/>
  </r>
  <r>
    <n v="13873"/>
    <x v="0"/>
    <x v="1"/>
    <n v="70000"/>
    <n v="3"/>
    <x v="4"/>
    <s v="Professional"/>
    <x v="0"/>
    <x v="0"/>
    <x v="0"/>
    <x v="2"/>
    <n v="35"/>
    <x v="0"/>
    <x v="1"/>
  </r>
  <r>
    <n v="20401"/>
    <x v="0"/>
    <x v="0"/>
    <n v="50000"/>
    <n v="4"/>
    <x v="0"/>
    <s v="Management"/>
    <x v="0"/>
    <x v="2"/>
    <x v="3"/>
    <x v="2"/>
    <n v="64"/>
    <x v="1"/>
    <x v="1"/>
  </r>
  <r>
    <n v="21583"/>
    <x v="0"/>
    <x v="0"/>
    <n v="50000"/>
    <n v="1"/>
    <x v="0"/>
    <s v="Skilled Manual"/>
    <x v="0"/>
    <x v="0"/>
    <x v="0"/>
    <x v="2"/>
    <n v="34"/>
    <x v="0"/>
    <x v="1"/>
  </r>
  <r>
    <n v="12029"/>
    <x v="0"/>
    <x v="1"/>
    <n v="30000"/>
    <n v="0"/>
    <x v="3"/>
    <s v="Clerical"/>
    <x v="1"/>
    <x v="2"/>
    <x v="0"/>
    <x v="2"/>
    <n v="28"/>
    <x v="2"/>
    <x v="0"/>
  </r>
  <r>
    <n v="18066"/>
    <x v="1"/>
    <x v="1"/>
    <n v="70000"/>
    <n v="5"/>
    <x v="0"/>
    <s v="Management"/>
    <x v="0"/>
    <x v="4"/>
    <x v="4"/>
    <x v="2"/>
    <n v="60"/>
    <x v="1"/>
    <x v="1"/>
  </r>
  <r>
    <n v="28192"/>
    <x v="0"/>
    <x v="0"/>
    <n v="70000"/>
    <n v="5"/>
    <x v="4"/>
    <s v="Professional"/>
    <x v="0"/>
    <x v="4"/>
    <x v="4"/>
    <x v="2"/>
    <n v="46"/>
    <x v="0"/>
    <x v="0"/>
  </r>
  <r>
    <n v="16122"/>
    <x v="0"/>
    <x v="1"/>
    <n v="40000"/>
    <n v="4"/>
    <x v="2"/>
    <s v="Skilled Manual"/>
    <x v="0"/>
    <x v="2"/>
    <x v="0"/>
    <x v="2"/>
    <n v="44"/>
    <x v="0"/>
    <x v="1"/>
  </r>
  <r>
    <n v="18607"/>
    <x v="1"/>
    <x v="0"/>
    <n v="60000"/>
    <n v="4"/>
    <x v="0"/>
    <s v="Skilled Manual"/>
    <x v="0"/>
    <x v="2"/>
    <x v="1"/>
    <x v="2"/>
    <n v="42"/>
    <x v="0"/>
    <x v="1"/>
  </r>
  <r>
    <n v="28858"/>
    <x v="1"/>
    <x v="1"/>
    <n v="80000"/>
    <n v="3"/>
    <x v="0"/>
    <s v="Skilled Manual"/>
    <x v="0"/>
    <x v="0"/>
    <x v="1"/>
    <x v="2"/>
    <n v="40"/>
    <x v="0"/>
    <x v="0"/>
  </r>
  <r>
    <n v="14432"/>
    <x v="1"/>
    <x v="1"/>
    <n v="90000"/>
    <n v="4"/>
    <x v="4"/>
    <s v="Management"/>
    <x v="0"/>
    <x v="1"/>
    <x v="2"/>
    <x v="2"/>
    <n v="73"/>
    <x v="1"/>
    <x v="0"/>
  </r>
  <r>
    <n v="26305"/>
    <x v="1"/>
    <x v="0"/>
    <n v="60000"/>
    <n v="2"/>
    <x v="0"/>
    <s v="Skilled Manual"/>
    <x v="1"/>
    <x v="0"/>
    <x v="0"/>
    <x v="2"/>
    <n v="36"/>
    <x v="0"/>
    <x v="1"/>
  </r>
  <r>
    <n v="22050"/>
    <x v="1"/>
    <x v="1"/>
    <n v="90000"/>
    <n v="4"/>
    <x v="0"/>
    <s v="Management"/>
    <x v="0"/>
    <x v="1"/>
    <x v="3"/>
    <x v="2"/>
    <n v="38"/>
    <x v="0"/>
    <x v="1"/>
  </r>
  <r>
    <n v="25394"/>
    <x v="0"/>
    <x v="1"/>
    <n v="60000"/>
    <n v="1"/>
    <x v="4"/>
    <s v="Professional"/>
    <x v="0"/>
    <x v="0"/>
    <x v="1"/>
    <x v="2"/>
    <n v="34"/>
    <x v="0"/>
    <x v="1"/>
  </r>
  <r>
    <n v="19747"/>
    <x v="0"/>
    <x v="1"/>
    <n v="50000"/>
    <n v="4"/>
    <x v="0"/>
    <s v="Management"/>
    <x v="0"/>
    <x v="2"/>
    <x v="4"/>
    <x v="2"/>
    <n v="63"/>
    <x v="1"/>
    <x v="0"/>
  </r>
  <r>
    <n v="23195"/>
    <x v="1"/>
    <x v="1"/>
    <n v="50000"/>
    <n v="3"/>
    <x v="0"/>
    <s v="Skilled Manual"/>
    <x v="0"/>
    <x v="2"/>
    <x v="1"/>
    <x v="2"/>
    <n v="41"/>
    <x v="0"/>
    <x v="1"/>
  </r>
  <r>
    <n v="21695"/>
    <x v="0"/>
    <x v="1"/>
    <n v="60000"/>
    <n v="0"/>
    <x v="4"/>
    <s v="Skilled Manual"/>
    <x v="0"/>
    <x v="0"/>
    <x v="3"/>
    <x v="2"/>
    <n v="39"/>
    <x v="0"/>
    <x v="1"/>
  </r>
  <r>
    <n v="13934"/>
    <x v="0"/>
    <x v="1"/>
    <n v="40000"/>
    <n v="4"/>
    <x v="2"/>
    <s v="Skilled Manual"/>
    <x v="0"/>
    <x v="2"/>
    <x v="1"/>
    <x v="2"/>
    <n v="46"/>
    <x v="0"/>
    <x v="0"/>
  </r>
  <r>
    <n v="13337"/>
    <x v="0"/>
    <x v="0"/>
    <n v="80000"/>
    <n v="5"/>
    <x v="0"/>
    <s v="Management"/>
    <x v="0"/>
    <x v="2"/>
    <x v="2"/>
    <x v="2"/>
    <n v="64"/>
    <x v="1"/>
    <x v="0"/>
  </r>
  <r>
    <n v="27190"/>
    <x v="0"/>
    <x v="0"/>
    <n v="40000"/>
    <n v="3"/>
    <x v="1"/>
    <s v="Clerical"/>
    <x v="0"/>
    <x v="1"/>
    <x v="3"/>
    <x v="2"/>
    <n v="32"/>
    <x v="0"/>
    <x v="0"/>
  </r>
  <r>
    <n v="28657"/>
    <x v="1"/>
    <x v="1"/>
    <n v="60000"/>
    <n v="2"/>
    <x v="0"/>
    <s v="Skilled Manual"/>
    <x v="0"/>
    <x v="0"/>
    <x v="1"/>
    <x v="2"/>
    <n v="36"/>
    <x v="0"/>
    <x v="1"/>
  </r>
  <r>
    <n v="21713"/>
    <x v="1"/>
    <x v="1"/>
    <n v="80000"/>
    <n v="5"/>
    <x v="4"/>
    <s v="Skilled Manual"/>
    <x v="1"/>
    <x v="0"/>
    <x v="0"/>
    <x v="2"/>
    <n v="47"/>
    <x v="0"/>
    <x v="0"/>
  </r>
  <r>
    <n v="21752"/>
    <x v="0"/>
    <x v="1"/>
    <n v="60000"/>
    <n v="3"/>
    <x v="4"/>
    <s v="Management"/>
    <x v="0"/>
    <x v="2"/>
    <x v="4"/>
    <x v="2"/>
    <n v="64"/>
    <x v="1"/>
    <x v="0"/>
  </r>
  <r>
    <n v="27273"/>
    <x v="1"/>
    <x v="1"/>
    <n v="70000"/>
    <n v="3"/>
    <x v="4"/>
    <s v="Professional"/>
    <x v="1"/>
    <x v="0"/>
    <x v="0"/>
    <x v="2"/>
    <n v="35"/>
    <x v="0"/>
    <x v="1"/>
  </r>
  <r>
    <n v="22719"/>
    <x v="1"/>
    <x v="1"/>
    <n v="110000"/>
    <n v="3"/>
    <x v="0"/>
    <s v="Management"/>
    <x v="0"/>
    <x v="3"/>
    <x v="1"/>
    <x v="2"/>
    <n v="40"/>
    <x v="0"/>
    <x v="1"/>
  </r>
  <r>
    <n v="22042"/>
    <x v="0"/>
    <x v="0"/>
    <n v="70000"/>
    <n v="0"/>
    <x v="1"/>
    <s v="Skilled Manual"/>
    <x v="0"/>
    <x v="2"/>
    <x v="2"/>
    <x v="2"/>
    <n v="34"/>
    <x v="0"/>
    <x v="1"/>
  </r>
  <r>
    <n v="21451"/>
    <x v="0"/>
    <x v="0"/>
    <n v="40000"/>
    <n v="4"/>
    <x v="2"/>
    <s v="Professional"/>
    <x v="0"/>
    <x v="2"/>
    <x v="4"/>
    <x v="2"/>
    <n v="61"/>
    <x v="1"/>
    <x v="0"/>
  </r>
  <r>
    <n v="20754"/>
    <x v="0"/>
    <x v="1"/>
    <n v="30000"/>
    <n v="2"/>
    <x v="2"/>
    <s v="Skilled Manual"/>
    <x v="0"/>
    <x v="2"/>
    <x v="3"/>
    <x v="2"/>
    <n v="51"/>
    <x v="0"/>
    <x v="0"/>
  </r>
  <r>
    <n v="12153"/>
    <x v="1"/>
    <x v="0"/>
    <n v="70000"/>
    <n v="3"/>
    <x v="1"/>
    <s v="Professional"/>
    <x v="0"/>
    <x v="1"/>
    <x v="2"/>
    <x v="2"/>
    <n v="49"/>
    <x v="0"/>
    <x v="1"/>
  </r>
  <r>
    <n v="16895"/>
    <x v="0"/>
    <x v="0"/>
    <n v="40000"/>
    <n v="3"/>
    <x v="1"/>
    <s v="Professional"/>
    <x v="1"/>
    <x v="2"/>
    <x v="3"/>
    <x v="2"/>
    <n v="54"/>
    <x v="0"/>
    <x v="1"/>
  </r>
  <r>
    <n v="26728"/>
    <x v="1"/>
    <x v="1"/>
    <n v="70000"/>
    <n v="3"/>
    <x v="4"/>
    <s v="Management"/>
    <x v="1"/>
    <x v="2"/>
    <x v="3"/>
    <x v="2"/>
    <n v="53"/>
    <x v="0"/>
    <x v="1"/>
  </r>
  <r>
    <n v="11090"/>
    <x v="1"/>
    <x v="1"/>
    <n v="90000"/>
    <n v="2"/>
    <x v="1"/>
    <s v="Professional"/>
    <x v="0"/>
    <x v="1"/>
    <x v="1"/>
    <x v="2"/>
    <n v="48"/>
    <x v="0"/>
    <x v="1"/>
  </r>
  <r>
    <n v="15862"/>
    <x v="1"/>
    <x v="0"/>
    <n v="50000"/>
    <n v="0"/>
    <x v="4"/>
    <s v="Skilled Manual"/>
    <x v="0"/>
    <x v="0"/>
    <x v="3"/>
    <x v="2"/>
    <n v="33"/>
    <x v="0"/>
    <x v="1"/>
  </r>
  <r>
    <n v="26495"/>
    <x v="1"/>
    <x v="0"/>
    <n v="40000"/>
    <n v="2"/>
    <x v="2"/>
    <s v="Professional"/>
    <x v="0"/>
    <x v="2"/>
    <x v="4"/>
    <x v="2"/>
    <n v="57"/>
    <x v="1"/>
    <x v="0"/>
  </r>
  <r>
    <n v="11823"/>
    <x v="0"/>
    <x v="0"/>
    <n v="70000"/>
    <n v="0"/>
    <x v="4"/>
    <s v="Professional"/>
    <x v="0"/>
    <x v="0"/>
    <x v="1"/>
    <x v="2"/>
    <n v="39"/>
    <x v="0"/>
    <x v="0"/>
  </r>
  <r>
    <n v="23449"/>
    <x v="0"/>
    <x v="1"/>
    <n v="60000"/>
    <n v="2"/>
    <x v="2"/>
    <s v="Professional"/>
    <x v="0"/>
    <x v="2"/>
    <x v="2"/>
    <x v="2"/>
    <n v="48"/>
    <x v="0"/>
    <x v="0"/>
  </r>
  <r>
    <n v="23459"/>
    <x v="0"/>
    <x v="1"/>
    <n v="60000"/>
    <n v="2"/>
    <x v="2"/>
    <s v="Professional"/>
    <x v="0"/>
    <x v="2"/>
    <x v="2"/>
    <x v="2"/>
    <n v="50"/>
    <x v="0"/>
    <x v="0"/>
  </r>
  <r>
    <n v="19543"/>
    <x v="0"/>
    <x v="1"/>
    <n v="70000"/>
    <n v="5"/>
    <x v="4"/>
    <s v="Professional"/>
    <x v="1"/>
    <x v="4"/>
    <x v="4"/>
    <x v="2"/>
    <n v="47"/>
    <x v="0"/>
    <x v="0"/>
  </r>
  <r>
    <n v="14914"/>
    <x v="0"/>
    <x v="0"/>
    <n v="40000"/>
    <n v="1"/>
    <x v="1"/>
    <s v="Clerical"/>
    <x v="0"/>
    <x v="1"/>
    <x v="3"/>
    <x v="2"/>
    <n v="49"/>
    <x v="0"/>
    <x v="1"/>
  </r>
  <r>
    <n v="12033"/>
    <x v="1"/>
    <x v="0"/>
    <n v="40000"/>
    <n v="0"/>
    <x v="2"/>
    <s v="Skilled Manual"/>
    <x v="1"/>
    <x v="2"/>
    <x v="0"/>
    <x v="2"/>
    <n v="27"/>
    <x v="2"/>
    <x v="1"/>
  </r>
  <r>
    <n v="11941"/>
    <x v="1"/>
    <x v="1"/>
    <n v="60000"/>
    <n v="0"/>
    <x v="1"/>
    <s v="Skilled Manual"/>
    <x v="0"/>
    <x v="0"/>
    <x v="2"/>
    <x v="2"/>
    <n v="29"/>
    <x v="2"/>
    <x v="0"/>
  </r>
  <r>
    <n v="14389"/>
    <x v="0"/>
    <x v="1"/>
    <n v="60000"/>
    <n v="2"/>
    <x v="0"/>
    <s v="Management"/>
    <x v="0"/>
    <x v="0"/>
    <x v="1"/>
    <x v="2"/>
    <n v="59"/>
    <x v="1"/>
    <x v="0"/>
  </r>
  <r>
    <n v="18050"/>
    <x v="0"/>
    <x v="0"/>
    <n v="60000"/>
    <n v="1"/>
    <x v="1"/>
    <s v="Skilled Manual"/>
    <x v="0"/>
    <x v="1"/>
    <x v="0"/>
    <x v="2"/>
    <n v="45"/>
    <x v="0"/>
    <x v="1"/>
  </r>
  <r>
    <n v="19856"/>
    <x v="0"/>
    <x v="0"/>
    <n v="60000"/>
    <n v="4"/>
    <x v="0"/>
    <s v="Management"/>
    <x v="0"/>
    <x v="2"/>
    <x v="1"/>
    <x v="2"/>
    <n v="60"/>
    <x v="1"/>
    <x v="0"/>
  </r>
  <r>
    <n v="11663"/>
    <x v="0"/>
    <x v="1"/>
    <n v="70000"/>
    <n v="4"/>
    <x v="4"/>
    <s v="Professional"/>
    <x v="0"/>
    <x v="0"/>
    <x v="0"/>
    <x v="2"/>
    <n v="36"/>
    <x v="0"/>
    <x v="1"/>
  </r>
  <r>
    <n v="27740"/>
    <x v="0"/>
    <x v="0"/>
    <n v="40000"/>
    <n v="0"/>
    <x v="2"/>
    <s v="Skilled Manual"/>
    <x v="0"/>
    <x v="2"/>
    <x v="2"/>
    <x v="2"/>
    <n v="27"/>
    <x v="2"/>
    <x v="0"/>
  </r>
  <r>
    <n v="23455"/>
    <x v="1"/>
    <x v="1"/>
    <n v="80000"/>
    <n v="2"/>
    <x v="3"/>
    <s v="Skilled Manual"/>
    <x v="1"/>
    <x v="2"/>
    <x v="3"/>
    <x v="2"/>
    <n v="50"/>
    <x v="0"/>
    <x v="0"/>
  </r>
  <r>
    <n v="15292"/>
    <x v="1"/>
    <x v="0"/>
    <n v="60000"/>
    <n v="1"/>
    <x v="4"/>
    <s v="Skilled Manual"/>
    <x v="0"/>
    <x v="0"/>
    <x v="3"/>
    <x v="2"/>
    <n v="35"/>
    <x v="0"/>
    <x v="0"/>
  </r>
  <r>
    <n v="21587"/>
    <x v="0"/>
    <x v="0"/>
    <n v="60000"/>
    <n v="1"/>
    <x v="4"/>
    <s v="Skilled Manual"/>
    <x v="0"/>
    <x v="0"/>
    <x v="1"/>
    <x v="2"/>
    <n v="34"/>
    <x v="0"/>
    <x v="1"/>
  </r>
  <r>
    <n v="23513"/>
    <x v="0"/>
    <x v="0"/>
    <n v="40000"/>
    <n v="3"/>
    <x v="1"/>
    <s v="Professional"/>
    <x v="0"/>
    <x v="2"/>
    <x v="2"/>
    <x v="2"/>
    <n v="54"/>
    <x v="0"/>
    <x v="0"/>
  </r>
  <r>
    <n v="24322"/>
    <x v="0"/>
    <x v="0"/>
    <n v="60000"/>
    <n v="4"/>
    <x v="0"/>
    <s v="Skilled Manual"/>
    <x v="1"/>
    <x v="2"/>
    <x v="0"/>
    <x v="2"/>
    <n v="42"/>
    <x v="0"/>
    <x v="0"/>
  </r>
  <r>
    <n v="26298"/>
    <x v="0"/>
    <x v="0"/>
    <n v="50000"/>
    <n v="1"/>
    <x v="0"/>
    <s v="Skilled Manual"/>
    <x v="0"/>
    <x v="0"/>
    <x v="1"/>
    <x v="2"/>
    <n v="34"/>
    <x v="0"/>
    <x v="1"/>
  </r>
  <r>
    <n v="25419"/>
    <x v="1"/>
    <x v="1"/>
    <n v="50000"/>
    <n v="2"/>
    <x v="0"/>
    <s v="Skilled Manual"/>
    <x v="1"/>
    <x v="1"/>
    <x v="0"/>
    <x v="2"/>
    <n v="38"/>
    <x v="0"/>
    <x v="1"/>
  </r>
  <r>
    <n v="13343"/>
    <x v="0"/>
    <x v="0"/>
    <n v="90000"/>
    <n v="5"/>
    <x v="0"/>
    <s v="Management"/>
    <x v="0"/>
    <x v="2"/>
    <x v="3"/>
    <x v="2"/>
    <n v="63"/>
    <x v="1"/>
    <x v="1"/>
  </r>
  <r>
    <n v="11303"/>
    <x v="1"/>
    <x v="0"/>
    <n v="90000"/>
    <n v="4"/>
    <x v="2"/>
    <s v="Professional"/>
    <x v="1"/>
    <x v="4"/>
    <x v="3"/>
    <x v="2"/>
    <n v="45"/>
    <x v="0"/>
    <x v="1"/>
  </r>
  <r>
    <n v="21693"/>
    <x v="1"/>
    <x v="0"/>
    <n v="60000"/>
    <n v="0"/>
    <x v="4"/>
    <s v="Skilled Manual"/>
    <x v="1"/>
    <x v="0"/>
    <x v="0"/>
    <x v="2"/>
    <n v="40"/>
    <x v="0"/>
    <x v="0"/>
  </r>
  <r>
    <n v="28056"/>
    <x v="0"/>
    <x v="1"/>
    <n v="70000"/>
    <n v="2"/>
    <x v="3"/>
    <s v="Skilled Manual"/>
    <x v="0"/>
    <x v="2"/>
    <x v="4"/>
    <x v="2"/>
    <n v="53"/>
    <x v="0"/>
    <x v="0"/>
  </r>
  <r>
    <n v="11788"/>
    <x v="1"/>
    <x v="0"/>
    <n v="70000"/>
    <n v="1"/>
    <x v="4"/>
    <s v="Professional"/>
    <x v="0"/>
    <x v="0"/>
    <x v="1"/>
    <x v="2"/>
    <n v="34"/>
    <x v="0"/>
    <x v="0"/>
  </r>
  <r>
    <n v="22296"/>
    <x v="0"/>
    <x v="1"/>
    <n v="70000"/>
    <n v="0"/>
    <x v="0"/>
    <s v="Professional"/>
    <x v="1"/>
    <x v="1"/>
    <x v="0"/>
    <x v="2"/>
    <n v="38"/>
    <x v="0"/>
    <x v="0"/>
  </r>
  <r>
    <n v="15319"/>
    <x v="0"/>
    <x v="0"/>
    <n v="70000"/>
    <n v="4"/>
    <x v="0"/>
    <s v="Management"/>
    <x v="1"/>
    <x v="1"/>
    <x v="3"/>
    <x v="2"/>
    <n v="59"/>
    <x v="1"/>
    <x v="0"/>
  </r>
  <r>
    <n v="17654"/>
    <x v="1"/>
    <x v="0"/>
    <n v="40000"/>
    <n v="3"/>
    <x v="1"/>
    <s v="Clerical"/>
    <x v="0"/>
    <x v="1"/>
    <x v="3"/>
    <x v="2"/>
    <n v="30"/>
    <x v="2"/>
    <x v="1"/>
  </r>
  <r>
    <n v="14662"/>
    <x v="0"/>
    <x v="1"/>
    <n v="60000"/>
    <n v="1"/>
    <x v="0"/>
    <s v="Professional"/>
    <x v="0"/>
    <x v="1"/>
    <x v="0"/>
    <x v="2"/>
    <n v="48"/>
    <x v="0"/>
    <x v="1"/>
  </r>
  <r>
    <n v="17541"/>
    <x v="0"/>
    <x v="0"/>
    <n v="40000"/>
    <n v="4"/>
    <x v="2"/>
    <s v="Skilled Manual"/>
    <x v="0"/>
    <x v="2"/>
    <x v="1"/>
    <x v="2"/>
    <n v="43"/>
    <x v="0"/>
    <x v="0"/>
  </r>
  <r>
    <n v="13886"/>
    <x v="0"/>
    <x v="0"/>
    <n v="70000"/>
    <n v="4"/>
    <x v="4"/>
    <s v="Professional"/>
    <x v="0"/>
    <x v="0"/>
    <x v="1"/>
    <x v="2"/>
    <n v="35"/>
    <x v="0"/>
    <x v="1"/>
  </r>
  <r>
    <n v="13073"/>
    <x v="0"/>
    <x v="0"/>
    <n v="60000"/>
    <n v="0"/>
    <x v="1"/>
    <s v="Professional"/>
    <x v="0"/>
    <x v="2"/>
    <x v="2"/>
    <x v="2"/>
    <n v="30"/>
    <x v="2"/>
    <x v="0"/>
  </r>
  <r>
    <n v="21940"/>
    <x v="0"/>
    <x v="1"/>
    <n v="90000"/>
    <n v="5"/>
    <x v="4"/>
    <s v="Professional"/>
    <x v="0"/>
    <x v="0"/>
    <x v="0"/>
    <x v="2"/>
    <n v="47"/>
    <x v="0"/>
    <x v="1"/>
  </r>
  <r>
    <n v="20196"/>
    <x v="0"/>
    <x v="1"/>
    <n v="60000"/>
    <n v="1"/>
    <x v="1"/>
    <s v="Skilled Manual"/>
    <x v="0"/>
    <x v="1"/>
    <x v="1"/>
    <x v="2"/>
    <n v="45"/>
    <x v="0"/>
    <x v="1"/>
  </r>
  <r>
    <n v="23491"/>
    <x v="1"/>
    <x v="1"/>
    <n v="100000"/>
    <n v="0"/>
    <x v="1"/>
    <s v="Professional"/>
    <x v="1"/>
    <x v="3"/>
    <x v="3"/>
    <x v="2"/>
    <n v="45"/>
    <x v="0"/>
    <x v="0"/>
  </r>
  <r>
    <n v="16651"/>
    <x v="0"/>
    <x v="0"/>
    <n v="120000"/>
    <n v="2"/>
    <x v="0"/>
    <s v="Management"/>
    <x v="0"/>
    <x v="4"/>
    <x v="2"/>
    <x v="2"/>
    <n v="62"/>
    <x v="1"/>
    <x v="0"/>
  </r>
  <r>
    <n v="16813"/>
    <x v="0"/>
    <x v="1"/>
    <n v="60000"/>
    <n v="2"/>
    <x v="1"/>
    <s v="Professional"/>
    <x v="0"/>
    <x v="2"/>
    <x v="4"/>
    <x v="2"/>
    <n v="55"/>
    <x v="1"/>
    <x v="0"/>
  </r>
  <r>
    <n v="16007"/>
    <x v="0"/>
    <x v="0"/>
    <n v="90000"/>
    <n v="5"/>
    <x v="0"/>
    <s v="Management"/>
    <x v="0"/>
    <x v="2"/>
    <x v="3"/>
    <x v="2"/>
    <n v="66"/>
    <x v="1"/>
    <x v="1"/>
  </r>
  <r>
    <n v="27434"/>
    <x v="1"/>
    <x v="1"/>
    <n v="70000"/>
    <n v="4"/>
    <x v="1"/>
    <s v="Professional"/>
    <x v="0"/>
    <x v="1"/>
    <x v="4"/>
    <x v="2"/>
    <n v="56"/>
    <x v="1"/>
    <x v="0"/>
  </r>
  <r>
    <n v="27756"/>
    <x v="1"/>
    <x v="0"/>
    <n v="50000"/>
    <n v="3"/>
    <x v="0"/>
    <s v="Skilled Manual"/>
    <x v="1"/>
    <x v="1"/>
    <x v="0"/>
    <x v="2"/>
    <n v="40"/>
    <x v="0"/>
    <x v="0"/>
  </r>
  <r>
    <n v="23818"/>
    <x v="0"/>
    <x v="0"/>
    <n v="50000"/>
    <n v="0"/>
    <x v="4"/>
    <s v="Skilled Manual"/>
    <x v="0"/>
    <x v="0"/>
    <x v="3"/>
    <x v="2"/>
    <n v="33"/>
    <x v="0"/>
    <x v="1"/>
  </r>
  <r>
    <n v="19012"/>
    <x v="0"/>
    <x v="1"/>
    <n v="80000"/>
    <n v="3"/>
    <x v="0"/>
    <s v="Management"/>
    <x v="0"/>
    <x v="1"/>
    <x v="3"/>
    <x v="2"/>
    <n v="56"/>
    <x v="1"/>
    <x v="0"/>
  </r>
  <r>
    <n v="18329"/>
    <x v="1"/>
    <x v="1"/>
    <n v="30000"/>
    <n v="0"/>
    <x v="3"/>
    <s v="Clerical"/>
    <x v="1"/>
    <x v="2"/>
    <x v="2"/>
    <x v="2"/>
    <n v="27"/>
    <x v="2"/>
    <x v="0"/>
  </r>
  <r>
    <n v="29037"/>
    <x v="0"/>
    <x v="1"/>
    <n v="60000"/>
    <n v="0"/>
    <x v="4"/>
    <s v="Professional"/>
    <x v="1"/>
    <x v="0"/>
    <x v="0"/>
    <x v="2"/>
    <n v="39"/>
    <x v="0"/>
    <x v="0"/>
  </r>
  <r>
    <n v="26576"/>
    <x v="0"/>
    <x v="0"/>
    <n v="60000"/>
    <n v="0"/>
    <x v="1"/>
    <s v="Skilled Manual"/>
    <x v="0"/>
    <x v="2"/>
    <x v="2"/>
    <x v="2"/>
    <n v="31"/>
    <x v="0"/>
    <x v="0"/>
  </r>
  <r>
    <n v="12192"/>
    <x v="1"/>
    <x v="0"/>
    <n v="60000"/>
    <n v="2"/>
    <x v="3"/>
    <s v="Skilled Manual"/>
    <x v="1"/>
    <x v="2"/>
    <x v="3"/>
    <x v="2"/>
    <n v="51"/>
    <x v="0"/>
    <x v="0"/>
  </r>
  <r>
    <n v="14887"/>
    <x v="0"/>
    <x v="0"/>
    <n v="30000"/>
    <n v="1"/>
    <x v="2"/>
    <s v="Clerical"/>
    <x v="0"/>
    <x v="1"/>
    <x v="2"/>
    <x v="2"/>
    <n v="52"/>
    <x v="0"/>
    <x v="0"/>
  </r>
  <r>
    <n v="11734"/>
    <x v="0"/>
    <x v="1"/>
    <n v="60000"/>
    <n v="1"/>
    <x v="1"/>
    <s v="Skilled Manual"/>
    <x v="1"/>
    <x v="1"/>
    <x v="0"/>
    <x v="2"/>
    <n v="47"/>
    <x v="0"/>
    <x v="0"/>
  </r>
  <r>
    <n v="17462"/>
    <x v="0"/>
    <x v="1"/>
    <n v="70000"/>
    <n v="3"/>
    <x v="4"/>
    <s v="Management"/>
    <x v="0"/>
    <x v="2"/>
    <x v="2"/>
    <x v="2"/>
    <n v="53"/>
    <x v="0"/>
    <x v="1"/>
  </r>
  <r>
    <n v="20659"/>
    <x v="0"/>
    <x v="1"/>
    <n v="70000"/>
    <n v="3"/>
    <x v="4"/>
    <s v="Professional"/>
    <x v="0"/>
    <x v="0"/>
    <x v="0"/>
    <x v="2"/>
    <n v="35"/>
    <x v="0"/>
    <x v="1"/>
  </r>
  <r>
    <n v="28004"/>
    <x v="0"/>
    <x v="0"/>
    <n v="60000"/>
    <n v="3"/>
    <x v="0"/>
    <s v="Management"/>
    <x v="0"/>
    <x v="2"/>
    <x v="4"/>
    <x v="2"/>
    <n v="66"/>
    <x v="1"/>
    <x v="0"/>
  </r>
  <r>
    <n v="19741"/>
    <x v="1"/>
    <x v="0"/>
    <n v="80000"/>
    <n v="4"/>
    <x v="4"/>
    <s v="Management"/>
    <x v="0"/>
    <x v="2"/>
    <x v="2"/>
    <x v="2"/>
    <n v="65"/>
    <x v="1"/>
    <x v="0"/>
  </r>
  <r>
    <n v="17450"/>
    <x v="0"/>
    <x v="1"/>
    <n v="80000"/>
    <n v="5"/>
    <x v="1"/>
    <s v="Professional"/>
    <x v="0"/>
    <x v="4"/>
    <x v="2"/>
    <x v="2"/>
    <n v="45"/>
    <x v="0"/>
    <x v="0"/>
  </r>
  <r>
    <n v="17337"/>
    <x v="1"/>
    <x v="1"/>
    <n v="40000"/>
    <n v="0"/>
    <x v="2"/>
    <s v="Skilled Manual"/>
    <x v="0"/>
    <x v="1"/>
    <x v="2"/>
    <x v="2"/>
    <n v="31"/>
    <x v="0"/>
    <x v="0"/>
  </r>
  <r>
    <n v="18594"/>
    <x v="1"/>
    <x v="0"/>
    <n v="80000"/>
    <n v="3"/>
    <x v="0"/>
    <s v="Skilled Manual"/>
    <x v="0"/>
    <x v="4"/>
    <x v="4"/>
    <x v="2"/>
    <n v="40"/>
    <x v="0"/>
    <x v="1"/>
  </r>
  <r>
    <n v="15982"/>
    <x v="0"/>
    <x v="1"/>
    <n v="110000"/>
    <n v="5"/>
    <x v="1"/>
    <s v="Professional"/>
    <x v="0"/>
    <x v="3"/>
    <x v="1"/>
    <x v="2"/>
    <n v="46"/>
    <x v="0"/>
    <x v="0"/>
  </r>
  <r>
    <n v="28625"/>
    <x v="1"/>
    <x v="1"/>
    <n v="40000"/>
    <n v="2"/>
    <x v="1"/>
    <s v="Clerical"/>
    <x v="1"/>
    <x v="1"/>
    <x v="3"/>
    <x v="2"/>
    <n v="47"/>
    <x v="0"/>
    <x v="1"/>
  </r>
  <r>
    <n v="11269"/>
    <x v="0"/>
    <x v="1"/>
    <n v="130000"/>
    <n v="2"/>
    <x v="4"/>
    <s v="Management"/>
    <x v="0"/>
    <x v="2"/>
    <x v="0"/>
    <x v="2"/>
    <n v="41"/>
    <x v="0"/>
    <x v="0"/>
  </r>
  <r>
    <n v="25148"/>
    <x v="0"/>
    <x v="1"/>
    <n v="60000"/>
    <n v="2"/>
    <x v="2"/>
    <s v="Professional"/>
    <x v="1"/>
    <x v="2"/>
    <x v="3"/>
    <x v="2"/>
    <n v="48"/>
    <x v="0"/>
    <x v="1"/>
  </r>
  <r>
    <n v="13920"/>
    <x v="1"/>
    <x v="0"/>
    <n v="50000"/>
    <n v="4"/>
    <x v="0"/>
    <s v="Skilled Manual"/>
    <x v="0"/>
    <x v="2"/>
    <x v="0"/>
    <x v="2"/>
    <n v="42"/>
    <x v="0"/>
    <x v="0"/>
  </r>
  <r>
    <n v="23704"/>
    <x v="1"/>
    <x v="1"/>
    <n v="40000"/>
    <n v="5"/>
    <x v="2"/>
    <s v="Professional"/>
    <x v="0"/>
    <x v="3"/>
    <x v="4"/>
    <x v="2"/>
    <n v="60"/>
    <x v="1"/>
    <x v="1"/>
  </r>
  <r>
    <n v="28972"/>
    <x v="1"/>
    <x v="0"/>
    <n v="60000"/>
    <n v="3"/>
    <x v="4"/>
    <s v="Management"/>
    <x v="0"/>
    <x v="2"/>
    <x v="4"/>
    <x v="2"/>
    <n v="66"/>
    <x v="1"/>
    <x v="0"/>
  </r>
  <r>
    <n v="22730"/>
    <x v="0"/>
    <x v="1"/>
    <n v="70000"/>
    <n v="5"/>
    <x v="0"/>
    <s v="Management"/>
    <x v="0"/>
    <x v="2"/>
    <x v="4"/>
    <x v="2"/>
    <n v="63"/>
    <x v="1"/>
    <x v="0"/>
  </r>
  <r>
    <n v="29134"/>
    <x v="0"/>
    <x v="1"/>
    <n v="60000"/>
    <n v="4"/>
    <x v="0"/>
    <s v="Skilled Manual"/>
    <x v="1"/>
    <x v="4"/>
    <x v="4"/>
    <x v="2"/>
    <n v="42"/>
    <x v="0"/>
    <x v="0"/>
  </r>
  <r>
    <n v="14332"/>
    <x v="1"/>
    <x v="0"/>
    <n v="30000"/>
    <n v="0"/>
    <x v="2"/>
    <s v="Skilled Manual"/>
    <x v="1"/>
    <x v="2"/>
    <x v="2"/>
    <x v="2"/>
    <n v="26"/>
    <x v="2"/>
    <x v="0"/>
  </r>
  <r>
    <n v="19117"/>
    <x v="1"/>
    <x v="0"/>
    <n v="60000"/>
    <n v="1"/>
    <x v="4"/>
    <s v="Professional"/>
    <x v="0"/>
    <x v="0"/>
    <x v="1"/>
    <x v="2"/>
    <n v="36"/>
    <x v="0"/>
    <x v="1"/>
  </r>
  <r>
    <n v="22864"/>
    <x v="0"/>
    <x v="1"/>
    <n v="90000"/>
    <n v="2"/>
    <x v="1"/>
    <s v="Professional"/>
    <x v="1"/>
    <x v="0"/>
    <x v="2"/>
    <x v="2"/>
    <n v="49"/>
    <x v="0"/>
    <x v="1"/>
  </r>
  <r>
    <n v="11292"/>
    <x v="1"/>
    <x v="1"/>
    <n v="150000"/>
    <n v="1"/>
    <x v="1"/>
    <s v="Professional"/>
    <x v="1"/>
    <x v="4"/>
    <x v="0"/>
    <x v="2"/>
    <n v="44"/>
    <x v="0"/>
    <x v="1"/>
  </r>
  <r>
    <n v="13466"/>
    <x v="0"/>
    <x v="1"/>
    <n v="80000"/>
    <n v="5"/>
    <x v="1"/>
    <s v="Professional"/>
    <x v="0"/>
    <x v="4"/>
    <x v="3"/>
    <x v="2"/>
    <n v="46"/>
    <x v="0"/>
    <x v="0"/>
  </r>
  <r>
    <n v="23731"/>
    <x v="0"/>
    <x v="1"/>
    <n v="60000"/>
    <n v="2"/>
    <x v="2"/>
    <s v="Professional"/>
    <x v="0"/>
    <x v="2"/>
    <x v="1"/>
    <x v="2"/>
    <n v="54"/>
    <x v="0"/>
    <x v="1"/>
  </r>
  <r>
    <n v="28672"/>
    <x v="1"/>
    <x v="1"/>
    <n v="70000"/>
    <n v="4"/>
    <x v="4"/>
    <s v="Professional"/>
    <x v="0"/>
    <x v="0"/>
    <x v="1"/>
    <x v="2"/>
    <n v="35"/>
    <x v="0"/>
    <x v="1"/>
  </r>
  <r>
    <n v="11809"/>
    <x v="0"/>
    <x v="1"/>
    <n v="60000"/>
    <n v="2"/>
    <x v="0"/>
    <s v="Skilled Manual"/>
    <x v="0"/>
    <x v="0"/>
    <x v="0"/>
    <x v="2"/>
    <n v="38"/>
    <x v="0"/>
    <x v="1"/>
  </r>
  <r>
    <n v="19664"/>
    <x v="1"/>
    <x v="1"/>
    <n v="100000"/>
    <n v="3"/>
    <x v="0"/>
    <s v="Management"/>
    <x v="1"/>
    <x v="4"/>
    <x v="3"/>
    <x v="2"/>
    <n v="38"/>
    <x v="0"/>
    <x v="0"/>
  </r>
  <r>
    <n v="12121"/>
    <x v="1"/>
    <x v="1"/>
    <n v="60000"/>
    <n v="3"/>
    <x v="2"/>
    <s v="Professional"/>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A9" firstHeaderRow="1" firstDataRow="1" firstDataCol="0" rowPageCount="1" colPageCount="1"/>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pivotField showAll="0"/>
    <pivotField showAll="0"/>
    <pivotField showAll="0"/>
    <pivotField axis="axisPage" showAll="0">
      <items count="3">
        <item x="0"/>
        <item x="1"/>
        <item t="default"/>
      </items>
    </pivotField>
  </pivotFields>
  <rowItems count="1">
    <i/>
  </rowItems>
  <colItems count="1">
    <i/>
  </colItems>
  <pageFields count="1">
    <pageField fld="13" item="1" hier="-1"/>
  </pageFields>
  <dataFields count="1">
    <dataField name="Count of ID"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7:D32" firstHeaderRow="1" firstDataRow="2" firstDataCol="1"/>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pivotField showAll="0"/>
    <pivotField axis="axisRow" showAll="0">
      <items count="4">
        <item x="2"/>
        <item x="0"/>
        <item x="1"/>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ID" fld="0" subtotal="count" showDataAs="percentOfRow" baseField="13" baseItem="1" numFmtId="10"/>
  </dataFields>
  <formats count="16">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fieldPosition="0">
        <references count="1">
          <reference field="4294967294" count="1">
            <x v="0"/>
          </reference>
        </references>
      </pivotArea>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fieldPosition="0">
        <references count="1">
          <reference field="4294967294" count="1">
            <x v="0"/>
          </reference>
        </references>
      </pivotArea>
    </format>
    <format dxfId="2">
      <pivotArea outline="0" fieldPosition="0">
        <references count="1">
          <reference field="4294967294" count="1">
            <x v="0"/>
          </reference>
        </references>
      </pivotArea>
    </format>
    <format dxfId="1">
      <pivotArea outline="0" fieldPosition="0">
        <references count="1">
          <reference field="4294967294" count="1">
            <x v="0"/>
          </reference>
        </references>
      </pivotArea>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6:D50" firstHeaderRow="1" firstDataRow="2" firstDataCol="1"/>
  <pivotFields count="14">
    <pivotField dataField="1" showAll="0"/>
    <pivotField showAll="0">
      <items count="3">
        <item x="0"/>
        <item x="1"/>
        <item t="default"/>
      </items>
    </pivotField>
    <pivotField axis="axisRow"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ID" fld="0" subtotal="count" showDataAs="percentOfRow" baseField="0" baseItem="0" numFmtId="10"/>
  </dataFields>
  <formats count="3">
    <format dxfId="18">
      <pivotArea outline="0" collapsedLevelsAreSubtotals="1" fieldPosition="0"/>
    </format>
    <format dxfId="17">
      <pivotArea outline="0" fieldPosition="0">
        <references count="1">
          <reference field="4294967294" count="1">
            <x v="0"/>
          </reference>
        </references>
      </pivotArea>
    </format>
    <format dxfId="1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2:D66" firstHeaderRow="1" firstDataRow="2" firstDataCol="1"/>
  <pivotFields count="14">
    <pivotField showAll="0"/>
    <pivotField axis="axisRow" showAll="0">
      <items count="3">
        <item x="0"/>
        <item x="1"/>
        <item t="default"/>
      </items>
    </pivotField>
    <pivotField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pivotField showAll="0"/>
    <pivotField showAll="0">
      <items count="4">
        <item x="2"/>
        <item x="0"/>
        <item x="1"/>
        <item t="default"/>
      </items>
    </pivotField>
    <pivotField axis="axisCol" showAll="0">
      <items count="3">
        <item x="0"/>
        <item x="1"/>
        <item t="default"/>
      </items>
    </pivotField>
  </pivotFields>
  <rowFields count="1">
    <field x="1"/>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7">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A3" firstHeaderRow="1" firstDataRow="1" firstDataCol="0"/>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0:D22" firstHeaderRow="1" firstDataRow="2" firstDataCol="1"/>
  <pivotFields count="14">
    <pivotField showAll="0"/>
    <pivotField showAll="0">
      <items count="3">
        <item x="0"/>
        <item x="1"/>
        <item t="default"/>
      </items>
    </pivotField>
    <pivotField showAll="0">
      <items count="3">
        <item x="0"/>
        <item x="1"/>
        <item t="default"/>
      </items>
    </pivotField>
    <pivotField dataField="1" numFmtId="165" showAll="0"/>
    <pivotField showAll="0"/>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pivotField showAll="0"/>
    <pivotField showAll="0"/>
    <pivotField showAll="0"/>
    <pivotField axis="axisCol" showAll="0">
      <items count="3">
        <item x="0"/>
        <item x="1"/>
        <item t="default"/>
      </items>
    </pivotField>
  </pivotFields>
  <rowItems count="1">
    <i/>
  </rowItems>
  <colFields count="1">
    <field x="13"/>
  </colFields>
  <colItems count="3">
    <i>
      <x/>
    </i>
    <i>
      <x v="1"/>
    </i>
    <i t="grand">
      <x/>
    </i>
  </colItems>
  <dataFields count="1">
    <dataField name="Average of Income" fld="3" subtotal="average" baseField="13" baseItem="0" numFmtId="165"/>
  </dataFields>
  <formats count="8">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6:D41" firstHeaderRow="1" firstDataRow="2" firstDataCol="1"/>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axis="axisRow"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ID" fld="0" subtotal="count" showDataAs="percentOfRow" baseField="12" baseItem="1" numFmtId="10"/>
  </dataFields>
  <formats count="14">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outline="0" fieldPosition="0">
        <references count="1">
          <reference field="4294967294" count="1">
            <x v="0"/>
          </reference>
        </references>
      </pivotArea>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fieldPosition="0">
        <references count="1">
          <reference field="4294967294" count="1">
            <x v="0"/>
          </reference>
        </references>
      </pivotArea>
    </format>
    <format dxfId="3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7:D84" firstHeaderRow="1" firstDataRow="2" firstDataCol="1"/>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6">
        <item x="0"/>
        <item x="3"/>
        <item x="1"/>
        <item x="2"/>
        <item x="4"/>
        <item t="default"/>
      </items>
    </pivotField>
    <pivotField showAll="0"/>
    <pivotField showAll="0"/>
    <pivotField showAll="0"/>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D15" firstHeaderRow="1" firstDataRow="2" firstDataCol="1"/>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pivotField showAll="0"/>
    <pivotField showAll="0"/>
    <pivotField showAll="0"/>
    <pivotField axis="axisCol" showAll="0">
      <items count="3">
        <item x="0"/>
        <item x="1"/>
        <item t="default"/>
      </items>
    </pivotField>
  </pivotFields>
  <rowItems count="1">
    <i/>
  </rowItems>
  <colFields count="1">
    <field x="13"/>
  </colFields>
  <colItems count="3">
    <i>
      <x/>
    </i>
    <i>
      <x v="1"/>
    </i>
    <i t="grand">
      <x/>
    </i>
  </colItems>
  <dataFields count="1">
    <dataField name="Count of ID" fld="0" subtotal="count" showDataAs="percentOfRow" baseField="13" baseItem="0" numFmtId="10"/>
  </dataFields>
  <formats count="2">
    <format dxfId="49">
      <pivotArea outline="0" collapsedLevelsAreSubtotals="1" fieldPosition="0">
        <references count="1">
          <reference field="13" count="0" selected="0"/>
        </references>
      </pivotArea>
    </format>
    <format dxfId="48">
      <pivotArea outline="0" collapsedLevelsAreSubtotals="1" fieldPosition="0">
        <references count="1">
          <reference field="13"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0:D74" firstHeaderRow="1" firstDataRow="2" firstDataCol="1"/>
  <pivotFields count="14">
    <pivotField dataField="1" showAll="0"/>
    <pivotField axis="axisRow"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pivotField showAll="0"/>
    <pivotField showAll="0">
      <items count="4">
        <item x="2"/>
        <item x="0"/>
        <item x="1"/>
        <item t="default"/>
      </items>
    </pivotField>
    <pivotField axis="axisCol" showAll="0">
      <items count="3">
        <item x="0"/>
        <item x="1"/>
        <item t="default"/>
      </items>
    </pivotField>
  </pivotFields>
  <rowFields count="1">
    <field x="1"/>
  </rowFields>
  <rowItems count="3">
    <i>
      <x/>
    </i>
    <i>
      <x v="1"/>
    </i>
    <i t="grand">
      <x/>
    </i>
  </rowItems>
  <colFields count="1">
    <field x="13"/>
  </colFields>
  <colItems count="3">
    <i>
      <x/>
    </i>
    <i>
      <x v="1"/>
    </i>
    <i t="grand">
      <x/>
    </i>
  </colItems>
  <dataFields count="1">
    <dataField name="Count of ID" fld="0" subtotal="count" showDataAs="percentOfRow" baseField="1" baseItem="1" numFmtId="166"/>
  </dataFields>
  <formats count="13">
    <format dxfId="62">
      <pivotArea outline="0" collapsedLevelsAreSubtotals="1" fieldPosition="0"/>
    </format>
    <format dxfId="61">
      <pivotArea outline="0" collapsedLevelsAreSubtotals="1" fieldPosition="0"/>
    </format>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 dxfId="56">
      <pivotArea outline="0" collapsedLevelsAreSubtotals="1" fieldPosition="0"/>
    </format>
    <format dxfId="55">
      <pivotArea outline="0" fieldPosition="0">
        <references count="1">
          <reference field="4294967294" count="1">
            <x v="0"/>
          </reference>
        </references>
      </pivotArea>
    </format>
    <format dxfId="54">
      <pivotArea outline="0" fieldPosition="0">
        <references count="1">
          <reference field="4294967294" count="1">
            <x v="0"/>
          </reference>
        </references>
      </pivotArea>
    </format>
    <format dxfId="53">
      <pivotArea outline="0" fieldPosition="0">
        <references count="1">
          <reference field="4294967294" count="1">
            <x v="0"/>
          </reference>
        </references>
      </pivotArea>
    </format>
    <format dxfId="52">
      <pivotArea outline="0" collapsedLevelsAreSubtotals="1" fieldPosition="0"/>
    </format>
    <format dxfId="51">
      <pivotArea outline="0" collapsedLevelsAreSubtotals="1" fieldPosition="0"/>
    </format>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54:D5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7">
    <format dxfId="69">
      <pivotArea outline="0" collapsedLevelsAreSubtotals="1" fieldPosition="0"/>
    </format>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5" name="PivotTable1"/>
    <pivotTable tabId="5" name="PivotTable3"/>
    <pivotTable tabId="5" name="PivotTable5"/>
    <pivotTable tabId="5" name="PivotTable6"/>
    <pivotTable tabId="5" name="PivotTable10"/>
    <pivotTable tabId="5" name="PivotTable13"/>
    <pivotTable tabId="5" name="PivotTable14"/>
    <pivotTable tabId="5" name="PivotTable15"/>
    <pivotTable tabId="5" name="PivotTable16"/>
    <pivotTable tabId="5" name="PivotTable7"/>
    <pivotTable tabId="5" name="PivotTable8"/>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1"/>
    <pivotTable tabId="5" name="PivotTable3"/>
    <pivotTable tabId="5" name="PivotTable5"/>
    <pivotTable tabId="5" name="PivotTable6"/>
    <pivotTable tabId="5" name="PivotTable10"/>
    <pivotTable tabId="5" name="PivotTable13"/>
    <pivotTable tabId="5" name="PivotTable14"/>
    <pivotTable tabId="5" name="PivotTable15"/>
    <pivotTable tabId="5" name="PivotTable16"/>
    <pivotTable tabId="5" name="PivotTable7"/>
    <pivotTable tabId="5" name="PivotTable8"/>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5" name="PivotTable1"/>
    <pivotTable tabId="5" name="PivotTable3"/>
    <pivotTable tabId="5" name="PivotTable5"/>
    <pivotTable tabId="5" name="PivotTable6"/>
    <pivotTable tabId="5" name="PivotTable10"/>
    <pivotTable tabId="5" name="PivotTable13"/>
    <pivotTable tabId="5" name="PivotTable14"/>
    <pivotTable tabId="5" name="PivotTable15"/>
    <pivotTable tabId="5" name="PivotTable16"/>
    <pivotTable tabId="5" name="PivotTable7"/>
    <pivotTable tabId="5" name="PivotTable8"/>
  </pivotTables>
  <data>
    <tabular pivotCacheId="1">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rs" sourceName="Cars">
  <pivotTables>
    <pivotTable tabId="5" name="PivotTable1"/>
    <pivotTable tabId="5" name="PivotTable3"/>
    <pivotTable tabId="5" name="PivotTable5"/>
    <pivotTable tabId="5" name="PivotTable6"/>
    <pivotTable tabId="5" name="PivotTable10"/>
    <pivotTable tabId="5" name="PivotTable13"/>
    <pivotTable tabId="5" name="PivotTable14"/>
    <pivotTable tabId="5" name="PivotTable15"/>
    <pivotTable tabId="5" name="PivotTable16"/>
    <pivotTable tabId="5" name="PivotTable7"/>
    <pivotTable tabId="5" name="PivotTable8"/>
  </pivotTables>
  <data>
    <tabular pivotCacheId="1">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Gender" cache="Slicer_Gender" caption="Gender" rowHeight="241300"/>
  <slicer name="Education" cache="Slicer_Education" caption="Education" rowHeight="241300"/>
  <slicer name="Cars" cache="Slicer_Cars" caption="Car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AD23"/>
  <sheetViews>
    <sheetView showGridLines="0" tabSelected="1" view="pageBreakPreview" zoomScale="55" zoomScaleNormal="55" zoomScaleSheetLayoutView="55" workbookViewId="0">
      <selection activeCell="X10" sqref="X10"/>
    </sheetView>
  </sheetViews>
  <sheetFormatPr defaultRowHeight="15" x14ac:dyDescent="0.25"/>
  <cols>
    <col min="1" max="3" width="9.140625" customWidth="1"/>
    <col min="8" max="8" width="9.140625" customWidth="1"/>
    <col min="9" max="9" width="12.5703125" customWidth="1"/>
    <col min="25" max="25" width="7.28515625" customWidth="1"/>
    <col min="30" max="30" width="18.5703125" customWidth="1"/>
  </cols>
  <sheetData>
    <row r="1" spans="1:30" ht="15" customHeight="1" x14ac:dyDescent="0.25">
      <c r="A1" s="20" t="s">
        <v>61</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row>
    <row r="2" spans="1:30" ht="15" customHeight="1"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row>
    <row r="3" spans="1:30" ht="15" customHeight="1"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row>
    <row r="4" spans="1:30" ht="15" customHeight="1"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row>
    <row r="5" spans="1:30" ht="15.75" thickBot="1" x14ac:dyDescent="0.3"/>
    <row r="6" spans="1:30" ht="42.75" customHeight="1" thickBot="1" x14ac:dyDescent="0.3">
      <c r="E6" s="63" t="s">
        <v>62</v>
      </c>
      <c r="F6" s="64"/>
      <c r="G6" s="64"/>
      <c r="H6" s="64"/>
      <c r="I6" s="65"/>
      <c r="L6" s="66" t="s">
        <v>63</v>
      </c>
      <c r="M6" s="67"/>
      <c r="N6" s="67"/>
      <c r="O6" s="67"/>
      <c r="P6" s="68"/>
      <c r="S6" s="30" t="s">
        <v>64</v>
      </c>
      <c r="T6" s="31"/>
      <c r="U6" s="31"/>
      <c r="V6" s="31"/>
      <c r="W6" s="32"/>
      <c r="Z6" s="33" t="s">
        <v>65</v>
      </c>
      <c r="AA6" s="34"/>
      <c r="AB6" s="34"/>
      <c r="AC6" s="34"/>
      <c r="AD6" s="35"/>
    </row>
    <row r="7" spans="1:30" ht="21.75" customHeight="1" x14ac:dyDescent="0.25">
      <c r="E7" s="36">
        <f>GETPIVOTDATA("ID",'PIvot tables'!$A$2)</f>
        <v>1000</v>
      </c>
      <c r="F7" s="37"/>
      <c r="G7" s="37"/>
      <c r="H7" s="37"/>
      <c r="I7" s="38"/>
      <c r="L7" s="45">
        <f>GETPIVOTDATA("ID",'PIvot tables'!$A$8)</f>
        <v>481</v>
      </c>
      <c r="M7" s="46"/>
      <c r="N7" s="46"/>
      <c r="O7" s="46"/>
      <c r="P7" s="47"/>
      <c r="S7" s="54">
        <f>GETPIVOTDATA("ID",'PIvot tables'!$A$13,"Purchased Bike","Yes")</f>
        <v>0.48099999999999998</v>
      </c>
      <c r="T7" s="55"/>
      <c r="U7" s="55"/>
      <c r="V7" s="55"/>
      <c r="W7" s="56"/>
      <c r="Z7" s="21">
        <f>GETPIVOTDATA("Income",'PIvot tables'!$A$20,"Purchased Bike","Yes")</f>
        <v>57962.577962577961</v>
      </c>
      <c r="AA7" s="22"/>
      <c r="AB7" s="22"/>
      <c r="AC7" s="22"/>
      <c r="AD7" s="23"/>
    </row>
    <row r="8" spans="1:30" ht="21.75" customHeight="1" x14ac:dyDescent="0.25">
      <c r="E8" s="39"/>
      <c r="F8" s="40"/>
      <c r="G8" s="40"/>
      <c r="H8" s="40"/>
      <c r="I8" s="41"/>
      <c r="L8" s="48"/>
      <c r="M8" s="49"/>
      <c r="N8" s="49"/>
      <c r="O8" s="49"/>
      <c r="P8" s="50"/>
      <c r="S8" s="57"/>
      <c r="T8" s="58"/>
      <c r="U8" s="58"/>
      <c r="V8" s="58"/>
      <c r="W8" s="59"/>
      <c r="Z8" s="24"/>
      <c r="AA8" s="25"/>
      <c r="AB8" s="25"/>
      <c r="AC8" s="25"/>
      <c r="AD8" s="26"/>
    </row>
    <row r="9" spans="1:30" ht="15" customHeight="1" x14ac:dyDescent="0.25">
      <c r="E9" s="39"/>
      <c r="F9" s="40"/>
      <c r="G9" s="40"/>
      <c r="H9" s="40"/>
      <c r="I9" s="41"/>
      <c r="L9" s="48"/>
      <c r="M9" s="49"/>
      <c r="N9" s="49"/>
      <c r="O9" s="49"/>
      <c r="P9" s="50"/>
      <c r="S9" s="57"/>
      <c r="T9" s="58"/>
      <c r="U9" s="58"/>
      <c r="V9" s="58"/>
      <c r="W9" s="59"/>
      <c r="Z9" s="24"/>
      <c r="AA9" s="25"/>
      <c r="AB9" s="25"/>
      <c r="AC9" s="25"/>
      <c r="AD9" s="26"/>
    </row>
    <row r="10" spans="1:30" ht="15" customHeight="1" x14ac:dyDescent="0.25">
      <c r="E10" s="39"/>
      <c r="F10" s="40"/>
      <c r="G10" s="40"/>
      <c r="H10" s="40"/>
      <c r="I10" s="41"/>
      <c r="L10" s="48"/>
      <c r="M10" s="49"/>
      <c r="N10" s="49"/>
      <c r="O10" s="49"/>
      <c r="P10" s="50"/>
      <c r="S10" s="57"/>
      <c r="T10" s="58"/>
      <c r="U10" s="58"/>
      <c r="V10" s="58"/>
      <c r="W10" s="59"/>
      <c r="Z10" s="24"/>
      <c r="AA10" s="25"/>
      <c r="AB10" s="25"/>
      <c r="AC10" s="25"/>
      <c r="AD10" s="26"/>
    </row>
    <row r="11" spans="1:30" ht="15" customHeight="1" x14ac:dyDescent="0.25">
      <c r="E11" s="39"/>
      <c r="F11" s="40"/>
      <c r="G11" s="40"/>
      <c r="H11" s="40"/>
      <c r="I11" s="41"/>
      <c r="L11" s="48"/>
      <c r="M11" s="49"/>
      <c r="N11" s="49"/>
      <c r="O11" s="49"/>
      <c r="P11" s="50"/>
      <c r="S11" s="57"/>
      <c r="T11" s="58"/>
      <c r="U11" s="58"/>
      <c r="V11" s="58"/>
      <c r="W11" s="59"/>
      <c r="Z11" s="24"/>
      <c r="AA11" s="25"/>
      <c r="AB11" s="25"/>
      <c r="AC11" s="25"/>
      <c r="AD11" s="26"/>
    </row>
    <row r="12" spans="1:30" ht="15" customHeight="1" thickBot="1" x14ac:dyDescent="0.3">
      <c r="E12" s="42"/>
      <c r="F12" s="43"/>
      <c r="G12" s="43"/>
      <c r="H12" s="43"/>
      <c r="I12" s="44"/>
      <c r="L12" s="51"/>
      <c r="M12" s="52"/>
      <c r="N12" s="52"/>
      <c r="O12" s="52"/>
      <c r="P12" s="53"/>
      <c r="S12" s="60"/>
      <c r="T12" s="61"/>
      <c r="U12" s="61"/>
      <c r="V12" s="61"/>
      <c r="W12" s="62"/>
      <c r="Z12" s="27"/>
      <c r="AA12" s="28"/>
      <c r="AB12" s="28"/>
      <c r="AC12" s="28"/>
      <c r="AD12" s="29"/>
    </row>
    <row r="19" ht="15" customHeight="1" x14ac:dyDescent="0.25"/>
    <row r="20" ht="15" customHeight="1" x14ac:dyDescent="0.25"/>
    <row r="21" ht="15" customHeight="1" x14ac:dyDescent="0.25"/>
    <row r="22" ht="15" customHeight="1" x14ac:dyDescent="0.25"/>
    <row r="23" ht="15" customHeight="1" x14ac:dyDescent="0.25"/>
  </sheetData>
  <mergeCells count="9">
    <mergeCell ref="A1:AD4"/>
    <mergeCell ref="Z7:AD12"/>
    <mergeCell ref="S6:W6"/>
    <mergeCell ref="Z6:AD6"/>
    <mergeCell ref="E7:I12"/>
    <mergeCell ref="L7:P12"/>
    <mergeCell ref="S7:W12"/>
    <mergeCell ref="E6:I6"/>
    <mergeCell ref="L6:P6"/>
  </mergeCells>
  <pageMargins left="0.7" right="0.7" top="0.75" bottom="0.75" header="0.3" footer="0.3"/>
  <pageSetup scale="28"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N1027"/>
  <sheetViews>
    <sheetView workbookViewId="0">
      <selection activeCell="D14" sqref="D14"/>
    </sheetView>
  </sheetViews>
  <sheetFormatPr defaultColWidth="11.85546875" defaultRowHeight="15" x14ac:dyDescent="0.25"/>
  <cols>
    <col min="1" max="1" width="6" bestFit="1" customWidth="1"/>
    <col min="2" max="2" width="15.5703125" bestFit="1" customWidth="1"/>
    <col min="3" max="3" width="9.85546875" bestFit="1" customWidth="1"/>
    <col min="4" max="4" width="11.570312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1"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41</v>
      </c>
      <c r="N1" t="s">
        <v>12</v>
      </c>
    </row>
    <row r="2" spans="1:14" x14ac:dyDescent="0.25">
      <c r="A2">
        <v>12496</v>
      </c>
      <c r="B2" t="s">
        <v>36</v>
      </c>
      <c r="C2" t="s">
        <v>39</v>
      </c>
      <c r="D2" s="3">
        <v>40000</v>
      </c>
      <c r="E2">
        <v>1</v>
      </c>
      <c r="F2" t="s">
        <v>13</v>
      </c>
      <c r="G2" t="s">
        <v>14</v>
      </c>
      <c r="H2" t="s">
        <v>15</v>
      </c>
      <c r="I2">
        <v>0</v>
      </c>
      <c r="J2" t="s">
        <v>16</v>
      </c>
      <c r="K2" t="s">
        <v>17</v>
      </c>
      <c r="L2">
        <v>42</v>
      </c>
      <c r="M2" t="str">
        <f t="shared" ref="M2:M65" si="0">IF(L2 &gt; 54, "Old", IF(L2 &gt; 30, "Middle age", IF(L2 &lt;= 30, "Adolescent", "NA")))</f>
        <v>Middle age</v>
      </c>
      <c r="N2" t="s">
        <v>18</v>
      </c>
    </row>
    <row r="3" spans="1:14" x14ac:dyDescent="0.25">
      <c r="A3">
        <v>24107</v>
      </c>
      <c r="B3" t="s">
        <v>36</v>
      </c>
      <c r="C3" t="s">
        <v>38</v>
      </c>
      <c r="D3" s="3">
        <v>30000</v>
      </c>
      <c r="E3">
        <v>3</v>
      </c>
      <c r="F3" t="s">
        <v>19</v>
      </c>
      <c r="G3" t="s">
        <v>20</v>
      </c>
      <c r="H3" t="s">
        <v>15</v>
      </c>
      <c r="I3">
        <v>1</v>
      </c>
      <c r="J3" t="s">
        <v>16</v>
      </c>
      <c r="K3" t="s">
        <v>17</v>
      </c>
      <c r="L3">
        <v>43</v>
      </c>
      <c r="M3" t="str">
        <f t="shared" si="0"/>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40</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40</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40</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40</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40</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ref="M66:M129" si="1">IF(L66 &gt; 54, "Old", IF(L66 &gt; 30, "Middle age", IF(L66 &lt;= 30, "Adolescent", "NA")))</f>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si="1"/>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40</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40</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40</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40</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ref="M130:M193" si="2">IF(L130 &gt; 54, "Old", IF(L130 &gt; 30, "Middle age", IF(L130 &lt;= 30, "Adolescent", "NA")))</f>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si="2"/>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40</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40</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40</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40</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40</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40</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40</v>
      </c>
      <c r="K194" t="s">
        <v>17</v>
      </c>
      <c r="L194">
        <v>62</v>
      </c>
      <c r="M194" t="str">
        <f t="shared" ref="M194:M257" si="3">IF(L194 &gt; 54, "Old", IF(L194 &gt; 30, "Middle age", IF(L194 &lt;= 30, "Adolescent", "NA")))</f>
        <v>Old</v>
      </c>
      <c r="N194" t="s">
        <v>18</v>
      </c>
    </row>
    <row r="195" spans="1:14" x14ac:dyDescent="0.25">
      <c r="A195">
        <v>26032</v>
      </c>
      <c r="B195" t="s">
        <v>36</v>
      </c>
      <c r="C195" t="s">
        <v>39</v>
      </c>
      <c r="D195" s="3">
        <v>70000</v>
      </c>
      <c r="E195">
        <v>5</v>
      </c>
      <c r="F195" t="s">
        <v>13</v>
      </c>
      <c r="G195" t="s">
        <v>21</v>
      </c>
      <c r="H195" t="s">
        <v>15</v>
      </c>
      <c r="I195">
        <v>4</v>
      </c>
      <c r="J195" t="s">
        <v>40</v>
      </c>
      <c r="K195" t="s">
        <v>24</v>
      </c>
      <c r="L195">
        <v>41</v>
      </c>
      <c r="M195" t="str">
        <f t="shared" si="3"/>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40</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40</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40</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40</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40</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40</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40</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40</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40</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40</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ref="M258:M321" si="4">IF(L258 &gt; 54, "Old", IF(L258 &gt; 30, "Middle age", IF(L258 &lt;= 30, "Adolescent", "NA")))</f>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si="4"/>
        <v>Middle age</v>
      </c>
      <c r="N259" t="s">
        <v>15</v>
      </c>
    </row>
    <row r="260" spans="1:14" x14ac:dyDescent="0.25">
      <c r="A260">
        <v>14193</v>
      </c>
      <c r="B260" t="s">
        <v>37</v>
      </c>
      <c r="C260" t="s">
        <v>39</v>
      </c>
      <c r="D260" s="3">
        <v>100000</v>
      </c>
      <c r="E260">
        <v>3</v>
      </c>
      <c r="F260" t="s">
        <v>19</v>
      </c>
      <c r="G260" t="s">
        <v>28</v>
      </c>
      <c r="H260" t="s">
        <v>15</v>
      </c>
      <c r="I260">
        <v>4</v>
      </c>
      <c r="J260" t="s">
        <v>40</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40</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40</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40</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40</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ref="M322:M385" si="5">IF(L322 &gt; 54, "Old", IF(L322 &gt; 30, "Middle age", IF(L322 &lt;= 30, "Adolescent", "NA")))</f>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si="5"/>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40</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40</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40</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40</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40</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40</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40</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ref="M386:M449" si="6">IF(L386 &gt; 54, "Old", IF(L386 &gt; 30, "Middle age", IF(L386 &lt;= 30, "Adolescent", "NA")))</f>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si="6"/>
        <v>Middle age</v>
      </c>
      <c r="N387" t="s">
        <v>18</v>
      </c>
    </row>
    <row r="388" spans="1:14" x14ac:dyDescent="0.25">
      <c r="A388">
        <v>28957</v>
      </c>
      <c r="B388" t="s">
        <v>37</v>
      </c>
      <c r="C388" t="s">
        <v>39</v>
      </c>
      <c r="D388" s="3">
        <v>120000</v>
      </c>
      <c r="E388">
        <v>0</v>
      </c>
      <c r="F388" t="s">
        <v>29</v>
      </c>
      <c r="G388" t="s">
        <v>21</v>
      </c>
      <c r="H388" t="s">
        <v>15</v>
      </c>
      <c r="I388">
        <v>4</v>
      </c>
      <c r="J388" t="s">
        <v>40</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40</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40</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40</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40</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40</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40</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ref="M450:M513" si="7">IF(L450 &gt; 54, "Old", IF(L450 &gt; 30, "Middle age", IF(L450 &lt;= 30, "Adolescent", "NA")))</f>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si="7"/>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40</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40</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40</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40</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40</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ref="M514:M577" si="8">IF(L514 &gt; 54, "Old", IF(L514 &gt; 30, "Middle age", IF(L514 &lt;= 30, "Adolescent", "NA")))</f>
        <v>Middle age</v>
      </c>
      <c r="N514" t="s">
        <v>15</v>
      </c>
    </row>
    <row r="515" spans="1:14" x14ac:dyDescent="0.25">
      <c r="A515">
        <v>13353</v>
      </c>
      <c r="B515" t="s">
        <v>37</v>
      </c>
      <c r="C515" t="s">
        <v>39</v>
      </c>
      <c r="D515" s="3">
        <v>60000</v>
      </c>
      <c r="E515">
        <v>4</v>
      </c>
      <c r="F515" t="s">
        <v>31</v>
      </c>
      <c r="G515" t="s">
        <v>28</v>
      </c>
      <c r="H515" t="s">
        <v>15</v>
      </c>
      <c r="I515">
        <v>2</v>
      </c>
      <c r="J515" t="s">
        <v>40</v>
      </c>
      <c r="K515" t="s">
        <v>32</v>
      </c>
      <c r="L515">
        <v>61</v>
      </c>
      <c r="M515" t="str">
        <f t="shared" si="8"/>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40</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40</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40</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40</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40</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40</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40</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40</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40</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40</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40</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ref="M578:M641" si="9">IF(L578 &gt; 54, "Old", IF(L578 &gt; 30, "Middle age", IF(L578 &lt;= 30, "Adolescent", "NA")))</f>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si="9"/>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40</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40</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40</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40</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40</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40</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ref="M642:M705" si="10">IF(L642 &gt; 54, "Old", IF(L642 &gt; 30, "Middle age", IF(L642 &lt;= 30, "Adolescent", "NA")))</f>
        <v>Old</v>
      </c>
      <c r="N642" t="s">
        <v>15</v>
      </c>
    </row>
    <row r="643" spans="1:14" x14ac:dyDescent="0.25">
      <c r="A643">
        <v>21441</v>
      </c>
      <c r="B643" t="s">
        <v>36</v>
      </c>
      <c r="C643" t="s">
        <v>38</v>
      </c>
      <c r="D643" s="3">
        <v>50000</v>
      </c>
      <c r="E643">
        <v>4</v>
      </c>
      <c r="F643" t="s">
        <v>13</v>
      </c>
      <c r="G643" t="s">
        <v>28</v>
      </c>
      <c r="H643" t="s">
        <v>15</v>
      </c>
      <c r="I643">
        <v>2</v>
      </c>
      <c r="J643" t="s">
        <v>40</v>
      </c>
      <c r="K643" t="s">
        <v>32</v>
      </c>
      <c r="L643">
        <v>64</v>
      </c>
      <c r="M643" t="str">
        <f t="shared" si="10"/>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40</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40</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40</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40</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40</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40</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ref="M706:M769" si="11">IF(L706 &gt; 54, "Old", IF(L706 &gt; 30, "Middle age", IF(L706 &lt;= 30, "Adolescent", "NA")))</f>
        <v>Middle age</v>
      </c>
      <c r="N706" t="s">
        <v>15</v>
      </c>
    </row>
    <row r="707" spans="1:14" x14ac:dyDescent="0.25">
      <c r="A707">
        <v>11199</v>
      </c>
      <c r="B707" t="s">
        <v>36</v>
      </c>
      <c r="C707" t="s">
        <v>39</v>
      </c>
      <c r="D707" s="3">
        <v>70000</v>
      </c>
      <c r="E707">
        <v>4</v>
      </c>
      <c r="F707" t="s">
        <v>13</v>
      </c>
      <c r="G707" t="s">
        <v>28</v>
      </c>
      <c r="H707" t="s">
        <v>15</v>
      </c>
      <c r="I707">
        <v>1</v>
      </c>
      <c r="J707" t="s">
        <v>40</v>
      </c>
      <c r="K707" t="s">
        <v>32</v>
      </c>
      <c r="L707">
        <v>59</v>
      </c>
      <c r="M707" t="str">
        <f t="shared" si="11"/>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40</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40</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40</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40</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40</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40</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40</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40</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ref="M770:M833" si="12">IF(L770 &gt; 54, "Old", IF(L770 &gt; 30, "Middle age", IF(L770 &lt;= 30, "Adolescent", "NA")))</f>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si="12"/>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40</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40</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40</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40</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ref="M834:M897" si="13">IF(L834 &gt; 54, "Old", IF(L834 &gt; 30, "Middle age", IF(L834 &lt;= 30, "Adolescent", "NA")))</f>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si="13"/>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40</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40</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40</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40</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40</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ref="M898:M961" si="14">IF(L898 &gt; 54, "Old", IF(L898 &gt; 30, "Middle age", IF(L898 &lt;= 30, "Adolescent", "NA")))</f>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si="14"/>
        <v>Adolescent</v>
      </c>
      <c r="N899" t="s">
        <v>18</v>
      </c>
    </row>
    <row r="900" spans="1:14" x14ac:dyDescent="0.25">
      <c r="A900">
        <v>18066</v>
      </c>
      <c r="B900" t="s">
        <v>37</v>
      </c>
      <c r="C900" t="s">
        <v>38</v>
      </c>
      <c r="D900" s="3">
        <v>70000</v>
      </c>
      <c r="E900">
        <v>5</v>
      </c>
      <c r="F900" t="s">
        <v>13</v>
      </c>
      <c r="G900" t="s">
        <v>28</v>
      </c>
      <c r="H900" t="s">
        <v>15</v>
      </c>
      <c r="I900">
        <v>3</v>
      </c>
      <c r="J900" t="s">
        <v>40</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40</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40</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40</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40</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40</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40</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40</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ref="M962:M1001" si="15">IF(L962 &gt; 54, "Old", IF(L962 &gt; 30, "Middle age", IF(L962 &lt;= 30, "Adolescent", "NA")))</f>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si="15"/>
        <v>Old</v>
      </c>
      <c r="N963" t="s">
        <v>18</v>
      </c>
    </row>
    <row r="964" spans="1:14" x14ac:dyDescent="0.25">
      <c r="A964">
        <v>16813</v>
      </c>
      <c r="B964" t="s">
        <v>36</v>
      </c>
      <c r="C964" t="s">
        <v>38</v>
      </c>
      <c r="D964" s="3">
        <v>60000</v>
      </c>
      <c r="E964">
        <v>2</v>
      </c>
      <c r="F964" t="s">
        <v>19</v>
      </c>
      <c r="G964" t="s">
        <v>21</v>
      </c>
      <c r="H964" t="s">
        <v>15</v>
      </c>
      <c r="I964">
        <v>2</v>
      </c>
      <c r="J964" t="s">
        <v>40</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40</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40</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40</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40</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40</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40</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40</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40</v>
      </c>
      <c r="K1001" t="s">
        <v>32</v>
      </c>
      <c r="L1001">
        <v>53</v>
      </c>
      <c r="M1001" t="str">
        <f t="shared" si="15"/>
        <v>Middle age</v>
      </c>
      <c r="N1001"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autoFilter ref="A1:N1001"/>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G92"/>
  <sheetViews>
    <sheetView showGridLines="0" workbookViewId="0"/>
  </sheetViews>
  <sheetFormatPr defaultRowHeight="15" x14ac:dyDescent="0.25"/>
  <cols>
    <col min="1" max="1" width="17.85546875" customWidth="1"/>
    <col min="2" max="2" width="16.28515625" customWidth="1"/>
    <col min="3" max="3" width="8" customWidth="1"/>
    <col min="4" max="4" width="11.28515625" customWidth="1"/>
    <col min="6" max="6" width="14" bestFit="1" customWidth="1"/>
    <col min="7" max="7" width="13.5703125" bestFit="1" customWidth="1"/>
  </cols>
  <sheetData>
    <row r="1" spans="1:4" x14ac:dyDescent="0.25">
      <c r="A1" s="8" t="s">
        <v>50</v>
      </c>
    </row>
    <row r="2" spans="1:4" x14ac:dyDescent="0.25">
      <c r="A2" t="s">
        <v>42</v>
      </c>
    </row>
    <row r="3" spans="1:4" x14ac:dyDescent="0.25">
      <c r="A3" s="4">
        <v>1000</v>
      </c>
    </row>
    <row r="4" spans="1:4" x14ac:dyDescent="0.25">
      <c r="A4" s="4"/>
    </row>
    <row r="5" spans="1:4" x14ac:dyDescent="0.25">
      <c r="A5" s="69" t="s">
        <v>51</v>
      </c>
      <c r="B5" s="69"/>
    </row>
    <row r="6" spans="1:4" x14ac:dyDescent="0.25">
      <c r="A6" s="5" t="s">
        <v>12</v>
      </c>
      <c r="B6" t="s">
        <v>15</v>
      </c>
    </row>
    <row r="8" spans="1:4" x14ac:dyDescent="0.25">
      <c r="A8" t="s">
        <v>42</v>
      </c>
    </row>
    <row r="9" spans="1:4" x14ac:dyDescent="0.25">
      <c r="A9" s="4">
        <v>481</v>
      </c>
    </row>
    <row r="12" spans="1:4" x14ac:dyDescent="0.25">
      <c r="A12" s="69" t="s">
        <v>52</v>
      </c>
      <c r="B12" s="69"/>
      <c r="C12" s="69"/>
      <c r="D12" s="69"/>
    </row>
    <row r="13" spans="1:4" x14ac:dyDescent="0.25">
      <c r="B13" s="5" t="s">
        <v>45</v>
      </c>
    </row>
    <row r="14" spans="1:4" x14ac:dyDescent="0.25">
      <c r="B14" t="s">
        <v>18</v>
      </c>
      <c r="C14" t="s">
        <v>15</v>
      </c>
      <c r="D14" t="s">
        <v>44</v>
      </c>
    </row>
    <row r="15" spans="1:4" x14ac:dyDescent="0.25">
      <c r="A15" t="s">
        <v>42</v>
      </c>
      <c r="B15" s="11">
        <v>0.51900000000000002</v>
      </c>
      <c r="C15" s="11">
        <v>0.48099999999999998</v>
      </c>
      <c r="D15" s="9">
        <v>1</v>
      </c>
    </row>
    <row r="19" spans="1:7" x14ac:dyDescent="0.25">
      <c r="A19" s="69" t="s">
        <v>53</v>
      </c>
      <c r="B19" s="69"/>
      <c r="C19" s="69"/>
      <c r="D19" s="69"/>
    </row>
    <row r="20" spans="1:7" x14ac:dyDescent="0.25">
      <c r="B20" s="5" t="s">
        <v>45</v>
      </c>
    </row>
    <row r="21" spans="1:7" x14ac:dyDescent="0.25">
      <c r="B21" t="s">
        <v>18</v>
      </c>
      <c r="C21" t="s">
        <v>15</v>
      </c>
      <c r="D21" t="s">
        <v>44</v>
      </c>
    </row>
    <row r="22" spans="1:7" x14ac:dyDescent="0.25">
      <c r="A22" t="s">
        <v>46</v>
      </c>
      <c r="B22" s="7">
        <v>54874.759152215796</v>
      </c>
      <c r="C22" s="7">
        <v>57962.577962577961</v>
      </c>
      <c r="D22" s="7">
        <v>56360</v>
      </c>
    </row>
    <row r="26" spans="1:7" x14ac:dyDescent="0.25">
      <c r="A26" s="69" t="s">
        <v>54</v>
      </c>
      <c r="B26" s="69"/>
      <c r="C26" s="69"/>
      <c r="D26" s="69"/>
    </row>
    <row r="27" spans="1:7" x14ac:dyDescent="0.25">
      <c r="A27" s="5" t="s">
        <v>42</v>
      </c>
      <c r="B27" s="5" t="s">
        <v>45</v>
      </c>
    </row>
    <row r="28" spans="1:7" x14ac:dyDescent="0.25">
      <c r="A28" s="5" t="s">
        <v>43</v>
      </c>
      <c r="B28" t="s">
        <v>18</v>
      </c>
      <c r="C28" t="s">
        <v>15</v>
      </c>
      <c r="D28" t="s">
        <v>44</v>
      </c>
      <c r="F28" s="15" t="s">
        <v>41</v>
      </c>
      <c r="G28" s="16" t="s">
        <v>52</v>
      </c>
    </row>
    <row r="29" spans="1:7" x14ac:dyDescent="0.25">
      <c r="A29" s="6" t="s">
        <v>47</v>
      </c>
      <c r="B29" s="9">
        <v>0.6454545454545455</v>
      </c>
      <c r="C29" s="9">
        <v>0.35454545454545455</v>
      </c>
      <c r="D29" s="9">
        <v>1</v>
      </c>
      <c r="F29" s="18" t="str">
        <f>A30</f>
        <v>Middle age</v>
      </c>
      <c r="G29" s="18">
        <f>GETPIVOTDATA("ID",$A$27,"Age Bracket","Middle age","Purchased Bike","Yes")</f>
        <v>0.54636233951497859</v>
      </c>
    </row>
    <row r="30" spans="1:7" x14ac:dyDescent="0.25">
      <c r="A30" s="6" t="s">
        <v>48</v>
      </c>
      <c r="B30" s="9">
        <v>0.45363766048502141</v>
      </c>
      <c r="C30" s="9">
        <v>0.54636233951497859</v>
      </c>
      <c r="D30" s="9">
        <v>1</v>
      </c>
      <c r="F30" s="17" t="str">
        <f>A29</f>
        <v>Adolescent</v>
      </c>
      <c r="G30" s="19">
        <f>GETPIVOTDATA("ID",$A$27,"Age Bracket","Adolescent","Purchased Bike","Yes")</f>
        <v>0.35454545454545455</v>
      </c>
    </row>
    <row r="31" spans="1:7" x14ac:dyDescent="0.25">
      <c r="A31" s="6" t="s">
        <v>49</v>
      </c>
      <c r="B31" s="9">
        <v>0.68783068783068779</v>
      </c>
      <c r="C31" s="9">
        <v>0.31216931216931215</v>
      </c>
      <c r="D31" s="9">
        <v>1</v>
      </c>
      <c r="F31" s="13" t="str">
        <f>A31</f>
        <v>Old</v>
      </c>
      <c r="G31" s="14">
        <f>GETPIVOTDATA("ID",$A$27,"Age Bracket","Old","Purchased Bike","Yes")</f>
        <v>0.31216931216931215</v>
      </c>
    </row>
    <row r="32" spans="1:7" x14ac:dyDescent="0.25">
      <c r="A32" s="6" t="s">
        <v>44</v>
      </c>
      <c r="B32" s="9">
        <v>0.51900000000000002</v>
      </c>
      <c r="C32" s="9">
        <v>0.48099999999999998</v>
      </c>
      <c r="D32" s="9">
        <v>1</v>
      </c>
    </row>
    <row r="35" spans="1:7" x14ac:dyDescent="0.25">
      <c r="A35" s="69" t="s">
        <v>55</v>
      </c>
      <c r="B35" s="69"/>
      <c r="C35" s="69"/>
    </row>
    <row r="36" spans="1:7" x14ac:dyDescent="0.25">
      <c r="A36" s="5" t="s">
        <v>42</v>
      </c>
      <c r="B36" s="5" t="s">
        <v>45</v>
      </c>
    </row>
    <row r="37" spans="1:7" x14ac:dyDescent="0.25">
      <c r="A37" s="5" t="s">
        <v>43</v>
      </c>
      <c r="B37" t="s">
        <v>18</v>
      </c>
      <c r="C37" t="s">
        <v>15</v>
      </c>
      <c r="D37" t="s">
        <v>44</v>
      </c>
      <c r="F37" t="s">
        <v>10</v>
      </c>
      <c r="G37" t="s">
        <v>15</v>
      </c>
    </row>
    <row r="38" spans="1:7" x14ac:dyDescent="0.25">
      <c r="A38" s="6" t="s">
        <v>17</v>
      </c>
      <c r="B38" s="9">
        <v>0.50666666666666671</v>
      </c>
      <c r="C38" s="9">
        <v>0.49333333333333335</v>
      </c>
      <c r="D38" s="9">
        <v>1</v>
      </c>
      <c r="F38" s="6" t="str">
        <f>A39</f>
        <v>North America</v>
      </c>
      <c r="G38" s="10">
        <f>GETPIVOTDATA("ID",$A$36,"Region","North America","Purchased Bike","Yes")</f>
        <v>0.43307086614173229</v>
      </c>
    </row>
    <row r="39" spans="1:7" x14ac:dyDescent="0.25">
      <c r="A39" s="6" t="s">
        <v>32</v>
      </c>
      <c r="B39" s="9">
        <v>0.56692913385826771</v>
      </c>
      <c r="C39" s="9">
        <v>0.43307086614173229</v>
      </c>
      <c r="D39" s="9">
        <v>1</v>
      </c>
      <c r="F39" s="6" t="str">
        <f>A38</f>
        <v>Europe</v>
      </c>
      <c r="G39" s="10">
        <f>GETPIVOTDATA("ID",$A$36,"Region","Europe","Purchased Bike","Yes")</f>
        <v>0.49333333333333335</v>
      </c>
    </row>
    <row r="40" spans="1:7" x14ac:dyDescent="0.25">
      <c r="A40" s="6" t="s">
        <v>24</v>
      </c>
      <c r="B40" s="9">
        <v>0.41145833333333331</v>
      </c>
      <c r="C40" s="9">
        <v>0.58854166666666663</v>
      </c>
      <c r="D40" s="9">
        <v>1</v>
      </c>
      <c r="F40" s="6" t="str">
        <f>A40</f>
        <v>Pacific</v>
      </c>
      <c r="G40" s="10">
        <f>GETPIVOTDATA("ID",$A$36,"Region","Pacific","Purchased Bike","Yes")</f>
        <v>0.58854166666666663</v>
      </c>
    </row>
    <row r="41" spans="1:7" x14ac:dyDescent="0.25">
      <c r="A41" s="6" t="s">
        <v>44</v>
      </c>
      <c r="B41" s="9">
        <v>0.51900000000000002</v>
      </c>
      <c r="C41" s="9">
        <v>0.48099999999999998</v>
      </c>
      <c r="D41" s="9">
        <v>1</v>
      </c>
    </row>
    <row r="45" spans="1:7" x14ac:dyDescent="0.25">
      <c r="A45" s="69" t="s">
        <v>56</v>
      </c>
      <c r="B45" s="69"/>
      <c r="C45" s="69"/>
    </row>
    <row r="46" spans="1:7" x14ac:dyDescent="0.25">
      <c r="A46" s="5" t="s">
        <v>42</v>
      </c>
      <c r="B46" s="5" t="s">
        <v>45</v>
      </c>
    </row>
    <row r="47" spans="1:7" x14ac:dyDescent="0.25">
      <c r="A47" s="5" t="s">
        <v>43</v>
      </c>
      <c r="B47" t="s">
        <v>18</v>
      </c>
      <c r="C47" t="s">
        <v>15</v>
      </c>
      <c r="D47" t="s">
        <v>44</v>
      </c>
      <c r="F47" t="s">
        <v>2</v>
      </c>
      <c r="G47" t="s">
        <v>52</v>
      </c>
    </row>
    <row r="48" spans="1:7" x14ac:dyDescent="0.25">
      <c r="A48" s="6" t="s">
        <v>39</v>
      </c>
      <c r="B48" s="9">
        <v>0.5112474437627812</v>
      </c>
      <c r="C48" s="9">
        <v>0.4887525562372188</v>
      </c>
      <c r="D48" s="9">
        <v>1</v>
      </c>
      <c r="F48" s="6" t="str">
        <f>A48</f>
        <v>Female</v>
      </c>
      <c r="G48" s="10">
        <f>GETPIVOTDATA("ID",$A$46,"Gender","Female","Purchased Bike","Yes")</f>
        <v>0.4887525562372188</v>
      </c>
    </row>
    <row r="49" spans="1:7" x14ac:dyDescent="0.25">
      <c r="A49" s="6" t="s">
        <v>38</v>
      </c>
      <c r="B49" s="9">
        <v>0.52641878669275932</v>
      </c>
      <c r="C49" s="9">
        <v>0.47358121330724068</v>
      </c>
      <c r="D49" s="9">
        <v>1</v>
      </c>
      <c r="F49" s="6" t="str">
        <f>A49</f>
        <v>Male</v>
      </c>
      <c r="G49" s="10">
        <f>GETPIVOTDATA("ID",$A$46,"Gender","Male","Purchased Bike","Yes")</f>
        <v>0.47358121330724068</v>
      </c>
    </row>
    <row r="50" spans="1:7" x14ac:dyDescent="0.25">
      <c r="A50" s="6" t="s">
        <v>44</v>
      </c>
      <c r="B50" s="9">
        <v>0.51900000000000002</v>
      </c>
      <c r="C50" s="9">
        <v>0.48099999999999998</v>
      </c>
      <c r="D50" s="9">
        <v>1</v>
      </c>
    </row>
    <row r="53" spans="1:7" x14ac:dyDescent="0.25">
      <c r="A53" s="69" t="s">
        <v>57</v>
      </c>
      <c r="B53" s="69"/>
      <c r="C53" s="69"/>
      <c r="D53" s="69"/>
    </row>
    <row r="54" spans="1:7" x14ac:dyDescent="0.25">
      <c r="A54" s="5" t="s">
        <v>46</v>
      </c>
      <c r="B54" s="5" t="s">
        <v>45</v>
      </c>
      <c r="F54" t="s">
        <v>2</v>
      </c>
      <c r="G54" t="s">
        <v>66</v>
      </c>
    </row>
    <row r="55" spans="1:7" x14ac:dyDescent="0.25">
      <c r="A55" s="5" t="s">
        <v>43</v>
      </c>
      <c r="B55" t="s">
        <v>18</v>
      </c>
      <c r="C55" t="s">
        <v>15</v>
      </c>
      <c r="D55" t="s">
        <v>44</v>
      </c>
      <c r="F55" s="6" t="str">
        <f>A57</f>
        <v>Male</v>
      </c>
      <c r="G55" s="3">
        <f>GETPIVOTDATA("Income",$A$54,"Gender","Male","Purchased Bike","Yes")</f>
        <v>60123.966942148763</v>
      </c>
    </row>
    <row r="56" spans="1:7" x14ac:dyDescent="0.25">
      <c r="A56" s="6" t="s">
        <v>39</v>
      </c>
      <c r="B56" s="7">
        <v>53440</v>
      </c>
      <c r="C56" s="7">
        <v>55774.058577405856</v>
      </c>
      <c r="D56" s="7">
        <v>54580.777096114522</v>
      </c>
      <c r="F56" s="6" t="str">
        <f>A56</f>
        <v>Female</v>
      </c>
      <c r="G56" s="3">
        <f>GETPIVOTDATA("Income",$A$54,"Gender","Female","Purchased Bike","Yes")</f>
        <v>55774.058577405856</v>
      </c>
    </row>
    <row r="57" spans="1:7" x14ac:dyDescent="0.25">
      <c r="A57" s="6" t="s">
        <v>38</v>
      </c>
      <c r="B57" s="7">
        <v>56208.178438661707</v>
      </c>
      <c r="C57" s="7">
        <v>60123.966942148763</v>
      </c>
      <c r="D57" s="7">
        <v>58062.62230919765</v>
      </c>
    </row>
    <row r="58" spans="1:7" x14ac:dyDescent="0.25">
      <c r="A58" s="6" t="s">
        <v>44</v>
      </c>
      <c r="B58" s="7">
        <v>54874.759152215796</v>
      </c>
      <c r="C58" s="7">
        <v>57962.577962577961</v>
      </c>
      <c r="D58" s="7">
        <v>56360</v>
      </c>
    </row>
    <row r="61" spans="1:7" x14ac:dyDescent="0.25">
      <c r="A61" s="69" t="s">
        <v>58</v>
      </c>
      <c r="B61" s="69"/>
      <c r="C61" s="69"/>
      <c r="D61" s="69"/>
      <c r="E61" s="9"/>
    </row>
    <row r="62" spans="1:7" x14ac:dyDescent="0.25">
      <c r="A62" s="5" t="s">
        <v>46</v>
      </c>
      <c r="B62" s="5" t="s">
        <v>45</v>
      </c>
      <c r="E62" s="9"/>
    </row>
    <row r="63" spans="1:7" x14ac:dyDescent="0.25">
      <c r="A63" s="5" t="s">
        <v>43</v>
      </c>
      <c r="B63" t="s">
        <v>18</v>
      </c>
      <c r="C63" t="s">
        <v>15</v>
      </c>
      <c r="D63" t="s">
        <v>44</v>
      </c>
      <c r="E63" s="9"/>
    </row>
    <row r="64" spans="1:7" x14ac:dyDescent="0.25">
      <c r="A64" s="6" t="s">
        <v>36</v>
      </c>
      <c r="B64" s="7">
        <v>57491.856677524433</v>
      </c>
      <c r="C64" s="7">
        <v>60346.320346320346</v>
      </c>
      <c r="D64" s="7">
        <v>58717.472118959107</v>
      </c>
      <c r="F64" t="s">
        <v>2</v>
      </c>
      <c r="G64" t="s">
        <v>66</v>
      </c>
    </row>
    <row r="65" spans="1:7" x14ac:dyDescent="0.25">
      <c r="A65" s="6" t="s">
        <v>37</v>
      </c>
      <c r="B65" s="7">
        <v>51084.905660377357</v>
      </c>
      <c r="C65" s="7">
        <v>55760</v>
      </c>
      <c r="D65" s="7">
        <v>53614.718614718615</v>
      </c>
      <c r="F65" s="6" t="str">
        <f>A64</f>
        <v>Married</v>
      </c>
      <c r="G65" s="3">
        <f>GETPIVOTDATA("Income",$A$62,"Marital Status","Married","Purchased Bike","Yes")</f>
        <v>60346.320346320346</v>
      </c>
    </row>
    <row r="66" spans="1:7" x14ac:dyDescent="0.25">
      <c r="A66" s="6" t="s">
        <v>44</v>
      </c>
      <c r="B66" s="7">
        <v>54874.759152215796</v>
      </c>
      <c r="C66" s="7">
        <v>57962.577962577961</v>
      </c>
      <c r="D66" s="7">
        <v>56360</v>
      </c>
      <c r="F66" s="6" t="str">
        <f>A65</f>
        <v>Single</v>
      </c>
      <c r="G66" s="3">
        <f>GETPIVOTDATA("Income",$A$62,"Marital Status","Single","Purchased Bike","Yes")</f>
        <v>55760</v>
      </c>
    </row>
    <row r="69" spans="1:7" x14ac:dyDescent="0.25">
      <c r="A69" s="69" t="s">
        <v>59</v>
      </c>
      <c r="B69" s="69"/>
      <c r="C69" s="69"/>
    </row>
    <row r="70" spans="1:7" x14ac:dyDescent="0.25">
      <c r="A70" s="5" t="s">
        <v>42</v>
      </c>
      <c r="B70" s="5" t="s">
        <v>45</v>
      </c>
    </row>
    <row r="71" spans="1:7" x14ac:dyDescent="0.25">
      <c r="A71" s="5" t="s">
        <v>43</v>
      </c>
      <c r="B71" t="s">
        <v>18</v>
      </c>
      <c r="C71" t="s">
        <v>15</v>
      </c>
      <c r="D71" t="s">
        <v>44</v>
      </c>
    </row>
    <row r="72" spans="1:7" x14ac:dyDescent="0.25">
      <c r="A72" s="6" t="s">
        <v>36</v>
      </c>
      <c r="B72" s="10">
        <v>0.57063197026022305</v>
      </c>
      <c r="C72" s="10">
        <v>0.42936802973977695</v>
      </c>
      <c r="D72" s="10">
        <v>1</v>
      </c>
      <c r="F72" t="str">
        <f>A73</f>
        <v>Single</v>
      </c>
      <c r="G72" s="10">
        <f>GETPIVOTDATA("ID",$A$70,"Marital Status","Single","Purchased Bike","Yes")</f>
        <v>0.54112554112554112</v>
      </c>
    </row>
    <row r="73" spans="1:7" x14ac:dyDescent="0.25">
      <c r="A73" s="6" t="s">
        <v>37</v>
      </c>
      <c r="B73" s="10">
        <v>0.45887445887445888</v>
      </c>
      <c r="C73" s="10">
        <v>0.54112554112554112</v>
      </c>
      <c r="D73" s="10">
        <v>1</v>
      </c>
      <c r="F73" t="str">
        <f>A72</f>
        <v>Married</v>
      </c>
      <c r="G73" s="10">
        <f>GETPIVOTDATA("ID",$A$70,"Marital Status","Married","Purchased Bike","Yes")</f>
        <v>0.42936802973977695</v>
      </c>
    </row>
    <row r="74" spans="1:7" x14ac:dyDescent="0.25">
      <c r="A74" s="6" t="s">
        <v>44</v>
      </c>
      <c r="B74" s="10">
        <v>0.51900000000000002</v>
      </c>
      <c r="C74" s="10">
        <v>0.48099999999999998</v>
      </c>
      <c r="D74" s="10">
        <v>1</v>
      </c>
    </row>
    <row r="76" spans="1:7" x14ac:dyDescent="0.25">
      <c r="A76" s="12" t="s">
        <v>60</v>
      </c>
      <c r="B76" s="8"/>
      <c r="C76" s="8"/>
      <c r="D76" s="8"/>
    </row>
    <row r="77" spans="1:7" x14ac:dyDescent="0.25">
      <c r="A77" s="5" t="s">
        <v>42</v>
      </c>
      <c r="B77" s="5" t="s">
        <v>45</v>
      </c>
    </row>
    <row r="78" spans="1:7" x14ac:dyDescent="0.25">
      <c r="A78" s="5" t="s">
        <v>43</v>
      </c>
      <c r="B78" t="s">
        <v>18</v>
      </c>
      <c r="C78" t="s">
        <v>15</v>
      </c>
      <c r="D78" t="s">
        <v>44</v>
      </c>
    </row>
    <row r="79" spans="1:7" x14ac:dyDescent="0.25">
      <c r="A79" s="6" t="s">
        <v>16</v>
      </c>
      <c r="B79" s="9">
        <v>0.45355191256830601</v>
      </c>
      <c r="C79" s="9">
        <v>0.54644808743169404</v>
      </c>
      <c r="D79" s="9">
        <v>1</v>
      </c>
    </row>
    <row r="80" spans="1:7" x14ac:dyDescent="0.25">
      <c r="A80" s="6" t="s">
        <v>26</v>
      </c>
      <c r="B80" s="9">
        <v>0.54437869822485208</v>
      </c>
      <c r="C80" s="9">
        <v>0.45562130177514792</v>
      </c>
      <c r="D80" s="9">
        <v>1</v>
      </c>
    </row>
    <row r="81" spans="1:4" x14ac:dyDescent="0.25">
      <c r="A81" s="6" t="s">
        <v>22</v>
      </c>
      <c r="B81" s="9">
        <v>0.41358024691358025</v>
      </c>
      <c r="C81" s="9">
        <v>0.5864197530864198</v>
      </c>
      <c r="D81" s="9">
        <v>1</v>
      </c>
    </row>
    <row r="82" spans="1:4" x14ac:dyDescent="0.25">
      <c r="A82" s="6" t="s">
        <v>23</v>
      </c>
      <c r="B82" s="9">
        <v>0.60416666666666663</v>
      </c>
      <c r="C82" s="9">
        <v>0.39583333333333331</v>
      </c>
      <c r="D82" s="9">
        <v>1</v>
      </c>
    </row>
    <row r="83" spans="1:4" x14ac:dyDescent="0.25">
      <c r="A83" s="6" t="s">
        <v>40</v>
      </c>
      <c r="B83" s="9">
        <v>0.70270270270270274</v>
      </c>
      <c r="C83" s="9">
        <v>0.29729729729729731</v>
      </c>
      <c r="D83" s="9">
        <v>1</v>
      </c>
    </row>
    <row r="84" spans="1:4" x14ac:dyDescent="0.25">
      <c r="A84" s="6" t="s">
        <v>44</v>
      </c>
      <c r="B84" s="9">
        <v>0.51900000000000002</v>
      </c>
      <c r="C84" s="9">
        <v>0.48099999999999998</v>
      </c>
      <c r="D84" s="9">
        <v>1</v>
      </c>
    </row>
    <row r="88" spans="1:4" x14ac:dyDescent="0.25">
      <c r="A88" t="str">
        <f>A79</f>
        <v>0-1 Miles</v>
      </c>
      <c r="B88" s="10">
        <f>GETPIVOTDATA("ID",$A$77,"Commute Distance","0-1 Miles","Purchased Bike","Yes")</f>
        <v>0.54644808743169404</v>
      </c>
    </row>
    <row r="89" spans="1:4" x14ac:dyDescent="0.25">
      <c r="A89" t="str">
        <f t="shared" ref="A89:A92" si="0">A80</f>
        <v>1-2 Miles</v>
      </c>
      <c r="B89" s="10">
        <f>GETPIVOTDATA("ID",$A$77,"Commute Distance","1-2 Miles","Purchased Bike","Yes")</f>
        <v>0.45562130177514792</v>
      </c>
    </row>
    <row r="90" spans="1:4" x14ac:dyDescent="0.25">
      <c r="A90" t="str">
        <f t="shared" si="0"/>
        <v>2-5 Miles</v>
      </c>
      <c r="B90" s="10">
        <f>GETPIVOTDATA("ID",$A$77,"Commute Distance","2-5 Miles","Purchased Bike","Yes")</f>
        <v>0.5864197530864198</v>
      </c>
    </row>
    <row r="91" spans="1:4" x14ac:dyDescent="0.25">
      <c r="A91" t="str">
        <f t="shared" si="0"/>
        <v>5-10 Miles</v>
      </c>
      <c r="B91" s="10">
        <f>GETPIVOTDATA("ID",$A$77,"Commute Distance","5-10 Miles","Purchased Bike","Yes")</f>
        <v>0.39583333333333331</v>
      </c>
    </row>
    <row r="92" spans="1:4" x14ac:dyDescent="0.25">
      <c r="A92" t="str">
        <f t="shared" si="0"/>
        <v>Beyond 10 Miles</v>
      </c>
      <c r="B92" s="10">
        <f>GETPIVOTDATA("ID",$A$77,"Commute Distance","Beyond 10 Miles","Purchased Bike","Yes")</f>
        <v>0.29729729729729731</v>
      </c>
    </row>
  </sheetData>
  <sortState ref="F29:G31">
    <sortCondition descending="1" ref="G30"/>
  </sortState>
  <mergeCells count="9">
    <mergeCell ref="A53:D53"/>
    <mergeCell ref="A61:D61"/>
    <mergeCell ref="A69:C69"/>
    <mergeCell ref="A5:B5"/>
    <mergeCell ref="A12:D12"/>
    <mergeCell ref="A19:D19"/>
    <mergeCell ref="A26:D26"/>
    <mergeCell ref="A45:C45"/>
    <mergeCell ref="A35:C35"/>
  </mergeCells>
  <pageMargins left="0.7" right="0.7" top="0.75" bottom="0.75" header="0.3" footer="0.3"/>
  <pageSetup orientation="portrait" r:id="rId12"/>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1027"/>
  <sheetViews>
    <sheetView workbookViewId="0">
      <selection activeCell="B13" sqref="B13"/>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Working Sheet</vt:lpstr>
      <vt:lpstr>PIvot tables</vt:lpstr>
      <vt:lpstr>bike_sales_data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Yusuf Tiamiyu</dc:creator>
  <cp:lastModifiedBy>Yusuf Tiamiyu</cp:lastModifiedBy>
  <dcterms:created xsi:type="dcterms:W3CDTF">2022-03-18T02:50:57Z</dcterms:created>
  <dcterms:modified xsi:type="dcterms:W3CDTF">2026-04-16T21:55:15Z</dcterms:modified>
</cp:coreProperties>
</file>
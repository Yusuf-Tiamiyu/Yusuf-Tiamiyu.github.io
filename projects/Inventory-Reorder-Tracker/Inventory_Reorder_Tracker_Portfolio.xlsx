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Yusuf.Tiamiyu\Downloads\"/>
    </mc:Choice>
  </mc:AlternateContent>
  <bookViews>
    <workbookView xWindow="0" yWindow="0" windowWidth="16530" windowHeight="3210"/>
  </bookViews>
  <sheets>
    <sheet name="Inventory Master" sheetId="1" r:id="rId1"/>
    <sheet name="Issuance Log" sheetId="2" r:id="rId2"/>
    <sheet name="Monthly Summary" sheetId="3" r:id="rId3"/>
    <sheet name="HOW TO USE" sheetId="4" r:id="rId4"/>
  </sheets>
  <definedNames>
    <definedName name="_xlnm._FilterDatabase" localSheetId="0" hidden="1">'Inventory Master'!$A$3:$I$3</definedName>
    <definedName name="_xlnm._FilterDatabase" localSheetId="1" hidden="1">'Issuance Log'!$A$4:$H$204</definedName>
    <definedName name="_xlnm._FilterDatabase" localSheetId="2" hidden="1">'Monthly Summary'!$A$6:$E$1584</definedName>
  </definedNames>
  <calcPr calcId="162913"/>
</workbook>
</file>

<file path=xl/calcChain.xml><?xml version="1.0" encoding="utf-8"?>
<calcChain xmlns="http://schemas.openxmlformats.org/spreadsheetml/2006/main">
  <c r="D1584" i="3" l="1"/>
  <c r="C1584" i="3"/>
  <c r="D1583" i="3"/>
  <c r="C1583" i="3"/>
  <c r="D1582" i="3"/>
  <c r="C1582" i="3"/>
  <c r="D1581" i="3"/>
  <c r="C1581" i="3"/>
  <c r="D1580" i="3"/>
  <c r="C1580" i="3"/>
  <c r="D1579" i="3"/>
  <c r="C1579" i="3"/>
  <c r="D1578" i="3"/>
  <c r="C1578" i="3"/>
  <c r="D1577" i="3"/>
  <c r="C1577" i="3"/>
  <c r="D1576" i="3"/>
  <c r="C1576" i="3"/>
  <c r="D1575" i="3"/>
  <c r="C1575" i="3"/>
  <c r="D1574" i="3"/>
  <c r="C1574" i="3"/>
  <c r="D1573" i="3"/>
  <c r="C1573" i="3"/>
  <c r="D1572" i="3"/>
  <c r="C1572" i="3"/>
  <c r="D1571" i="3"/>
  <c r="C1571" i="3"/>
  <c r="D1570" i="3"/>
  <c r="C1570" i="3"/>
  <c r="D1569" i="3"/>
  <c r="C1569" i="3"/>
  <c r="D1568" i="3"/>
  <c r="C1568" i="3"/>
  <c r="D1567" i="3"/>
  <c r="C1567" i="3"/>
  <c r="D1566" i="3"/>
  <c r="C1566" i="3"/>
  <c r="D1565" i="3"/>
  <c r="C1565" i="3"/>
  <c r="D1564" i="3"/>
  <c r="C1564" i="3"/>
  <c r="D1563" i="3"/>
  <c r="C1563" i="3"/>
  <c r="D1562" i="3"/>
  <c r="C1562" i="3"/>
  <c r="D1561" i="3"/>
  <c r="C1561" i="3"/>
  <c r="D1560" i="3"/>
  <c r="C1560" i="3"/>
  <c r="D1559" i="3"/>
  <c r="C1559" i="3"/>
  <c r="D1558" i="3"/>
  <c r="C1558" i="3"/>
  <c r="D1557" i="3"/>
  <c r="C1557" i="3"/>
  <c r="D1556" i="3"/>
  <c r="C1556" i="3"/>
  <c r="D1555" i="3"/>
  <c r="C1555" i="3"/>
  <c r="D1554" i="3"/>
  <c r="C1554" i="3"/>
  <c r="D1553" i="3"/>
  <c r="C1553" i="3"/>
  <c r="D1552" i="3"/>
  <c r="C1552" i="3"/>
  <c r="D1551" i="3"/>
  <c r="C1551" i="3"/>
  <c r="D1550" i="3"/>
  <c r="C1550" i="3"/>
  <c r="D1549" i="3"/>
  <c r="C1549" i="3"/>
  <c r="D1548" i="3"/>
  <c r="C1548" i="3"/>
  <c r="D1547" i="3"/>
  <c r="C1547" i="3"/>
  <c r="D1546" i="3"/>
  <c r="C1546" i="3"/>
  <c r="D1545" i="3"/>
  <c r="C1545" i="3"/>
  <c r="D1544" i="3"/>
  <c r="C1544" i="3"/>
  <c r="D1543" i="3"/>
  <c r="C1543" i="3"/>
  <c r="D1542" i="3"/>
  <c r="C1542" i="3"/>
  <c r="D1541" i="3"/>
  <c r="C1541" i="3"/>
  <c r="D1540" i="3"/>
  <c r="C1540" i="3"/>
  <c r="D1539" i="3"/>
  <c r="C1539" i="3"/>
  <c r="D1538" i="3"/>
  <c r="C1538" i="3"/>
  <c r="D1537" i="3"/>
  <c r="C1537" i="3"/>
  <c r="D1536" i="3"/>
  <c r="C1536" i="3"/>
  <c r="D1535" i="3"/>
  <c r="C1535" i="3"/>
  <c r="D1534" i="3"/>
  <c r="C1534" i="3"/>
  <c r="D1533" i="3"/>
  <c r="C1533" i="3"/>
  <c r="D1532" i="3"/>
  <c r="C1532" i="3"/>
  <c r="D1531" i="3"/>
  <c r="C1531" i="3"/>
  <c r="D1530" i="3"/>
  <c r="C1530" i="3"/>
  <c r="D1529" i="3"/>
  <c r="C1529" i="3"/>
  <c r="D1528" i="3"/>
  <c r="C1528" i="3"/>
  <c r="D1527" i="3"/>
  <c r="C1527" i="3"/>
  <c r="D1526" i="3"/>
  <c r="C1526" i="3"/>
  <c r="D1525" i="3"/>
  <c r="C1525" i="3"/>
  <c r="D1524" i="3"/>
  <c r="C1524" i="3"/>
  <c r="D1523" i="3"/>
  <c r="C1523" i="3"/>
  <c r="D1522" i="3"/>
  <c r="C1522" i="3"/>
  <c r="D1521" i="3"/>
  <c r="C1521" i="3"/>
  <c r="D1520" i="3"/>
  <c r="C1520" i="3"/>
  <c r="D1519" i="3"/>
  <c r="C1519" i="3"/>
  <c r="D1518" i="3"/>
  <c r="C1518" i="3"/>
  <c r="D1517" i="3"/>
  <c r="C1517" i="3"/>
  <c r="D1516" i="3"/>
  <c r="C1516" i="3"/>
  <c r="D1515" i="3"/>
  <c r="C1515" i="3"/>
  <c r="D1514" i="3"/>
  <c r="C1514" i="3"/>
  <c r="D1513" i="3"/>
  <c r="C1513" i="3"/>
  <c r="D1512" i="3"/>
  <c r="C1512" i="3"/>
  <c r="D1511" i="3"/>
  <c r="C1511" i="3"/>
  <c r="D1510" i="3"/>
  <c r="C1510" i="3"/>
  <c r="D1509" i="3"/>
  <c r="C1509" i="3"/>
  <c r="D1508" i="3"/>
  <c r="C1508" i="3"/>
  <c r="D1507" i="3"/>
  <c r="C1507" i="3"/>
  <c r="D1506" i="3"/>
  <c r="C1506" i="3"/>
  <c r="D1505" i="3"/>
  <c r="C1505" i="3"/>
  <c r="D1504" i="3"/>
  <c r="C1504" i="3"/>
  <c r="D1503" i="3"/>
  <c r="C1503" i="3"/>
  <c r="D1502" i="3"/>
  <c r="C1502" i="3"/>
  <c r="D1501" i="3"/>
  <c r="C1501" i="3"/>
  <c r="D1500" i="3"/>
  <c r="C1500" i="3"/>
  <c r="D1499" i="3"/>
  <c r="C1499" i="3"/>
  <c r="D1498" i="3"/>
  <c r="C1498" i="3"/>
  <c r="D1497" i="3"/>
  <c r="C1497" i="3"/>
  <c r="D1496" i="3"/>
  <c r="C1496" i="3"/>
  <c r="D1495" i="3"/>
  <c r="C1495" i="3"/>
  <c r="D1494" i="3"/>
  <c r="C1494" i="3"/>
  <c r="D1493" i="3"/>
  <c r="C1493" i="3"/>
  <c r="D1492" i="3"/>
  <c r="C1492" i="3"/>
  <c r="D1491" i="3"/>
  <c r="C1491" i="3"/>
  <c r="D1490" i="3"/>
  <c r="C1490" i="3"/>
  <c r="D1489" i="3"/>
  <c r="C1489" i="3"/>
  <c r="D1488" i="3"/>
  <c r="C1488" i="3"/>
  <c r="D1487" i="3"/>
  <c r="C1487" i="3"/>
  <c r="D1486" i="3"/>
  <c r="C1486" i="3"/>
  <c r="D1485" i="3"/>
  <c r="C1485" i="3"/>
  <c r="D1484" i="3"/>
  <c r="C1484" i="3"/>
  <c r="D1483" i="3"/>
  <c r="C1483" i="3"/>
  <c r="D1482" i="3"/>
  <c r="C1482" i="3"/>
  <c r="D1481" i="3"/>
  <c r="C1481" i="3"/>
  <c r="D1480" i="3"/>
  <c r="C1480" i="3"/>
  <c r="D1479" i="3"/>
  <c r="C1479" i="3"/>
  <c r="D1478" i="3"/>
  <c r="C1478" i="3"/>
  <c r="D1477" i="3"/>
  <c r="C1477" i="3"/>
  <c r="D1476" i="3"/>
  <c r="C1476" i="3"/>
  <c r="D1475" i="3"/>
  <c r="C1475" i="3"/>
  <c r="D1474" i="3"/>
  <c r="C1474" i="3"/>
  <c r="D1473" i="3"/>
  <c r="C1473" i="3"/>
  <c r="D1472" i="3"/>
  <c r="C1472" i="3"/>
  <c r="D1471" i="3"/>
  <c r="C1471" i="3"/>
  <c r="D1470" i="3"/>
  <c r="C1470" i="3"/>
  <c r="D1469" i="3"/>
  <c r="C1469" i="3"/>
  <c r="D1468" i="3"/>
  <c r="C1468" i="3"/>
  <c r="D1467" i="3"/>
  <c r="C1467" i="3"/>
  <c r="D1466" i="3"/>
  <c r="C1466" i="3"/>
  <c r="D1465" i="3"/>
  <c r="C1465" i="3"/>
  <c r="D1464" i="3"/>
  <c r="C1464" i="3"/>
  <c r="D1463" i="3"/>
  <c r="C1463" i="3"/>
  <c r="D1462" i="3"/>
  <c r="C1462" i="3"/>
  <c r="D1461" i="3"/>
  <c r="C1461" i="3"/>
  <c r="D1460" i="3"/>
  <c r="C1460" i="3"/>
  <c r="D1459" i="3"/>
  <c r="C1459" i="3"/>
  <c r="D1458" i="3"/>
  <c r="C1458" i="3"/>
  <c r="D1457" i="3"/>
  <c r="C1457" i="3"/>
  <c r="D1456" i="3"/>
  <c r="C1456" i="3"/>
  <c r="D1455" i="3"/>
  <c r="C1455" i="3"/>
  <c r="D1454" i="3"/>
  <c r="C1454" i="3"/>
  <c r="D1453" i="3"/>
  <c r="C1453" i="3"/>
  <c r="D1452" i="3"/>
  <c r="C1452" i="3"/>
  <c r="D1451" i="3"/>
  <c r="C1451" i="3"/>
  <c r="D1450" i="3"/>
  <c r="C1450" i="3"/>
  <c r="D1449" i="3"/>
  <c r="C1449" i="3"/>
  <c r="D1448" i="3"/>
  <c r="C1448" i="3"/>
  <c r="D1447" i="3"/>
  <c r="C1447" i="3"/>
  <c r="D1446" i="3"/>
  <c r="C1446" i="3"/>
  <c r="D1445" i="3"/>
  <c r="C1445" i="3"/>
  <c r="D1444" i="3"/>
  <c r="C1444" i="3"/>
  <c r="D1443" i="3"/>
  <c r="C1443" i="3"/>
  <c r="D1442" i="3"/>
  <c r="C1442" i="3"/>
  <c r="D1441" i="3"/>
  <c r="C1441" i="3"/>
  <c r="D1440" i="3"/>
  <c r="C1440" i="3"/>
  <c r="D1439" i="3"/>
  <c r="C1439" i="3"/>
  <c r="D1438" i="3"/>
  <c r="C1438" i="3"/>
  <c r="D1437" i="3"/>
  <c r="C1437" i="3"/>
  <c r="D1436" i="3"/>
  <c r="C1436" i="3"/>
  <c r="D1435" i="3"/>
  <c r="C1435" i="3"/>
  <c r="D1434" i="3"/>
  <c r="C1434" i="3"/>
  <c r="D1433" i="3"/>
  <c r="C1433" i="3"/>
  <c r="D1432" i="3"/>
  <c r="C1432" i="3"/>
  <c r="D1431" i="3"/>
  <c r="C1431" i="3"/>
  <c r="D1430" i="3"/>
  <c r="C1430" i="3"/>
  <c r="D1429" i="3"/>
  <c r="C1429" i="3"/>
  <c r="D1428" i="3"/>
  <c r="C1428" i="3"/>
  <c r="D1427" i="3"/>
  <c r="C1427" i="3"/>
  <c r="D1426" i="3"/>
  <c r="C1426" i="3"/>
  <c r="D1425" i="3"/>
  <c r="C1425" i="3"/>
  <c r="D1424" i="3"/>
  <c r="C1424" i="3"/>
  <c r="D1423" i="3"/>
  <c r="C1423" i="3"/>
  <c r="D1422" i="3"/>
  <c r="C1422" i="3"/>
  <c r="D1421" i="3"/>
  <c r="C1421" i="3"/>
  <c r="D1420" i="3"/>
  <c r="C1420" i="3"/>
  <c r="D1419" i="3"/>
  <c r="C1419" i="3"/>
  <c r="D1418" i="3"/>
  <c r="C1418" i="3"/>
  <c r="D1417" i="3"/>
  <c r="C1417" i="3"/>
  <c r="D1416" i="3"/>
  <c r="C1416" i="3"/>
  <c r="D1415" i="3"/>
  <c r="C1415" i="3"/>
  <c r="D1414" i="3"/>
  <c r="C1414" i="3"/>
  <c r="D1413" i="3"/>
  <c r="C1413" i="3"/>
  <c r="D1412" i="3"/>
  <c r="C1412" i="3"/>
  <c r="D1411" i="3"/>
  <c r="C1411" i="3"/>
  <c r="D1410" i="3"/>
  <c r="C1410" i="3"/>
  <c r="D1409" i="3"/>
  <c r="C1409" i="3"/>
  <c r="D1408" i="3"/>
  <c r="C1408" i="3"/>
  <c r="D1407" i="3"/>
  <c r="C1407" i="3"/>
  <c r="D1406" i="3"/>
  <c r="C1406" i="3"/>
  <c r="D1405" i="3"/>
  <c r="C1405" i="3"/>
  <c r="D1404" i="3"/>
  <c r="C1404" i="3"/>
  <c r="D1403" i="3"/>
  <c r="C1403" i="3"/>
  <c r="D1402" i="3"/>
  <c r="C1402" i="3"/>
  <c r="D1401" i="3"/>
  <c r="C1401" i="3"/>
  <c r="D1400" i="3"/>
  <c r="C1400" i="3"/>
  <c r="D1399" i="3"/>
  <c r="C1399" i="3"/>
  <c r="D1398" i="3"/>
  <c r="C1398" i="3"/>
  <c r="D1397" i="3"/>
  <c r="C1397" i="3"/>
  <c r="D1396" i="3"/>
  <c r="C1396" i="3"/>
  <c r="D1395" i="3"/>
  <c r="C1395" i="3"/>
  <c r="D1394" i="3"/>
  <c r="C1394" i="3"/>
  <c r="D1393" i="3"/>
  <c r="C1393" i="3"/>
  <c r="D1392" i="3"/>
  <c r="C1392" i="3"/>
  <c r="D1391" i="3"/>
  <c r="C1391" i="3"/>
  <c r="D1390" i="3"/>
  <c r="C1390" i="3"/>
  <c r="D1389" i="3"/>
  <c r="C1389" i="3"/>
  <c r="D1388" i="3"/>
  <c r="C1388" i="3"/>
  <c r="D1387" i="3"/>
  <c r="C1387" i="3"/>
  <c r="D1386" i="3"/>
  <c r="C1386" i="3"/>
  <c r="D1385" i="3"/>
  <c r="C1385" i="3"/>
  <c r="D1384" i="3"/>
  <c r="C1384" i="3"/>
  <c r="D1383" i="3"/>
  <c r="C1383" i="3"/>
  <c r="D1382" i="3"/>
  <c r="C1382" i="3"/>
  <c r="D1381" i="3"/>
  <c r="C1381" i="3"/>
  <c r="D1380" i="3"/>
  <c r="C1380" i="3"/>
  <c r="D1379" i="3"/>
  <c r="C1379" i="3"/>
  <c r="D1378" i="3"/>
  <c r="C1378" i="3"/>
  <c r="D1377" i="3"/>
  <c r="C1377" i="3"/>
  <c r="D1376" i="3"/>
  <c r="C1376" i="3"/>
  <c r="D1375" i="3"/>
  <c r="C1375" i="3"/>
  <c r="D1374" i="3"/>
  <c r="C1374" i="3"/>
  <c r="D1373" i="3"/>
  <c r="C1373" i="3"/>
  <c r="D1372" i="3"/>
  <c r="C1372" i="3"/>
  <c r="D1371" i="3"/>
  <c r="C1371" i="3"/>
  <c r="D1370" i="3"/>
  <c r="C1370" i="3"/>
  <c r="D1369" i="3"/>
  <c r="C1369" i="3"/>
  <c r="D1368" i="3"/>
  <c r="C1368" i="3"/>
  <c r="D1367" i="3"/>
  <c r="C1367" i="3"/>
  <c r="D1366" i="3"/>
  <c r="C1366" i="3"/>
  <c r="D1365" i="3"/>
  <c r="C1365" i="3"/>
  <c r="D1364" i="3"/>
  <c r="C1364" i="3"/>
  <c r="D1363" i="3"/>
  <c r="C1363" i="3"/>
  <c r="D1362" i="3"/>
  <c r="C1362" i="3"/>
  <c r="D1361" i="3"/>
  <c r="C1361" i="3"/>
  <c r="D1360" i="3"/>
  <c r="C1360" i="3"/>
  <c r="D1359" i="3"/>
  <c r="C1359" i="3"/>
  <c r="D1358" i="3"/>
  <c r="C1358" i="3"/>
  <c r="D1357" i="3"/>
  <c r="C1357" i="3"/>
  <c r="D1356" i="3"/>
  <c r="C1356" i="3"/>
  <c r="D1355" i="3"/>
  <c r="C1355" i="3"/>
  <c r="D1354" i="3"/>
  <c r="C1354" i="3"/>
  <c r="D1353" i="3"/>
  <c r="C1353" i="3"/>
  <c r="D1352" i="3"/>
  <c r="C1352" i="3"/>
  <c r="D1351" i="3"/>
  <c r="C1351" i="3"/>
  <c r="D1350" i="3"/>
  <c r="C1350" i="3"/>
  <c r="D1349" i="3"/>
  <c r="C1349" i="3"/>
  <c r="D1348" i="3"/>
  <c r="C1348" i="3"/>
  <c r="D1347" i="3"/>
  <c r="C1347" i="3"/>
  <c r="D1346" i="3"/>
  <c r="C1346" i="3"/>
  <c r="D1345" i="3"/>
  <c r="C1345" i="3"/>
  <c r="D1344" i="3"/>
  <c r="C1344" i="3"/>
  <c r="D1343" i="3"/>
  <c r="C1343" i="3"/>
  <c r="D1342" i="3"/>
  <c r="C1342" i="3"/>
  <c r="D1341" i="3"/>
  <c r="C1341" i="3"/>
  <c r="D1340" i="3"/>
  <c r="C1340" i="3"/>
  <c r="D1339" i="3"/>
  <c r="C1339" i="3"/>
  <c r="D1338" i="3"/>
  <c r="C1338" i="3"/>
  <c r="D1337" i="3"/>
  <c r="C1337" i="3"/>
  <c r="D1336" i="3"/>
  <c r="C1336" i="3"/>
  <c r="D1335" i="3"/>
  <c r="C1335" i="3"/>
  <c r="D1334" i="3"/>
  <c r="C1334" i="3"/>
  <c r="D1333" i="3"/>
  <c r="C1333" i="3"/>
  <c r="D1332" i="3"/>
  <c r="C1332" i="3"/>
  <c r="D1331" i="3"/>
  <c r="C1331" i="3"/>
  <c r="D1330" i="3"/>
  <c r="C1330" i="3"/>
  <c r="D1329" i="3"/>
  <c r="C1329" i="3"/>
  <c r="D1328" i="3"/>
  <c r="C1328" i="3"/>
  <c r="D1327" i="3"/>
  <c r="C1327" i="3"/>
  <c r="D1326" i="3"/>
  <c r="C1326" i="3"/>
  <c r="D1325" i="3"/>
  <c r="C1325" i="3"/>
  <c r="D1324" i="3"/>
  <c r="C1324" i="3"/>
  <c r="D1323" i="3"/>
  <c r="C1323" i="3"/>
  <c r="D1322" i="3"/>
  <c r="C1322" i="3"/>
  <c r="D1321" i="3"/>
  <c r="C1321" i="3"/>
  <c r="D1320" i="3"/>
  <c r="C1320" i="3"/>
  <c r="D1319" i="3"/>
  <c r="C1319" i="3"/>
  <c r="D1318" i="3"/>
  <c r="C1318" i="3"/>
  <c r="D1317" i="3"/>
  <c r="C1317" i="3"/>
  <c r="D1316" i="3"/>
  <c r="C1316" i="3"/>
  <c r="D1315" i="3"/>
  <c r="C1315" i="3"/>
  <c r="D1314" i="3"/>
  <c r="C1314" i="3"/>
  <c r="D1313" i="3"/>
  <c r="C1313" i="3"/>
  <c r="D1312" i="3"/>
  <c r="C1312" i="3"/>
  <c r="D1311" i="3"/>
  <c r="C1311" i="3"/>
  <c r="D1310" i="3"/>
  <c r="C1310" i="3"/>
  <c r="D1309" i="3"/>
  <c r="C1309" i="3"/>
  <c r="D1308" i="3"/>
  <c r="C1308" i="3"/>
  <c r="D1307" i="3"/>
  <c r="C1307" i="3"/>
  <c r="D1306" i="3"/>
  <c r="C1306" i="3"/>
  <c r="D1305" i="3"/>
  <c r="C1305" i="3"/>
  <c r="D1304" i="3"/>
  <c r="C1304" i="3"/>
  <c r="D1303" i="3"/>
  <c r="C1303" i="3"/>
  <c r="D1302" i="3"/>
  <c r="C1302" i="3"/>
  <c r="D1301" i="3"/>
  <c r="C1301" i="3"/>
  <c r="D1300" i="3"/>
  <c r="C1300" i="3"/>
  <c r="D1299" i="3"/>
  <c r="C1299" i="3"/>
  <c r="D1298" i="3"/>
  <c r="C1298" i="3"/>
  <c r="D1297" i="3"/>
  <c r="C1297" i="3"/>
  <c r="D1296" i="3"/>
  <c r="C1296" i="3"/>
  <c r="D1295" i="3"/>
  <c r="C1295" i="3"/>
  <c r="D1294" i="3"/>
  <c r="C1294" i="3"/>
  <c r="D1293" i="3"/>
  <c r="C1293" i="3"/>
  <c r="D1292" i="3"/>
  <c r="C1292" i="3"/>
  <c r="D1291" i="3"/>
  <c r="C1291" i="3"/>
  <c r="D1290" i="3"/>
  <c r="C1290" i="3"/>
  <c r="D1289" i="3"/>
  <c r="C1289" i="3"/>
  <c r="D1288" i="3"/>
  <c r="C1288" i="3"/>
  <c r="D1287" i="3"/>
  <c r="C1287" i="3"/>
  <c r="D1286" i="3"/>
  <c r="C1286" i="3"/>
  <c r="D1285" i="3"/>
  <c r="C1285" i="3"/>
  <c r="D1284" i="3"/>
  <c r="C1284" i="3"/>
  <c r="D1283" i="3"/>
  <c r="C1283" i="3"/>
  <c r="D1282" i="3"/>
  <c r="C1282" i="3"/>
  <c r="D1281" i="3"/>
  <c r="C1281" i="3"/>
  <c r="D1280" i="3"/>
  <c r="C1280" i="3"/>
  <c r="D1279" i="3"/>
  <c r="C1279" i="3"/>
  <c r="D1278" i="3"/>
  <c r="C1278" i="3"/>
  <c r="D1277" i="3"/>
  <c r="C1277" i="3"/>
  <c r="D1276" i="3"/>
  <c r="C1276" i="3"/>
  <c r="D1275" i="3"/>
  <c r="C1275" i="3"/>
  <c r="D1274" i="3"/>
  <c r="C1274" i="3"/>
  <c r="D1273" i="3"/>
  <c r="C1273" i="3"/>
  <c r="D1272" i="3"/>
  <c r="C1272" i="3"/>
  <c r="D1271" i="3"/>
  <c r="C1271" i="3"/>
  <c r="D1270" i="3"/>
  <c r="C1270" i="3"/>
  <c r="D1269" i="3"/>
  <c r="C1269" i="3"/>
  <c r="D1268" i="3"/>
  <c r="C1268" i="3"/>
  <c r="D1267" i="3"/>
  <c r="C1267" i="3"/>
  <c r="D1266" i="3"/>
  <c r="C1266" i="3"/>
  <c r="D1265" i="3"/>
  <c r="C1265" i="3"/>
  <c r="D1264" i="3"/>
  <c r="C1264" i="3"/>
  <c r="D1263" i="3"/>
  <c r="C1263" i="3"/>
  <c r="D1262" i="3"/>
  <c r="C1262" i="3"/>
  <c r="D1261" i="3"/>
  <c r="C1261" i="3"/>
  <c r="D1260" i="3"/>
  <c r="C1260" i="3"/>
  <c r="D1259" i="3"/>
  <c r="C1259" i="3"/>
  <c r="D1258" i="3"/>
  <c r="C1258" i="3"/>
  <c r="D1257" i="3"/>
  <c r="C1257" i="3"/>
  <c r="D1256" i="3"/>
  <c r="C1256" i="3"/>
  <c r="D1255" i="3"/>
  <c r="C1255" i="3"/>
  <c r="D1254" i="3"/>
  <c r="C1254" i="3"/>
  <c r="D1253" i="3"/>
  <c r="C1253" i="3"/>
  <c r="D1252" i="3"/>
  <c r="C1252" i="3"/>
  <c r="D1251" i="3"/>
  <c r="C1251" i="3"/>
  <c r="D1250" i="3"/>
  <c r="C1250" i="3"/>
  <c r="D1249" i="3"/>
  <c r="C1249" i="3"/>
  <c r="D1248" i="3"/>
  <c r="C1248" i="3"/>
  <c r="D1247" i="3"/>
  <c r="C1247" i="3"/>
  <c r="D1246" i="3"/>
  <c r="C1246" i="3"/>
  <c r="D1245" i="3"/>
  <c r="C1245" i="3"/>
  <c r="D1244" i="3"/>
  <c r="C1244" i="3"/>
  <c r="D1243" i="3"/>
  <c r="C1243" i="3"/>
  <c r="D1242" i="3"/>
  <c r="C1242" i="3"/>
  <c r="D1241" i="3"/>
  <c r="C1241" i="3"/>
  <c r="D1240" i="3"/>
  <c r="C1240" i="3"/>
  <c r="D1239" i="3"/>
  <c r="C1239" i="3"/>
  <c r="D1238" i="3"/>
  <c r="C1238" i="3"/>
  <c r="D1237" i="3"/>
  <c r="C1237" i="3"/>
  <c r="D1236" i="3"/>
  <c r="C1236" i="3"/>
  <c r="D1235" i="3"/>
  <c r="C1235" i="3"/>
  <c r="D1234" i="3"/>
  <c r="C1234" i="3"/>
  <c r="D1233" i="3"/>
  <c r="C1233" i="3"/>
  <c r="D1232" i="3"/>
  <c r="C1232" i="3"/>
  <c r="D1231" i="3"/>
  <c r="C1231" i="3"/>
  <c r="D1230" i="3"/>
  <c r="C1230" i="3"/>
  <c r="D1229" i="3"/>
  <c r="C1229" i="3"/>
  <c r="D1228" i="3"/>
  <c r="C1228" i="3"/>
  <c r="D1227" i="3"/>
  <c r="C1227" i="3"/>
  <c r="D1226" i="3"/>
  <c r="C1226" i="3"/>
  <c r="D1225" i="3"/>
  <c r="C1225" i="3"/>
  <c r="D1224" i="3"/>
  <c r="C1224" i="3"/>
  <c r="D1223" i="3"/>
  <c r="C1223" i="3"/>
  <c r="D1222" i="3"/>
  <c r="C1222" i="3"/>
  <c r="D1221" i="3"/>
  <c r="C1221" i="3"/>
  <c r="D1220" i="3"/>
  <c r="C1220" i="3"/>
  <c r="D1219" i="3"/>
  <c r="C1219" i="3"/>
  <c r="D1218" i="3"/>
  <c r="C1218" i="3"/>
  <c r="D1217" i="3"/>
  <c r="C1217" i="3"/>
  <c r="D1216" i="3"/>
  <c r="C1216" i="3"/>
  <c r="D1215" i="3"/>
  <c r="C1215" i="3"/>
  <c r="D1214" i="3"/>
  <c r="C1214" i="3"/>
  <c r="D1213" i="3"/>
  <c r="C1213" i="3"/>
  <c r="D1212" i="3"/>
  <c r="C1212" i="3"/>
  <c r="D1211" i="3"/>
  <c r="C1211" i="3"/>
  <c r="D1210" i="3"/>
  <c r="C1210" i="3"/>
  <c r="D1209" i="3"/>
  <c r="C1209" i="3"/>
  <c r="D1208" i="3"/>
  <c r="C1208" i="3"/>
  <c r="D1207" i="3"/>
  <c r="C1207" i="3"/>
  <c r="D1206" i="3"/>
  <c r="C1206" i="3"/>
  <c r="D1205" i="3"/>
  <c r="C1205" i="3"/>
  <c r="D1204" i="3"/>
  <c r="C1204" i="3"/>
  <c r="D1203" i="3"/>
  <c r="C1203" i="3"/>
  <c r="D1202" i="3"/>
  <c r="C1202" i="3"/>
  <c r="D1201" i="3"/>
  <c r="C1201" i="3"/>
  <c r="D1200" i="3"/>
  <c r="C1200" i="3"/>
  <c r="D1199" i="3"/>
  <c r="C1199" i="3"/>
  <c r="D1198" i="3"/>
  <c r="C1198" i="3"/>
  <c r="D1197" i="3"/>
  <c r="C1197" i="3"/>
  <c r="D1196" i="3"/>
  <c r="C1196" i="3"/>
  <c r="D1195" i="3"/>
  <c r="C1195" i="3"/>
  <c r="D1194" i="3"/>
  <c r="C1194" i="3"/>
  <c r="D1193" i="3"/>
  <c r="C1193" i="3"/>
  <c r="D1192" i="3"/>
  <c r="C1192" i="3"/>
  <c r="D1191" i="3"/>
  <c r="C1191" i="3"/>
  <c r="D1190" i="3"/>
  <c r="C1190" i="3"/>
  <c r="D1189" i="3"/>
  <c r="C1189" i="3"/>
  <c r="D1188" i="3"/>
  <c r="C1188" i="3"/>
  <c r="D1187" i="3"/>
  <c r="C1187" i="3"/>
  <c r="D1186" i="3"/>
  <c r="C1186" i="3"/>
  <c r="D1185" i="3"/>
  <c r="C1185" i="3"/>
  <c r="D1184" i="3"/>
  <c r="C1184" i="3"/>
  <c r="D1183" i="3"/>
  <c r="C1183" i="3"/>
  <c r="D1182" i="3"/>
  <c r="C1182" i="3"/>
  <c r="D1181" i="3"/>
  <c r="C1181" i="3"/>
  <c r="D1180" i="3"/>
  <c r="C1180" i="3"/>
  <c r="D1179" i="3"/>
  <c r="C1179" i="3"/>
  <c r="D1178" i="3"/>
  <c r="C1178" i="3"/>
  <c r="D1177" i="3"/>
  <c r="C1177" i="3"/>
  <c r="D1176" i="3"/>
  <c r="C1176" i="3"/>
  <c r="D1175" i="3"/>
  <c r="C1175" i="3"/>
  <c r="D1174" i="3"/>
  <c r="C1174" i="3"/>
  <c r="D1173" i="3"/>
  <c r="C1173" i="3"/>
  <c r="D1172" i="3"/>
  <c r="C1172" i="3"/>
  <c r="D1171" i="3"/>
  <c r="C1171" i="3"/>
  <c r="D1170" i="3"/>
  <c r="C1170" i="3"/>
  <c r="D1169" i="3"/>
  <c r="C1169" i="3"/>
  <c r="D1168" i="3"/>
  <c r="C1168" i="3"/>
  <c r="D1167" i="3"/>
  <c r="C1167" i="3"/>
  <c r="D1166" i="3"/>
  <c r="C1166" i="3"/>
  <c r="D1165" i="3"/>
  <c r="C1165" i="3"/>
  <c r="D1164" i="3"/>
  <c r="C1164" i="3"/>
  <c r="D1163" i="3"/>
  <c r="C1163" i="3"/>
  <c r="D1162" i="3"/>
  <c r="C1162" i="3"/>
  <c r="D1161" i="3"/>
  <c r="C1161" i="3"/>
  <c r="D1160" i="3"/>
  <c r="C1160" i="3"/>
  <c r="D1159" i="3"/>
  <c r="C1159" i="3"/>
  <c r="D1158" i="3"/>
  <c r="C1158" i="3"/>
  <c r="D1157" i="3"/>
  <c r="C1157" i="3"/>
  <c r="D1156" i="3"/>
  <c r="C1156" i="3"/>
  <c r="D1155" i="3"/>
  <c r="C1155" i="3"/>
  <c r="D1154" i="3"/>
  <c r="C1154" i="3"/>
  <c r="D1153" i="3"/>
  <c r="C1153" i="3"/>
  <c r="D1152" i="3"/>
  <c r="C1152" i="3"/>
  <c r="D1151" i="3"/>
  <c r="C1151" i="3"/>
  <c r="D1150" i="3"/>
  <c r="C1150" i="3"/>
  <c r="D1149" i="3"/>
  <c r="C1149" i="3"/>
  <c r="D1148" i="3"/>
  <c r="C1148" i="3"/>
  <c r="D1147" i="3"/>
  <c r="C1147" i="3"/>
  <c r="D1146" i="3"/>
  <c r="C1146" i="3"/>
  <c r="D1145" i="3"/>
  <c r="C1145" i="3"/>
  <c r="D1144" i="3"/>
  <c r="C1144" i="3"/>
  <c r="D1143" i="3"/>
  <c r="C1143" i="3"/>
  <c r="D1142" i="3"/>
  <c r="C1142" i="3"/>
  <c r="D1141" i="3"/>
  <c r="C1141" i="3"/>
  <c r="D1140" i="3"/>
  <c r="C1140" i="3"/>
  <c r="D1139" i="3"/>
  <c r="C1139" i="3"/>
  <c r="D1138" i="3"/>
  <c r="C1138" i="3"/>
  <c r="D1137" i="3"/>
  <c r="C1137" i="3"/>
  <c r="D1136" i="3"/>
  <c r="C1136" i="3"/>
  <c r="D1135" i="3"/>
  <c r="C1135" i="3"/>
  <c r="D1134" i="3"/>
  <c r="C1134" i="3"/>
  <c r="D1133" i="3"/>
  <c r="C1133" i="3"/>
  <c r="D1132" i="3"/>
  <c r="C1132" i="3"/>
  <c r="D1131" i="3"/>
  <c r="C1131" i="3"/>
  <c r="D1130" i="3"/>
  <c r="C1130" i="3"/>
  <c r="D1129" i="3"/>
  <c r="C1129" i="3"/>
  <c r="D1128" i="3"/>
  <c r="C1128" i="3"/>
  <c r="D1127" i="3"/>
  <c r="C1127" i="3"/>
  <c r="D1126" i="3"/>
  <c r="C1126" i="3"/>
  <c r="D1125" i="3"/>
  <c r="C1125" i="3"/>
  <c r="D1124" i="3"/>
  <c r="C1124" i="3"/>
  <c r="D1123" i="3"/>
  <c r="C1123" i="3"/>
  <c r="D1122" i="3"/>
  <c r="C1122" i="3"/>
  <c r="D1121" i="3"/>
  <c r="C1121" i="3"/>
  <c r="D1120" i="3"/>
  <c r="C1120" i="3"/>
  <c r="D1119" i="3"/>
  <c r="C1119" i="3"/>
  <c r="D1118" i="3"/>
  <c r="C1118" i="3"/>
  <c r="D1117" i="3"/>
  <c r="C1117" i="3"/>
  <c r="D1116" i="3"/>
  <c r="C1116" i="3"/>
  <c r="D1115" i="3"/>
  <c r="C1115" i="3"/>
  <c r="D1114" i="3"/>
  <c r="C1114" i="3"/>
  <c r="D1113" i="3"/>
  <c r="C1113" i="3"/>
  <c r="D1112" i="3"/>
  <c r="C1112" i="3"/>
  <c r="D1111" i="3"/>
  <c r="C1111" i="3"/>
  <c r="D1110" i="3"/>
  <c r="C1110" i="3"/>
  <c r="D1109" i="3"/>
  <c r="C1109" i="3"/>
  <c r="D1108" i="3"/>
  <c r="C1108" i="3"/>
  <c r="D1107" i="3"/>
  <c r="C1107" i="3"/>
  <c r="D1106" i="3"/>
  <c r="C1106" i="3"/>
  <c r="D1105" i="3"/>
  <c r="C1105" i="3"/>
  <c r="D1104" i="3"/>
  <c r="C1104" i="3"/>
  <c r="D1103" i="3"/>
  <c r="C1103" i="3"/>
  <c r="D1102" i="3"/>
  <c r="C1102" i="3"/>
  <c r="D1101" i="3"/>
  <c r="C1101" i="3"/>
  <c r="D1100" i="3"/>
  <c r="C1100" i="3"/>
  <c r="D1099" i="3"/>
  <c r="C1099" i="3"/>
  <c r="D1098" i="3"/>
  <c r="C1098" i="3"/>
  <c r="D1097" i="3"/>
  <c r="C1097" i="3"/>
  <c r="D1096" i="3"/>
  <c r="C1096" i="3"/>
  <c r="D1095" i="3"/>
  <c r="C1095" i="3"/>
  <c r="D1094" i="3"/>
  <c r="C1094" i="3"/>
  <c r="D1093" i="3"/>
  <c r="C1093" i="3"/>
  <c r="D1092" i="3"/>
  <c r="C1092" i="3"/>
  <c r="D1091" i="3"/>
  <c r="C1091" i="3"/>
  <c r="D1090" i="3"/>
  <c r="C1090" i="3"/>
  <c r="D1089" i="3"/>
  <c r="C1089" i="3"/>
  <c r="D1088" i="3"/>
  <c r="C1088" i="3"/>
  <c r="D1087" i="3"/>
  <c r="C1087" i="3"/>
  <c r="D1086" i="3"/>
  <c r="C1086" i="3"/>
  <c r="D1085" i="3"/>
  <c r="C1085" i="3"/>
  <c r="D1084" i="3"/>
  <c r="C1084" i="3"/>
  <c r="D1083" i="3"/>
  <c r="C1083" i="3"/>
  <c r="D1082" i="3"/>
  <c r="C1082" i="3"/>
  <c r="D1081" i="3"/>
  <c r="C1081" i="3"/>
  <c r="D1080" i="3"/>
  <c r="C1080" i="3"/>
  <c r="D1079" i="3"/>
  <c r="C1079" i="3"/>
  <c r="D1078" i="3"/>
  <c r="C1078" i="3"/>
  <c r="D1077" i="3"/>
  <c r="C1077" i="3"/>
  <c r="D1076" i="3"/>
  <c r="C1076" i="3"/>
  <c r="D1075" i="3"/>
  <c r="C1075" i="3"/>
  <c r="D1074" i="3"/>
  <c r="C1074" i="3"/>
  <c r="D1073" i="3"/>
  <c r="C1073" i="3"/>
  <c r="D1072" i="3"/>
  <c r="C1072" i="3"/>
  <c r="D1071" i="3"/>
  <c r="C1071" i="3"/>
  <c r="D1070" i="3"/>
  <c r="C1070" i="3"/>
  <c r="D1069" i="3"/>
  <c r="C1069" i="3"/>
  <c r="D1068" i="3"/>
  <c r="C1068" i="3"/>
  <c r="D1067" i="3"/>
  <c r="C1067" i="3"/>
  <c r="D1066" i="3"/>
  <c r="C1066" i="3"/>
  <c r="D1065" i="3"/>
  <c r="C1065" i="3"/>
  <c r="D1064" i="3"/>
  <c r="C1064" i="3"/>
  <c r="D1063" i="3"/>
  <c r="C1063" i="3"/>
  <c r="D1062" i="3"/>
  <c r="C1062" i="3"/>
  <c r="D1061" i="3"/>
  <c r="C1061" i="3"/>
  <c r="D1060" i="3"/>
  <c r="C1060" i="3"/>
  <c r="D1059" i="3"/>
  <c r="C1059" i="3"/>
  <c r="D1058" i="3"/>
  <c r="C1058" i="3"/>
  <c r="D1057" i="3"/>
  <c r="C1057" i="3"/>
  <c r="D1056" i="3"/>
  <c r="C1056" i="3"/>
  <c r="D1055" i="3"/>
  <c r="C1055" i="3"/>
  <c r="D1054" i="3"/>
  <c r="C1054" i="3"/>
  <c r="D1053" i="3"/>
  <c r="C1053" i="3"/>
  <c r="D1052" i="3"/>
  <c r="C1052" i="3"/>
  <c r="D1051" i="3"/>
  <c r="C1051" i="3"/>
  <c r="D1050" i="3"/>
  <c r="C1050" i="3"/>
  <c r="D1049" i="3"/>
  <c r="C1049" i="3"/>
  <c r="D1048" i="3"/>
  <c r="C1048" i="3"/>
  <c r="D1047" i="3"/>
  <c r="C1047" i="3"/>
  <c r="D1046" i="3"/>
  <c r="C1046" i="3"/>
  <c r="D1045" i="3"/>
  <c r="C1045" i="3"/>
  <c r="D1044" i="3"/>
  <c r="C1044" i="3"/>
  <c r="D1043" i="3"/>
  <c r="C1043" i="3"/>
  <c r="D1042" i="3"/>
  <c r="C1042" i="3"/>
  <c r="D1041" i="3"/>
  <c r="C1041" i="3"/>
  <c r="D1040" i="3"/>
  <c r="C1040" i="3"/>
  <c r="D1039" i="3"/>
  <c r="C1039" i="3"/>
  <c r="D1038" i="3"/>
  <c r="C1038" i="3"/>
  <c r="D1037" i="3"/>
  <c r="C1037" i="3"/>
  <c r="D1036" i="3"/>
  <c r="C1036" i="3"/>
  <c r="D1035" i="3"/>
  <c r="C1035" i="3"/>
  <c r="D1034" i="3"/>
  <c r="C1034" i="3"/>
  <c r="D1033" i="3"/>
  <c r="C1033" i="3"/>
  <c r="D1032" i="3"/>
  <c r="C1032" i="3"/>
  <c r="D1031" i="3"/>
  <c r="C1031" i="3"/>
  <c r="D1030" i="3"/>
  <c r="C1030" i="3"/>
  <c r="D1029" i="3"/>
  <c r="C1029" i="3"/>
  <c r="D1028" i="3"/>
  <c r="C1028" i="3"/>
  <c r="D1027" i="3"/>
  <c r="C1027" i="3"/>
  <c r="D1026" i="3"/>
  <c r="C1026" i="3"/>
  <c r="D1025" i="3"/>
  <c r="C1025" i="3"/>
  <c r="D1024" i="3"/>
  <c r="C1024" i="3"/>
  <c r="D1023" i="3"/>
  <c r="C1023" i="3"/>
  <c r="D1022" i="3"/>
  <c r="C1022" i="3"/>
  <c r="D1021" i="3"/>
  <c r="C1021" i="3"/>
  <c r="D1020" i="3"/>
  <c r="C1020" i="3"/>
  <c r="D1019" i="3"/>
  <c r="C1019" i="3"/>
  <c r="D1018" i="3"/>
  <c r="C1018" i="3"/>
  <c r="D1017" i="3"/>
  <c r="C1017" i="3"/>
  <c r="D1016" i="3"/>
  <c r="C1016" i="3"/>
  <c r="D1015" i="3"/>
  <c r="C1015" i="3"/>
  <c r="D1014" i="3"/>
  <c r="C1014" i="3"/>
  <c r="D1013" i="3"/>
  <c r="C1013" i="3"/>
  <c r="D1012" i="3"/>
  <c r="C1012" i="3"/>
  <c r="D1011" i="3"/>
  <c r="C1011" i="3"/>
  <c r="D1010" i="3"/>
  <c r="C1010" i="3"/>
  <c r="D1009" i="3"/>
  <c r="C1009" i="3"/>
  <c r="D1008" i="3"/>
  <c r="C1008" i="3"/>
  <c r="D1007" i="3"/>
  <c r="C1007" i="3"/>
  <c r="D1006" i="3"/>
  <c r="C1006" i="3"/>
  <c r="D1005" i="3"/>
  <c r="C1005" i="3"/>
  <c r="D1004" i="3"/>
  <c r="C1004" i="3"/>
  <c r="D1003" i="3"/>
  <c r="C1003" i="3"/>
  <c r="D1002" i="3"/>
  <c r="C1002" i="3"/>
  <c r="D1001" i="3"/>
  <c r="C1001" i="3"/>
  <c r="D1000" i="3"/>
  <c r="C1000" i="3"/>
  <c r="D999" i="3"/>
  <c r="C999" i="3"/>
  <c r="D998" i="3"/>
  <c r="C998" i="3"/>
  <c r="D997" i="3"/>
  <c r="C997" i="3"/>
  <c r="D996" i="3"/>
  <c r="C996" i="3"/>
  <c r="D995" i="3"/>
  <c r="C995" i="3"/>
  <c r="D994" i="3"/>
  <c r="C994" i="3"/>
  <c r="D993" i="3"/>
  <c r="C993" i="3"/>
  <c r="D992" i="3"/>
  <c r="C992" i="3"/>
  <c r="D991" i="3"/>
  <c r="C991" i="3"/>
  <c r="D990" i="3"/>
  <c r="C990" i="3"/>
  <c r="D989" i="3"/>
  <c r="C989" i="3"/>
  <c r="D988" i="3"/>
  <c r="C988" i="3"/>
  <c r="D987" i="3"/>
  <c r="C987" i="3"/>
  <c r="D986" i="3"/>
  <c r="C986" i="3"/>
  <c r="D985" i="3"/>
  <c r="C985" i="3"/>
  <c r="D984" i="3"/>
  <c r="C984" i="3"/>
  <c r="D983" i="3"/>
  <c r="C983" i="3"/>
  <c r="D982" i="3"/>
  <c r="C982" i="3"/>
  <c r="D981" i="3"/>
  <c r="C981" i="3"/>
  <c r="D980" i="3"/>
  <c r="C980" i="3"/>
  <c r="D979" i="3"/>
  <c r="C979" i="3"/>
  <c r="D978" i="3"/>
  <c r="C978" i="3"/>
  <c r="D977" i="3"/>
  <c r="C977" i="3"/>
  <c r="D976" i="3"/>
  <c r="C976" i="3"/>
  <c r="D975" i="3"/>
  <c r="C975" i="3"/>
  <c r="D974" i="3"/>
  <c r="C974" i="3"/>
  <c r="D973" i="3"/>
  <c r="C973" i="3"/>
  <c r="D972" i="3"/>
  <c r="C972" i="3"/>
  <c r="D971" i="3"/>
  <c r="C971" i="3"/>
  <c r="D970" i="3"/>
  <c r="C970" i="3"/>
  <c r="D969" i="3"/>
  <c r="C969" i="3"/>
  <c r="D968" i="3"/>
  <c r="C968" i="3"/>
  <c r="D967" i="3"/>
  <c r="C967" i="3"/>
  <c r="D966" i="3"/>
  <c r="C966" i="3"/>
  <c r="D965" i="3"/>
  <c r="C965" i="3"/>
  <c r="D964" i="3"/>
  <c r="C964" i="3"/>
  <c r="D963" i="3"/>
  <c r="C963" i="3"/>
  <c r="D962" i="3"/>
  <c r="C962" i="3"/>
  <c r="D961" i="3"/>
  <c r="C961" i="3"/>
  <c r="D960" i="3"/>
  <c r="C960" i="3"/>
  <c r="D959" i="3"/>
  <c r="C959" i="3"/>
  <c r="D958" i="3"/>
  <c r="C958" i="3"/>
  <c r="D957" i="3"/>
  <c r="C957" i="3"/>
  <c r="D956" i="3"/>
  <c r="C956" i="3"/>
  <c r="D955" i="3"/>
  <c r="C955" i="3"/>
  <c r="D954" i="3"/>
  <c r="C954" i="3"/>
  <c r="D953" i="3"/>
  <c r="C953" i="3"/>
  <c r="D952" i="3"/>
  <c r="C952" i="3"/>
  <c r="D951" i="3"/>
  <c r="C951" i="3"/>
  <c r="D950" i="3"/>
  <c r="C950" i="3"/>
  <c r="D949" i="3"/>
  <c r="C949" i="3"/>
  <c r="D948" i="3"/>
  <c r="C948" i="3"/>
  <c r="D947" i="3"/>
  <c r="C947" i="3"/>
  <c r="D946" i="3"/>
  <c r="C946" i="3"/>
  <c r="D945" i="3"/>
  <c r="C945" i="3"/>
  <c r="D944" i="3"/>
  <c r="C944" i="3"/>
  <c r="D943" i="3"/>
  <c r="C943" i="3"/>
  <c r="D942" i="3"/>
  <c r="C942" i="3"/>
  <c r="D941" i="3"/>
  <c r="C941" i="3"/>
  <c r="D940" i="3"/>
  <c r="C940" i="3"/>
  <c r="D939" i="3"/>
  <c r="C939" i="3"/>
  <c r="D938" i="3"/>
  <c r="C938" i="3"/>
  <c r="D937" i="3"/>
  <c r="C937" i="3"/>
  <c r="D936" i="3"/>
  <c r="C936" i="3"/>
  <c r="D935" i="3"/>
  <c r="C935" i="3"/>
  <c r="D934" i="3"/>
  <c r="C934" i="3"/>
  <c r="D933" i="3"/>
  <c r="C933" i="3"/>
  <c r="D932" i="3"/>
  <c r="C932" i="3"/>
  <c r="D931" i="3"/>
  <c r="C931" i="3"/>
  <c r="D930" i="3"/>
  <c r="C930" i="3"/>
  <c r="D929" i="3"/>
  <c r="C929" i="3"/>
  <c r="D928" i="3"/>
  <c r="C928" i="3"/>
  <c r="D927" i="3"/>
  <c r="C927" i="3"/>
  <c r="D926" i="3"/>
  <c r="C926" i="3"/>
  <c r="D925" i="3"/>
  <c r="C925" i="3"/>
  <c r="D924" i="3"/>
  <c r="C924" i="3"/>
  <c r="D923" i="3"/>
  <c r="C923" i="3"/>
  <c r="D922" i="3"/>
  <c r="C922" i="3"/>
  <c r="D921" i="3"/>
  <c r="C921" i="3"/>
  <c r="D920" i="3"/>
  <c r="C920" i="3"/>
  <c r="D919" i="3"/>
  <c r="C919" i="3"/>
  <c r="D918" i="3"/>
  <c r="C918" i="3"/>
  <c r="D917" i="3"/>
  <c r="C917" i="3"/>
  <c r="D916" i="3"/>
  <c r="C916" i="3"/>
  <c r="D915" i="3"/>
  <c r="C915" i="3"/>
  <c r="D914" i="3"/>
  <c r="C914" i="3"/>
  <c r="D913" i="3"/>
  <c r="C913" i="3"/>
  <c r="D912" i="3"/>
  <c r="C912" i="3"/>
  <c r="D911" i="3"/>
  <c r="C911" i="3"/>
  <c r="D910" i="3"/>
  <c r="C910" i="3"/>
  <c r="D909" i="3"/>
  <c r="C909" i="3"/>
  <c r="D908" i="3"/>
  <c r="C908" i="3"/>
  <c r="D907" i="3"/>
  <c r="C907" i="3"/>
  <c r="D906" i="3"/>
  <c r="C906" i="3"/>
  <c r="D905" i="3"/>
  <c r="C905" i="3"/>
  <c r="D904" i="3"/>
  <c r="C904" i="3"/>
  <c r="D903" i="3"/>
  <c r="C903" i="3"/>
  <c r="D902" i="3"/>
  <c r="C902" i="3"/>
  <c r="D901" i="3"/>
  <c r="C901" i="3"/>
  <c r="D900" i="3"/>
  <c r="C900" i="3"/>
  <c r="D899" i="3"/>
  <c r="C899" i="3"/>
  <c r="D898" i="3"/>
  <c r="C898" i="3"/>
  <c r="D897" i="3"/>
  <c r="C897" i="3"/>
  <c r="D896" i="3"/>
  <c r="C896" i="3"/>
  <c r="D895" i="3"/>
  <c r="C895" i="3"/>
  <c r="D894" i="3"/>
  <c r="C894" i="3"/>
  <c r="D893" i="3"/>
  <c r="C893" i="3"/>
  <c r="D892" i="3"/>
  <c r="C892" i="3"/>
  <c r="D891" i="3"/>
  <c r="C891" i="3"/>
  <c r="D890" i="3"/>
  <c r="C890" i="3"/>
  <c r="D889" i="3"/>
  <c r="C889" i="3"/>
  <c r="D888" i="3"/>
  <c r="C888" i="3"/>
  <c r="D887" i="3"/>
  <c r="C887" i="3"/>
  <c r="D886" i="3"/>
  <c r="C886" i="3"/>
  <c r="D885" i="3"/>
  <c r="C885" i="3"/>
  <c r="D884" i="3"/>
  <c r="C884" i="3"/>
  <c r="D883" i="3"/>
  <c r="C883" i="3"/>
  <c r="D882" i="3"/>
  <c r="C882" i="3"/>
  <c r="D881" i="3"/>
  <c r="C881" i="3"/>
  <c r="D880" i="3"/>
  <c r="C880" i="3"/>
  <c r="D879" i="3"/>
  <c r="C879" i="3"/>
  <c r="D878" i="3"/>
  <c r="C878" i="3"/>
  <c r="D877" i="3"/>
  <c r="C877" i="3"/>
  <c r="D876" i="3"/>
  <c r="C876" i="3"/>
  <c r="D875" i="3"/>
  <c r="C875" i="3"/>
  <c r="D874" i="3"/>
  <c r="C874" i="3"/>
  <c r="D873" i="3"/>
  <c r="C873" i="3"/>
  <c r="D872" i="3"/>
  <c r="C872" i="3"/>
  <c r="D871" i="3"/>
  <c r="C871" i="3"/>
  <c r="D870" i="3"/>
  <c r="C870" i="3"/>
  <c r="D869" i="3"/>
  <c r="C869" i="3"/>
  <c r="D868" i="3"/>
  <c r="C868" i="3"/>
  <c r="D867" i="3"/>
  <c r="C867" i="3"/>
  <c r="D866" i="3"/>
  <c r="C866" i="3"/>
  <c r="D865" i="3"/>
  <c r="C865" i="3"/>
  <c r="D864" i="3"/>
  <c r="C864" i="3"/>
  <c r="D863" i="3"/>
  <c r="C863" i="3"/>
  <c r="D862" i="3"/>
  <c r="C862" i="3"/>
  <c r="D861" i="3"/>
  <c r="C861" i="3"/>
  <c r="D860" i="3"/>
  <c r="C860" i="3"/>
  <c r="D859" i="3"/>
  <c r="C859" i="3"/>
  <c r="D858" i="3"/>
  <c r="C858" i="3"/>
  <c r="D857" i="3"/>
  <c r="C857" i="3"/>
  <c r="D856" i="3"/>
  <c r="C856" i="3"/>
  <c r="D855" i="3"/>
  <c r="C855" i="3"/>
  <c r="D854" i="3"/>
  <c r="C854" i="3"/>
  <c r="D853" i="3"/>
  <c r="C853" i="3"/>
  <c r="D852" i="3"/>
  <c r="C852" i="3"/>
  <c r="D851" i="3"/>
  <c r="C851" i="3"/>
  <c r="D850" i="3"/>
  <c r="C850" i="3"/>
  <c r="D849" i="3"/>
  <c r="C849" i="3"/>
  <c r="D848" i="3"/>
  <c r="C848" i="3"/>
  <c r="D847" i="3"/>
  <c r="C847" i="3"/>
  <c r="D846" i="3"/>
  <c r="C846" i="3"/>
  <c r="D845" i="3"/>
  <c r="C845" i="3"/>
  <c r="D844" i="3"/>
  <c r="C844" i="3"/>
  <c r="D843" i="3"/>
  <c r="C843" i="3"/>
  <c r="D842" i="3"/>
  <c r="C842" i="3"/>
  <c r="D841" i="3"/>
  <c r="C841" i="3"/>
  <c r="D840" i="3"/>
  <c r="C840" i="3"/>
  <c r="D839" i="3"/>
  <c r="C839" i="3"/>
  <c r="D838" i="3"/>
  <c r="C838" i="3"/>
  <c r="D837" i="3"/>
  <c r="C837" i="3"/>
  <c r="D836" i="3"/>
  <c r="C836" i="3"/>
  <c r="D835" i="3"/>
  <c r="C835" i="3"/>
  <c r="D834" i="3"/>
  <c r="C834" i="3"/>
  <c r="D833" i="3"/>
  <c r="C833" i="3"/>
  <c r="D832" i="3"/>
  <c r="C832" i="3"/>
  <c r="D831" i="3"/>
  <c r="C831" i="3"/>
  <c r="D830" i="3"/>
  <c r="C830" i="3"/>
  <c r="D829" i="3"/>
  <c r="C829" i="3"/>
  <c r="D828" i="3"/>
  <c r="C828" i="3"/>
  <c r="D827" i="3"/>
  <c r="C827" i="3"/>
  <c r="D826" i="3"/>
  <c r="C826" i="3"/>
  <c r="D825" i="3"/>
  <c r="C825" i="3"/>
  <c r="D824" i="3"/>
  <c r="C824" i="3"/>
  <c r="D823" i="3"/>
  <c r="C823" i="3"/>
  <c r="D822" i="3"/>
  <c r="C822" i="3"/>
  <c r="D821" i="3"/>
  <c r="C821" i="3"/>
  <c r="D820" i="3"/>
  <c r="C820" i="3"/>
  <c r="D819" i="3"/>
  <c r="C819" i="3"/>
  <c r="D818" i="3"/>
  <c r="C818" i="3"/>
  <c r="D817" i="3"/>
  <c r="C817" i="3"/>
  <c r="D816" i="3"/>
  <c r="C816" i="3"/>
  <c r="D815" i="3"/>
  <c r="C815" i="3"/>
  <c r="D814" i="3"/>
  <c r="C814" i="3"/>
  <c r="D813" i="3"/>
  <c r="C813" i="3"/>
  <c r="D812" i="3"/>
  <c r="C812" i="3"/>
  <c r="D811" i="3"/>
  <c r="C811" i="3"/>
  <c r="D810" i="3"/>
  <c r="C810" i="3"/>
  <c r="D809" i="3"/>
  <c r="C809" i="3"/>
  <c r="D808" i="3"/>
  <c r="C808" i="3"/>
  <c r="D807" i="3"/>
  <c r="C807" i="3"/>
  <c r="D806" i="3"/>
  <c r="C806" i="3"/>
  <c r="D805" i="3"/>
  <c r="C805" i="3"/>
  <c r="D804" i="3"/>
  <c r="C804" i="3"/>
  <c r="D803" i="3"/>
  <c r="C803" i="3"/>
  <c r="D802" i="3"/>
  <c r="C802" i="3"/>
  <c r="D801" i="3"/>
  <c r="C801" i="3"/>
  <c r="D800" i="3"/>
  <c r="C800" i="3"/>
  <c r="D799" i="3"/>
  <c r="C799" i="3"/>
  <c r="D798" i="3"/>
  <c r="C798" i="3"/>
  <c r="D797" i="3"/>
  <c r="C797" i="3"/>
  <c r="D796" i="3"/>
  <c r="C796" i="3"/>
  <c r="D795" i="3"/>
  <c r="C795" i="3"/>
  <c r="D794" i="3"/>
  <c r="C794" i="3"/>
  <c r="D793" i="3"/>
  <c r="C793" i="3"/>
  <c r="D792" i="3"/>
  <c r="C792" i="3"/>
  <c r="D791" i="3"/>
  <c r="C791" i="3"/>
  <c r="D790" i="3"/>
  <c r="C790" i="3"/>
  <c r="D789" i="3"/>
  <c r="C789" i="3"/>
  <c r="D788" i="3"/>
  <c r="C788" i="3"/>
  <c r="D787" i="3"/>
  <c r="C787" i="3"/>
  <c r="D786" i="3"/>
  <c r="C786" i="3"/>
  <c r="D785" i="3"/>
  <c r="C785" i="3"/>
  <c r="D784" i="3"/>
  <c r="C784" i="3"/>
  <c r="D783" i="3"/>
  <c r="C783" i="3"/>
  <c r="D782" i="3"/>
  <c r="C782" i="3"/>
  <c r="D781" i="3"/>
  <c r="C781" i="3"/>
  <c r="D780" i="3"/>
  <c r="C780" i="3"/>
  <c r="D779" i="3"/>
  <c r="C779" i="3"/>
  <c r="D778" i="3"/>
  <c r="C778" i="3"/>
  <c r="D777" i="3"/>
  <c r="C777" i="3"/>
  <c r="D776" i="3"/>
  <c r="C776" i="3"/>
  <c r="D775" i="3"/>
  <c r="C775" i="3"/>
  <c r="D774" i="3"/>
  <c r="C774" i="3"/>
  <c r="D773" i="3"/>
  <c r="C773" i="3"/>
  <c r="D772" i="3"/>
  <c r="C772" i="3"/>
  <c r="D771" i="3"/>
  <c r="C771" i="3"/>
  <c r="D770" i="3"/>
  <c r="C770" i="3"/>
  <c r="D769" i="3"/>
  <c r="C769" i="3"/>
  <c r="D768" i="3"/>
  <c r="C768" i="3"/>
  <c r="D767" i="3"/>
  <c r="C767" i="3"/>
  <c r="D766" i="3"/>
  <c r="C766" i="3"/>
  <c r="D765" i="3"/>
  <c r="C765" i="3"/>
  <c r="D764" i="3"/>
  <c r="C764" i="3"/>
  <c r="D763" i="3"/>
  <c r="C763" i="3"/>
  <c r="D762" i="3"/>
  <c r="C762" i="3"/>
  <c r="D761" i="3"/>
  <c r="C761" i="3"/>
  <c r="D760" i="3"/>
  <c r="C760" i="3"/>
  <c r="D759" i="3"/>
  <c r="C759" i="3"/>
  <c r="D758" i="3"/>
  <c r="C758" i="3"/>
  <c r="D757" i="3"/>
  <c r="C757" i="3"/>
  <c r="D756" i="3"/>
  <c r="C756" i="3"/>
  <c r="D755" i="3"/>
  <c r="C755" i="3"/>
  <c r="D754" i="3"/>
  <c r="C754" i="3"/>
  <c r="D753" i="3"/>
  <c r="C753" i="3"/>
  <c r="D752" i="3"/>
  <c r="C752" i="3"/>
  <c r="D751" i="3"/>
  <c r="C751" i="3"/>
  <c r="D750" i="3"/>
  <c r="C750" i="3"/>
  <c r="D749" i="3"/>
  <c r="C749" i="3"/>
  <c r="D748" i="3"/>
  <c r="C748" i="3"/>
  <c r="D747" i="3"/>
  <c r="C747" i="3"/>
  <c r="D746" i="3"/>
  <c r="C746" i="3"/>
  <c r="D745" i="3"/>
  <c r="C745" i="3"/>
  <c r="D744" i="3"/>
  <c r="C744" i="3"/>
  <c r="D743" i="3"/>
  <c r="C743" i="3"/>
  <c r="D742" i="3"/>
  <c r="C742" i="3"/>
  <c r="D741" i="3"/>
  <c r="C741" i="3"/>
  <c r="D740" i="3"/>
  <c r="C740" i="3"/>
  <c r="D739" i="3"/>
  <c r="C739" i="3"/>
  <c r="D738" i="3"/>
  <c r="C738" i="3"/>
  <c r="D737" i="3"/>
  <c r="C737" i="3"/>
  <c r="D736" i="3"/>
  <c r="C736" i="3"/>
  <c r="D735" i="3"/>
  <c r="C735" i="3"/>
  <c r="D734" i="3"/>
  <c r="C734" i="3"/>
  <c r="D733" i="3"/>
  <c r="C733" i="3"/>
  <c r="D732" i="3"/>
  <c r="C732" i="3"/>
  <c r="D731" i="3"/>
  <c r="C731" i="3"/>
  <c r="D730" i="3"/>
  <c r="C730" i="3"/>
  <c r="D729" i="3"/>
  <c r="C729" i="3"/>
  <c r="D728" i="3"/>
  <c r="C728" i="3"/>
  <c r="D727" i="3"/>
  <c r="C727" i="3"/>
  <c r="D726" i="3"/>
  <c r="C726" i="3"/>
  <c r="D725" i="3"/>
  <c r="C725" i="3"/>
  <c r="D724" i="3"/>
  <c r="C724" i="3"/>
  <c r="D723" i="3"/>
  <c r="C723" i="3"/>
  <c r="D722" i="3"/>
  <c r="C722" i="3"/>
  <c r="D721" i="3"/>
  <c r="C721" i="3"/>
  <c r="D720" i="3"/>
  <c r="C720" i="3"/>
  <c r="D719" i="3"/>
  <c r="C719" i="3"/>
  <c r="D718" i="3"/>
  <c r="C718" i="3"/>
  <c r="D717" i="3"/>
  <c r="C717" i="3"/>
  <c r="D716" i="3"/>
  <c r="C716" i="3"/>
  <c r="D715" i="3"/>
  <c r="C715" i="3"/>
  <c r="D714" i="3"/>
  <c r="C714" i="3"/>
  <c r="D713" i="3"/>
  <c r="C713" i="3"/>
  <c r="D712" i="3"/>
  <c r="C712" i="3"/>
  <c r="D711" i="3"/>
  <c r="C711" i="3"/>
  <c r="D710" i="3"/>
  <c r="C710" i="3"/>
  <c r="D709" i="3"/>
  <c r="C709" i="3"/>
  <c r="D708" i="3"/>
  <c r="C708" i="3"/>
  <c r="D707" i="3"/>
  <c r="C707" i="3"/>
  <c r="D706" i="3"/>
  <c r="C706" i="3"/>
  <c r="D705" i="3"/>
  <c r="C705" i="3"/>
  <c r="D704" i="3"/>
  <c r="C704" i="3"/>
  <c r="D703" i="3"/>
  <c r="C703" i="3"/>
  <c r="D702" i="3"/>
  <c r="C702" i="3"/>
  <c r="D701" i="3"/>
  <c r="C701" i="3"/>
  <c r="D700" i="3"/>
  <c r="C700" i="3"/>
  <c r="D699" i="3"/>
  <c r="C699" i="3"/>
  <c r="D698" i="3"/>
  <c r="C698" i="3"/>
  <c r="D697" i="3"/>
  <c r="C697" i="3"/>
  <c r="D696" i="3"/>
  <c r="C696" i="3"/>
  <c r="D695" i="3"/>
  <c r="C695" i="3"/>
  <c r="D694" i="3"/>
  <c r="C694" i="3"/>
  <c r="D693" i="3"/>
  <c r="C693" i="3"/>
  <c r="D692" i="3"/>
  <c r="C692" i="3"/>
  <c r="D691" i="3"/>
  <c r="C691" i="3"/>
  <c r="D690" i="3"/>
  <c r="C690" i="3"/>
  <c r="D689" i="3"/>
  <c r="C689" i="3"/>
  <c r="D688" i="3"/>
  <c r="C688" i="3"/>
  <c r="D687" i="3"/>
  <c r="C687" i="3"/>
  <c r="D686" i="3"/>
  <c r="C686" i="3"/>
  <c r="D685" i="3"/>
  <c r="C685" i="3"/>
  <c r="D684" i="3"/>
  <c r="C684" i="3"/>
  <c r="D683" i="3"/>
  <c r="C683" i="3"/>
  <c r="D682" i="3"/>
  <c r="C682" i="3"/>
  <c r="D681" i="3"/>
  <c r="C681" i="3"/>
  <c r="D680" i="3"/>
  <c r="C680" i="3"/>
  <c r="D679" i="3"/>
  <c r="C679" i="3"/>
  <c r="D678" i="3"/>
  <c r="C678" i="3"/>
  <c r="D677" i="3"/>
  <c r="C677" i="3"/>
  <c r="D676" i="3"/>
  <c r="C676" i="3"/>
  <c r="D675" i="3"/>
  <c r="C675" i="3"/>
  <c r="D674" i="3"/>
  <c r="C674" i="3"/>
  <c r="D673" i="3"/>
  <c r="C673" i="3"/>
  <c r="D672" i="3"/>
  <c r="C672" i="3"/>
  <c r="D671" i="3"/>
  <c r="C671" i="3"/>
  <c r="D670" i="3"/>
  <c r="C670" i="3"/>
  <c r="D669" i="3"/>
  <c r="C669" i="3"/>
  <c r="D668" i="3"/>
  <c r="C668" i="3"/>
  <c r="D667" i="3"/>
  <c r="C667" i="3"/>
  <c r="D666" i="3"/>
  <c r="C666" i="3"/>
  <c r="D665" i="3"/>
  <c r="C665" i="3"/>
  <c r="D664" i="3"/>
  <c r="C664" i="3"/>
  <c r="D663" i="3"/>
  <c r="C663" i="3"/>
  <c r="D662" i="3"/>
  <c r="C662" i="3"/>
  <c r="D661" i="3"/>
  <c r="C661" i="3"/>
  <c r="D660" i="3"/>
  <c r="C660" i="3"/>
  <c r="D659" i="3"/>
  <c r="C659" i="3"/>
  <c r="D658" i="3"/>
  <c r="C658" i="3"/>
  <c r="D657" i="3"/>
  <c r="C657" i="3"/>
  <c r="D656" i="3"/>
  <c r="C656" i="3"/>
  <c r="D655" i="3"/>
  <c r="C655" i="3"/>
  <c r="D654" i="3"/>
  <c r="C654" i="3"/>
  <c r="D653" i="3"/>
  <c r="C653" i="3"/>
  <c r="D652" i="3"/>
  <c r="C652" i="3"/>
  <c r="D651" i="3"/>
  <c r="C651" i="3"/>
  <c r="D650" i="3"/>
  <c r="C650" i="3"/>
  <c r="D649" i="3"/>
  <c r="C649" i="3"/>
  <c r="D648" i="3"/>
  <c r="C648" i="3"/>
  <c r="D647" i="3"/>
  <c r="C647" i="3"/>
  <c r="D646" i="3"/>
  <c r="C646" i="3"/>
  <c r="D645" i="3"/>
  <c r="C645" i="3"/>
  <c r="D644" i="3"/>
  <c r="C644" i="3"/>
  <c r="D643" i="3"/>
  <c r="C643" i="3"/>
  <c r="D642" i="3"/>
  <c r="C642" i="3"/>
  <c r="D641" i="3"/>
  <c r="C641" i="3"/>
  <c r="D640" i="3"/>
  <c r="C640" i="3"/>
  <c r="D639" i="3"/>
  <c r="C639" i="3"/>
  <c r="D638" i="3"/>
  <c r="C638" i="3"/>
  <c r="D637" i="3"/>
  <c r="C637" i="3"/>
  <c r="D636" i="3"/>
  <c r="C636" i="3"/>
  <c r="D635" i="3"/>
  <c r="C635" i="3"/>
  <c r="D634" i="3"/>
  <c r="C634" i="3"/>
  <c r="D633" i="3"/>
  <c r="C633" i="3"/>
  <c r="D632" i="3"/>
  <c r="C632" i="3"/>
  <c r="D631" i="3"/>
  <c r="C631" i="3"/>
  <c r="D630" i="3"/>
  <c r="C630" i="3"/>
  <c r="D629" i="3"/>
  <c r="C629" i="3"/>
  <c r="D628" i="3"/>
  <c r="C628" i="3"/>
  <c r="D627" i="3"/>
  <c r="C627" i="3"/>
  <c r="D626" i="3"/>
  <c r="C626" i="3"/>
  <c r="D625" i="3"/>
  <c r="C625" i="3"/>
  <c r="D624" i="3"/>
  <c r="C624" i="3"/>
  <c r="D623" i="3"/>
  <c r="C623" i="3"/>
  <c r="D622" i="3"/>
  <c r="C622" i="3"/>
  <c r="D621" i="3"/>
  <c r="C621" i="3"/>
  <c r="D620" i="3"/>
  <c r="C620" i="3"/>
  <c r="D619" i="3"/>
  <c r="C619" i="3"/>
  <c r="D618" i="3"/>
  <c r="C618" i="3"/>
  <c r="D617" i="3"/>
  <c r="C617" i="3"/>
  <c r="D616" i="3"/>
  <c r="C616" i="3"/>
  <c r="D615" i="3"/>
  <c r="C615" i="3"/>
  <c r="D614" i="3"/>
  <c r="C614" i="3"/>
  <c r="D613" i="3"/>
  <c r="C613" i="3"/>
  <c r="D612" i="3"/>
  <c r="C612" i="3"/>
  <c r="D611" i="3"/>
  <c r="C611" i="3"/>
  <c r="D610" i="3"/>
  <c r="C610" i="3"/>
  <c r="D609" i="3"/>
  <c r="C609" i="3"/>
  <c r="D608" i="3"/>
  <c r="C608" i="3"/>
  <c r="D607" i="3"/>
  <c r="C607" i="3"/>
  <c r="D606" i="3"/>
  <c r="C606" i="3"/>
  <c r="D605" i="3"/>
  <c r="C605" i="3"/>
  <c r="D604" i="3"/>
  <c r="C604" i="3"/>
  <c r="D603" i="3"/>
  <c r="C603" i="3"/>
  <c r="D602" i="3"/>
  <c r="C602" i="3"/>
  <c r="D601" i="3"/>
  <c r="C601" i="3"/>
  <c r="D600" i="3"/>
  <c r="C600" i="3"/>
  <c r="D599" i="3"/>
  <c r="C599" i="3"/>
  <c r="D598" i="3"/>
  <c r="C598" i="3"/>
  <c r="D597" i="3"/>
  <c r="C597" i="3"/>
  <c r="D596" i="3"/>
  <c r="C596" i="3"/>
  <c r="D595" i="3"/>
  <c r="C595" i="3"/>
  <c r="D594" i="3"/>
  <c r="C594" i="3"/>
  <c r="D593" i="3"/>
  <c r="C593" i="3"/>
  <c r="D592" i="3"/>
  <c r="C592" i="3"/>
  <c r="D591" i="3"/>
  <c r="C591" i="3"/>
  <c r="D590" i="3"/>
  <c r="C590" i="3"/>
  <c r="D589" i="3"/>
  <c r="C589" i="3"/>
  <c r="D588" i="3"/>
  <c r="C588" i="3"/>
  <c r="D587" i="3"/>
  <c r="C587" i="3"/>
  <c r="D586" i="3"/>
  <c r="C586" i="3"/>
  <c r="D585" i="3"/>
  <c r="C585" i="3"/>
  <c r="D584" i="3"/>
  <c r="C584" i="3"/>
  <c r="D583" i="3"/>
  <c r="C583" i="3"/>
  <c r="D582" i="3"/>
  <c r="C582" i="3"/>
  <c r="D581" i="3"/>
  <c r="C581" i="3"/>
  <c r="D580" i="3"/>
  <c r="C580" i="3"/>
  <c r="D579" i="3"/>
  <c r="C579" i="3"/>
  <c r="D578" i="3"/>
  <c r="C578" i="3"/>
  <c r="D577" i="3"/>
  <c r="C577" i="3"/>
  <c r="D576" i="3"/>
  <c r="C576" i="3"/>
  <c r="D575" i="3"/>
  <c r="C575" i="3"/>
  <c r="D574" i="3"/>
  <c r="C574" i="3"/>
  <c r="D573" i="3"/>
  <c r="C573" i="3"/>
  <c r="D572" i="3"/>
  <c r="C572" i="3"/>
  <c r="D571" i="3"/>
  <c r="C571" i="3"/>
  <c r="D570" i="3"/>
  <c r="C570" i="3"/>
  <c r="D569" i="3"/>
  <c r="C569" i="3"/>
  <c r="D568" i="3"/>
  <c r="C568" i="3"/>
  <c r="D567" i="3"/>
  <c r="C567" i="3"/>
  <c r="D566" i="3"/>
  <c r="C566" i="3"/>
  <c r="D565" i="3"/>
  <c r="C565" i="3"/>
  <c r="D564" i="3"/>
  <c r="C564" i="3"/>
  <c r="D563" i="3"/>
  <c r="C563" i="3"/>
  <c r="D562" i="3"/>
  <c r="C562" i="3"/>
  <c r="D561" i="3"/>
  <c r="C561" i="3"/>
  <c r="D560" i="3"/>
  <c r="C560" i="3"/>
  <c r="D559" i="3"/>
  <c r="C559" i="3"/>
  <c r="D558" i="3"/>
  <c r="C558" i="3"/>
  <c r="D557" i="3"/>
  <c r="C557" i="3"/>
  <c r="D556" i="3"/>
  <c r="C556" i="3"/>
  <c r="D555" i="3"/>
  <c r="C555" i="3"/>
  <c r="D554" i="3"/>
  <c r="C554" i="3"/>
  <c r="D553" i="3"/>
  <c r="C553" i="3"/>
  <c r="D552" i="3"/>
  <c r="C552" i="3"/>
  <c r="D551" i="3"/>
  <c r="C551" i="3"/>
  <c r="D550" i="3"/>
  <c r="C550" i="3"/>
  <c r="D549" i="3"/>
  <c r="C549" i="3"/>
  <c r="D548" i="3"/>
  <c r="C548" i="3"/>
  <c r="D547" i="3"/>
  <c r="C547" i="3"/>
  <c r="D546" i="3"/>
  <c r="C546" i="3"/>
  <c r="D545" i="3"/>
  <c r="C545" i="3"/>
  <c r="D544" i="3"/>
  <c r="C544" i="3"/>
  <c r="D543" i="3"/>
  <c r="C543" i="3"/>
  <c r="D542" i="3"/>
  <c r="C542" i="3"/>
  <c r="D541" i="3"/>
  <c r="C541" i="3"/>
  <c r="D540" i="3"/>
  <c r="C540" i="3"/>
  <c r="D539" i="3"/>
  <c r="C539" i="3"/>
  <c r="D538" i="3"/>
  <c r="C538" i="3"/>
  <c r="D537" i="3"/>
  <c r="C537" i="3"/>
  <c r="D536" i="3"/>
  <c r="C536" i="3"/>
  <c r="D535" i="3"/>
  <c r="C535" i="3"/>
  <c r="D534" i="3"/>
  <c r="C534" i="3"/>
  <c r="D533" i="3"/>
  <c r="C533" i="3"/>
  <c r="D532" i="3"/>
  <c r="C532" i="3"/>
  <c r="D531" i="3"/>
  <c r="C531" i="3"/>
  <c r="D530" i="3"/>
  <c r="C530" i="3"/>
  <c r="D529" i="3"/>
  <c r="C529" i="3"/>
  <c r="D528" i="3"/>
  <c r="C528" i="3"/>
  <c r="D527" i="3"/>
  <c r="C527" i="3"/>
  <c r="D526" i="3"/>
  <c r="C526" i="3"/>
  <c r="D525" i="3"/>
  <c r="C525" i="3"/>
  <c r="D524" i="3"/>
  <c r="C524" i="3"/>
  <c r="D523" i="3"/>
  <c r="C523" i="3"/>
  <c r="D522" i="3"/>
  <c r="C522" i="3"/>
  <c r="D521" i="3"/>
  <c r="C521" i="3"/>
  <c r="D520" i="3"/>
  <c r="C520" i="3"/>
  <c r="D519" i="3"/>
  <c r="C519" i="3"/>
  <c r="D518" i="3"/>
  <c r="C518" i="3"/>
  <c r="D517" i="3"/>
  <c r="C517" i="3"/>
  <c r="D516" i="3"/>
  <c r="C516" i="3"/>
  <c r="D515" i="3"/>
  <c r="C515" i="3"/>
  <c r="D514" i="3"/>
  <c r="C514" i="3"/>
  <c r="D513" i="3"/>
  <c r="C513" i="3"/>
  <c r="D512" i="3"/>
  <c r="C512" i="3"/>
  <c r="D511" i="3"/>
  <c r="C511" i="3"/>
  <c r="D510" i="3"/>
  <c r="C510" i="3"/>
  <c r="D509" i="3"/>
  <c r="C509" i="3"/>
  <c r="D508" i="3"/>
  <c r="C508" i="3"/>
  <c r="D507" i="3"/>
  <c r="C507" i="3"/>
  <c r="D506" i="3"/>
  <c r="C506" i="3"/>
  <c r="D505" i="3"/>
  <c r="C505" i="3"/>
  <c r="D504" i="3"/>
  <c r="C504" i="3"/>
  <c r="D503" i="3"/>
  <c r="C503" i="3"/>
  <c r="D502" i="3"/>
  <c r="C502" i="3"/>
  <c r="D501" i="3"/>
  <c r="C501" i="3"/>
  <c r="D500" i="3"/>
  <c r="C500" i="3"/>
  <c r="D499" i="3"/>
  <c r="C499" i="3"/>
  <c r="D498" i="3"/>
  <c r="C498" i="3"/>
  <c r="D497" i="3"/>
  <c r="C497" i="3"/>
  <c r="D496" i="3"/>
  <c r="C496" i="3"/>
  <c r="D495" i="3"/>
  <c r="C495" i="3"/>
  <c r="D494" i="3"/>
  <c r="C494" i="3"/>
  <c r="D493" i="3"/>
  <c r="C493" i="3"/>
  <c r="D492" i="3"/>
  <c r="C492" i="3"/>
  <c r="D491" i="3"/>
  <c r="C491" i="3"/>
  <c r="D490" i="3"/>
  <c r="C490" i="3"/>
  <c r="D489" i="3"/>
  <c r="C489" i="3"/>
  <c r="D488" i="3"/>
  <c r="C488" i="3"/>
  <c r="D487" i="3"/>
  <c r="C487" i="3"/>
  <c r="D486" i="3"/>
  <c r="C486" i="3"/>
  <c r="D485" i="3"/>
  <c r="C485" i="3"/>
  <c r="D484" i="3"/>
  <c r="C484" i="3"/>
  <c r="D483" i="3"/>
  <c r="C483" i="3"/>
  <c r="D482" i="3"/>
  <c r="C482" i="3"/>
  <c r="D481" i="3"/>
  <c r="C481" i="3"/>
  <c r="D480" i="3"/>
  <c r="C480" i="3"/>
  <c r="D479" i="3"/>
  <c r="C479" i="3"/>
  <c r="D478" i="3"/>
  <c r="C478" i="3"/>
  <c r="D477" i="3"/>
  <c r="C477" i="3"/>
  <c r="D476" i="3"/>
  <c r="C476" i="3"/>
  <c r="D475" i="3"/>
  <c r="C475" i="3"/>
  <c r="D474" i="3"/>
  <c r="C474" i="3"/>
  <c r="D473" i="3"/>
  <c r="C473" i="3"/>
  <c r="D472" i="3"/>
  <c r="C472" i="3"/>
  <c r="D471" i="3"/>
  <c r="C471" i="3"/>
  <c r="D470" i="3"/>
  <c r="C470" i="3"/>
  <c r="D469" i="3"/>
  <c r="C469" i="3"/>
  <c r="D468" i="3"/>
  <c r="C468" i="3"/>
  <c r="D467" i="3"/>
  <c r="C467" i="3"/>
  <c r="D466" i="3"/>
  <c r="C466" i="3"/>
  <c r="D465" i="3"/>
  <c r="C465" i="3"/>
  <c r="D464" i="3"/>
  <c r="C464" i="3"/>
  <c r="D463" i="3"/>
  <c r="C463" i="3"/>
  <c r="D462" i="3"/>
  <c r="C462" i="3"/>
  <c r="D461" i="3"/>
  <c r="C461" i="3"/>
  <c r="D460" i="3"/>
  <c r="C460" i="3"/>
  <c r="D459" i="3"/>
  <c r="C459" i="3"/>
  <c r="D458" i="3"/>
  <c r="C458" i="3"/>
  <c r="D457" i="3"/>
  <c r="C457" i="3"/>
  <c r="D456" i="3"/>
  <c r="C456" i="3"/>
  <c r="D455" i="3"/>
  <c r="C455" i="3"/>
  <c r="D454" i="3"/>
  <c r="C454" i="3"/>
  <c r="D453" i="3"/>
  <c r="C453" i="3"/>
  <c r="D452" i="3"/>
  <c r="C452" i="3"/>
  <c r="D451" i="3"/>
  <c r="C451" i="3"/>
  <c r="D450" i="3"/>
  <c r="C450" i="3"/>
  <c r="D449" i="3"/>
  <c r="C449" i="3"/>
  <c r="D448" i="3"/>
  <c r="C448" i="3"/>
  <c r="D447" i="3"/>
  <c r="C447" i="3"/>
  <c r="D446" i="3"/>
  <c r="C446" i="3"/>
  <c r="D445" i="3"/>
  <c r="C445" i="3"/>
  <c r="D444" i="3"/>
  <c r="C444" i="3"/>
  <c r="D443" i="3"/>
  <c r="C443" i="3"/>
  <c r="D442" i="3"/>
  <c r="C442" i="3"/>
  <c r="D441" i="3"/>
  <c r="C441" i="3"/>
  <c r="D440" i="3"/>
  <c r="C440" i="3"/>
  <c r="D439" i="3"/>
  <c r="C439" i="3"/>
  <c r="D438" i="3"/>
  <c r="C438" i="3"/>
  <c r="D437" i="3"/>
  <c r="C437" i="3"/>
  <c r="D436" i="3"/>
  <c r="C436" i="3"/>
  <c r="D435" i="3"/>
  <c r="C435" i="3"/>
  <c r="D434" i="3"/>
  <c r="C434" i="3"/>
  <c r="D433" i="3"/>
  <c r="C433" i="3"/>
  <c r="D432" i="3"/>
  <c r="C432" i="3"/>
  <c r="D431" i="3"/>
  <c r="C431" i="3"/>
  <c r="D430" i="3"/>
  <c r="C430" i="3"/>
  <c r="D429" i="3"/>
  <c r="C429" i="3"/>
  <c r="D428" i="3"/>
  <c r="C428" i="3"/>
  <c r="D427" i="3"/>
  <c r="C427" i="3"/>
  <c r="D426" i="3"/>
  <c r="C426" i="3"/>
  <c r="D425" i="3"/>
  <c r="C425" i="3"/>
  <c r="D424" i="3"/>
  <c r="C424" i="3"/>
  <c r="D423" i="3"/>
  <c r="C423" i="3"/>
  <c r="D422" i="3"/>
  <c r="C422" i="3"/>
  <c r="D421" i="3"/>
  <c r="C421" i="3"/>
  <c r="D420" i="3"/>
  <c r="C420" i="3"/>
  <c r="D419" i="3"/>
  <c r="C419" i="3"/>
  <c r="D418" i="3"/>
  <c r="C418" i="3"/>
  <c r="D417" i="3"/>
  <c r="C417" i="3"/>
  <c r="D416" i="3"/>
  <c r="C416" i="3"/>
  <c r="D415" i="3"/>
  <c r="C415" i="3"/>
  <c r="D414" i="3"/>
  <c r="C414" i="3"/>
  <c r="D413" i="3"/>
  <c r="C413" i="3"/>
  <c r="D412" i="3"/>
  <c r="C412" i="3"/>
  <c r="D411" i="3"/>
  <c r="C411" i="3"/>
  <c r="D410" i="3"/>
  <c r="C410" i="3"/>
  <c r="D409" i="3"/>
  <c r="C409" i="3"/>
  <c r="D408" i="3"/>
  <c r="C408" i="3"/>
  <c r="D407" i="3"/>
  <c r="C407" i="3"/>
  <c r="D406" i="3"/>
  <c r="C406" i="3"/>
  <c r="D405" i="3"/>
  <c r="C405" i="3"/>
  <c r="D404" i="3"/>
  <c r="C404" i="3"/>
  <c r="D403" i="3"/>
  <c r="C403" i="3"/>
  <c r="D402" i="3"/>
  <c r="C402" i="3"/>
  <c r="D401" i="3"/>
  <c r="C401" i="3"/>
  <c r="D400" i="3"/>
  <c r="C400" i="3"/>
  <c r="D399" i="3"/>
  <c r="C399" i="3"/>
  <c r="D398" i="3"/>
  <c r="C398" i="3"/>
  <c r="D397" i="3"/>
  <c r="C397" i="3"/>
  <c r="D396" i="3"/>
  <c r="C396" i="3"/>
  <c r="D395" i="3"/>
  <c r="C395" i="3"/>
  <c r="D394" i="3"/>
  <c r="C394" i="3"/>
  <c r="D393" i="3"/>
  <c r="C393" i="3"/>
  <c r="D392" i="3"/>
  <c r="C392" i="3"/>
  <c r="D391" i="3"/>
  <c r="C391" i="3"/>
  <c r="D390" i="3"/>
  <c r="C390" i="3"/>
  <c r="D389" i="3"/>
  <c r="C389" i="3"/>
  <c r="D388" i="3"/>
  <c r="C388" i="3"/>
  <c r="D387" i="3"/>
  <c r="C387" i="3"/>
  <c r="D386" i="3"/>
  <c r="C386" i="3"/>
  <c r="D385" i="3"/>
  <c r="C385" i="3"/>
  <c r="D384" i="3"/>
  <c r="C384" i="3"/>
  <c r="D383" i="3"/>
  <c r="C383" i="3"/>
  <c r="D382" i="3"/>
  <c r="C382" i="3"/>
  <c r="D381" i="3"/>
  <c r="C381" i="3"/>
  <c r="D380" i="3"/>
  <c r="C380" i="3"/>
  <c r="D379" i="3"/>
  <c r="C379" i="3"/>
  <c r="D378" i="3"/>
  <c r="C378" i="3"/>
  <c r="D377" i="3"/>
  <c r="C377" i="3"/>
  <c r="D376" i="3"/>
  <c r="C376" i="3"/>
  <c r="D375" i="3"/>
  <c r="C375" i="3"/>
  <c r="D374" i="3"/>
  <c r="C374" i="3"/>
  <c r="D373" i="3"/>
  <c r="C373" i="3"/>
  <c r="D372" i="3"/>
  <c r="C372" i="3"/>
  <c r="D371" i="3"/>
  <c r="C371" i="3"/>
  <c r="D370" i="3"/>
  <c r="C370" i="3"/>
  <c r="D369" i="3"/>
  <c r="C369" i="3"/>
  <c r="D368" i="3"/>
  <c r="C368" i="3"/>
  <c r="D367" i="3"/>
  <c r="C367" i="3"/>
  <c r="D366" i="3"/>
  <c r="C366" i="3"/>
  <c r="D365" i="3"/>
  <c r="C365" i="3"/>
  <c r="D364" i="3"/>
  <c r="C364" i="3"/>
  <c r="D363" i="3"/>
  <c r="C363" i="3"/>
  <c r="D362" i="3"/>
  <c r="C362" i="3"/>
  <c r="D361" i="3"/>
  <c r="C361" i="3"/>
  <c r="D360" i="3"/>
  <c r="C360" i="3"/>
  <c r="D359" i="3"/>
  <c r="C359" i="3"/>
  <c r="D358" i="3"/>
  <c r="C358" i="3"/>
  <c r="D357" i="3"/>
  <c r="C357" i="3"/>
  <c r="D356" i="3"/>
  <c r="C356" i="3"/>
  <c r="D355" i="3"/>
  <c r="C355" i="3"/>
  <c r="D354" i="3"/>
  <c r="C354" i="3"/>
  <c r="D353" i="3"/>
  <c r="C353" i="3"/>
  <c r="D352" i="3"/>
  <c r="C352" i="3"/>
  <c r="D351" i="3"/>
  <c r="C351" i="3"/>
  <c r="D350" i="3"/>
  <c r="C350" i="3"/>
  <c r="D349" i="3"/>
  <c r="C349" i="3"/>
  <c r="D348" i="3"/>
  <c r="C348" i="3"/>
  <c r="D347" i="3"/>
  <c r="C347" i="3"/>
  <c r="D346" i="3"/>
  <c r="C346" i="3"/>
  <c r="D345" i="3"/>
  <c r="C345" i="3"/>
  <c r="D344" i="3"/>
  <c r="C344" i="3"/>
  <c r="D343" i="3"/>
  <c r="C343" i="3"/>
  <c r="D342" i="3"/>
  <c r="C342" i="3"/>
  <c r="D341" i="3"/>
  <c r="C341" i="3"/>
  <c r="D340" i="3"/>
  <c r="C340" i="3"/>
  <c r="D339" i="3"/>
  <c r="C339" i="3"/>
  <c r="D338" i="3"/>
  <c r="C338" i="3"/>
  <c r="D337" i="3"/>
  <c r="C337" i="3"/>
  <c r="D336" i="3"/>
  <c r="C336" i="3"/>
  <c r="D335" i="3"/>
  <c r="C335" i="3"/>
  <c r="D334" i="3"/>
  <c r="C334" i="3"/>
  <c r="D333" i="3"/>
  <c r="C333" i="3"/>
  <c r="D332" i="3"/>
  <c r="C332" i="3"/>
  <c r="D331" i="3"/>
  <c r="C331" i="3"/>
  <c r="D330" i="3"/>
  <c r="C330" i="3"/>
  <c r="D329" i="3"/>
  <c r="C329" i="3"/>
  <c r="D328" i="3"/>
  <c r="C328" i="3"/>
  <c r="D327" i="3"/>
  <c r="C327" i="3"/>
  <c r="D326" i="3"/>
  <c r="C326" i="3"/>
  <c r="D325" i="3"/>
  <c r="C325" i="3"/>
  <c r="D324" i="3"/>
  <c r="C324" i="3"/>
  <c r="D323" i="3"/>
  <c r="C323" i="3"/>
  <c r="D322" i="3"/>
  <c r="C322" i="3"/>
  <c r="D321" i="3"/>
  <c r="C321" i="3"/>
  <c r="D320" i="3"/>
  <c r="C320" i="3"/>
  <c r="D319" i="3"/>
  <c r="C319" i="3"/>
  <c r="D318" i="3"/>
  <c r="C318" i="3"/>
  <c r="D317" i="3"/>
  <c r="C317" i="3"/>
  <c r="D316" i="3"/>
  <c r="C316" i="3"/>
  <c r="D315" i="3"/>
  <c r="C315" i="3"/>
  <c r="D314" i="3"/>
  <c r="C314" i="3"/>
  <c r="D313" i="3"/>
  <c r="C313" i="3"/>
  <c r="D312" i="3"/>
  <c r="C312" i="3"/>
  <c r="D311" i="3"/>
  <c r="C311" i="3"/>
  <c r="D310" i="3"/>
  <c r="C310" i="3"/>
  <c r="D309" i="3"/>
  <c r="C309" i="3"/>
  <c r="D308" i="3"/>
  <c r="C308" i="3"/>
  <c r="D307" i="3"/>
  <c r="C307" i="3"/>
  <c r="D306" i="3"/>
  <c r="C306" i="3"/>
  <c r="D305" i="3"/>
  <c r="C305" i="3"/>
  <c r="D304" i="3"/>
  <c r="C304" i="3"/>
  <c r="D303" i="3"/>
  <c r="C303" i="3"/>
  <c r="D302" i="3"/>
  <c r="C302" i="3"/>
  <c r="D301" i="3"/>
  <c r="C301" i="3"/>
  <c r="D300" i="3"/>
  <c r="C300" i="3"/>
  <c r="D299" i="3"/>
  <c r="C299" i="3"/>
  <c r="D298" i="3"/>
  <c r="C298" i="3"/>
  <c r="D297" i="3"/>
  <c r="C297" i="3"/>
  <c r="D296" i="3"/>
  <c r="C296" i="3"/>
  <c r="D295" i="3"/>
  <c r="C295" i="3"/>
  <c r="D294" i="3"/>
  <c r="C294" i="3"/>
  <c r="D293" i="3"/>
  <c r="C293" i="3"/>
  <c r="D292" i="3"/>
  <c r="C292" i="3"/>
  <c r="D291" i="3"/>
  <c r="C291" i="3"/>
  <c r="D290" i="3"/>
  <c r="C290" i="3"/>
  <c r="D289" i="3"/>
  <c r="C289" i="3"/>
  <c r="D288" i="3"/>
  <c r="C288" i="3"/>
  <c r="D287" i="3"/>
  <c r="C287" i="3"/>
  <c r="D286" i="3"/>
  <c r="C286" i="3"/>
  <c r="D285" i="3"/>
  <c r="C285" i="3"/>
  <c r="D284" i="3"/>
  <c r="C284" i="3"/>
  <c r="D283" i="3"/>
  <c r="C283" i="3"/>
  <c r="D282" i="3"/>
  <c r="C282" i="3"/>
  <c r="D281" i="3"/>
  <c r="C281" i="3"/>
  <c r="D280" i="3"/>
  <c r="C280" i="3"/>
  <c r="D279" i="3"/>
  <c r="C279" i="3"/>
  <c r="D278" i="3"/>
  <c r="C278" i="3"/>
  <c r="D277" i="3"/>
  <c r="C277" i="3"/>
  <c r="D276" i="3"/>
  <c r="C276" i="3"/>
  <c r="D275" i="3"/>
  <c r="C275" i="3"/>
  <c r="D274" i="3"/>
  <c r="C274" i="3"/>
  <c r="D273" i="3"/>
  <c r="C273" i="3"/>
  <c r="D272" i="3"/>
  <c r="C272" i="3"/>
  <c r="D271" i="3"/>
  <c r="C271" i="3"/>
  <c r="D270" i="3"/>
  <c r="C270" i="3"/>
  <c r="D269" i="3"/>
  <c r="C269" i="3"/>
  <c r="D268" i="3"/>
  <c r="C268" i="3"/>
  <c r="D267" i="3"/>
  <c r="C267" i="3"/>
  <c r="D266" i="3"/>
  <c r="C266" i="3"/>
  <c r="D265" i="3"/>
  <c r="C265" i="3"/>
  <c r="D264" i="3"/>
  <c r="C264" i="3"/>
  <c r="D263" i="3"/>
  <c r="C263" i="3"/>
  <c r="D262" i="3"/>
  <c r="C262" i="3"/>
  <c r="D261" i="3"/>
  <c r="C261" i="3"/>
  <c r="D260" i="3"/>
  <c r="C260" i="3"/>
  <c r="D259" i="3"/>
  <c r="C259" i="3"/>
  <c r="D258" i="3"/>
  <c r="C258" i="3"/>
  <c r="D257" i="3"/>
  <c r="C257" i="3"/>
  <c r="D256" i="3"/>
  <c r="C256" i="3"/>
  <c r="D255" i="3"/>
  <c r="C255" i="3"/>
  <c r="D254" i="3"/>
  <c r="C254" i="3"/>
  <c r="D253" i="3"/>
  <c r="C253" i="3"/>
  <c r="D252" i="3"/>
  <c r="C252" i="3"/>
  <c r="D251" i="3"/>
  <c r="C251" i="3"/>
  <c r="D250" i="3"/>
  <c r="C250" i="3"/>
  <c r="D249" i="3"/>
  <c r="C249" i="3"/>
  <c r="D248" i="3"/>
  <c r="C248" i="3"/>
  <c r="D247" i="3"/>
  <c r="C247" i="3"/>
  <c r="D246" i="3"/>
  <c r="C246" i="3"/>
  <c r="D245" i="3"/>
  <c r="C245" i="3"/>
  <c r="D244" i="3"/>
  <c r="C244" i="3"/>
  <c r="D243" i="3"/>
  <c r="C243" i="3"/>
  <c r="D242" i="3"/>
  <c r="C242" i="3"/>
  <c r="D241" i="3"/>
  <c r="C241" i="3"/>
  <c r="D240" i="3"/>
  <c r="C240" i="3"/>
  <c r="D239" i="3"/>
  <c r="C239" i="3"/>
  <c r="D238" i="3"/>
  <c r="C238" i="3"/>
  <c r="D237" i="3"/>
  <c r="C237" i="3"/>
  <c r="D236" i="3"/>
  <c r="C236" i="3"/>
  <c r="D235" i="3"/>
  <c r="C235" i="3"/>
  <c r="D234" i="3"/>
  <c r="C234" i="3"/>
  <c r="D233" i="3"/>
  <c r="C233" i="3"/>
  <c r="D232" i="3"/>
  <c r="C232" i="3"/>
  <c r="D231" i="3"/>
  <c r="C231" i="3"/>
  <c r="D230" i="3"/>
  <c r="C230" i="3"/>
  <c r="D229" i="3"/>
  <c r="C229" i="3"/>
  <c r="D228" i="3"/>
  <c r="C228" i="3"/>
  <c r="D227" i="3"/>
  <c r="C227" i="3"/>
  <c r="D226" i="3"/>
  <c r="C226" i="3"/>
  <c r="D225" i="3"/>
  <c r="C225" i="3"/>
  <c r="D224" i="3"/>
  <c r="C224" i="3"/>
  <c r="D223" i="3"/>
  <c r="C223" i="3"/>
  <c r="D222" i="3"/>
  <c r="C222" i="3"/>
  <c r="D221" i="3"/>
  <c r="C221" i="3"/>
  <c r="D220" i="3"/>
  <c r="C220" i="3"/>
  <c r="D219" i="3"/>
  <c r="C219" i="3"/>
  <c r="D218" i="3"/>
  <c r="C218" i="3"/>
  <c r="D217" i="3"/>
  <c r="C217" i="3"/>
  <c r="D216" i="3"/>
  <c r="C216" i="3"/>
  <c r="D215" i="3"/>
  <c r="C215" i="3"/>
  <c r="D214" i="3"/>
  <c r="C214" i="3"/>
  <c r="D213" i="3"/>
  <c r="C213" i="3"/>
  <c r="D212" i="3"/>
  <c r="C212" i="3"/>
  <c r="D211" i="3"/>
  <c r="C211" i="3"/>
  <c r="D210" i="3"/>
  <c r="C210" i="3"/>
  <c r="D209" i="3"/>
  <c r="C209" i="3"/>
  <c r="D208" i="3"/>
  <c r="C208" i="3"/>
  <c r="D207" i="3"/>
  <c r="C207" i="3"/>
  <c r="D206" i="3"/>
  <c r="C206" i="3"/>
  <c r="D205" i="3"/>
  <c r="C205" i="3"/>
  <c r="D204" i="3"/>
  <c r="C204" i="3"/>
  <c r="D203" i="3"/>
  <c r="C203" i="3"/>
  <c r="D202" i="3"/>
  <c r="C202" i="3"/>
  <c r="D201" i="3"/>
  <c r="C201" i="3"/>
  <c r="D200" i="3"/>
  <c r="C200" i="3"/>
  <c r="D199" i="3"/>
  <c r="C199" i="3"/>
  <c r="D198" i="3"/>
  <c r="C198" i="3"/>
  <c r="D197" i="3"/>
  <c r="C197" i="3"/>
  <c r="D196" i="3"/>
  <c r="C196" i="3"/>
  <c r="D195" i="3"/>
  <c r="C195" i="3"/>
  <c r="D194" i="3"/>
  <c r="C194" i="3"/>
  <c r="D193" i="3"/>
  <c r="C193" i="3"/>
  <c r="D192" i="3"/>
  <c r="C192" i="3"/>
  <c r="D191" i="3"/>
  <c r="C191" i="3"/>
  <c r="D190" i="3"/>
  <c r="C190" i="3"/>
  <c r="D189" i="3"/>
  <c r="C189" i="3"/>
  <c r="D188" i="3"/>
  <c r="C188" i="3"/>
  <c r="D187" i="3"/>
  <c r="C187" i="3"/>
  <c r="D186" i="3"/>
  <c r="C186" i="3"/>
  <c r="D185" i="3"/>
  <c r="C185" i="3"/>
  <c r="D184" i="3"/>
  <c r="C184" i="3"/>
  <c r="D183" i="3"/>
  <c r="C183" i="3"/>
  <c r="D182" i="3"/>
  <c r="C182" i="3"/>
  <c r="D181" i="3"/>
  <c r="C181" i="3"/>
  <c r="D180" i="3"/>
  <c r="C180" i="3"/>
  <c r="D179" i="3"/>
  <c r="C179" i="3"/>
  <c r="D178" i="3"/>
  <c r="C178" i="3"/>
  <c r="D177" i="3"/>
  <c r="C177" i="3"/>
  <c r="D176" i="3"/>
  <c r="C176" i="3"/>
  <c r="D175" i="3"/>
  <c r="C175" i="3"/>
  <c r="D174" i="3"/>
  <c r="C174" i="3"/>
  <c r="D173" i="3"/>
  <c r="C173" i="3"/>
  <c r="D172" i="3"/>
  <c r="C172" i="3"/>
  <c r="D171" i="3"/>
  <c r="C171" i="3"/>
  <c r="D170" i="3"/>
  <c r="C170" i="3"/>
  <c r="D169" i="3"/>
  <c r="C169" i="3"/>
  <c r="D168" i="3"/>
  <c r="C168" i="3"/>
  <c r="D167" i="3"/>
  <c r="C167" i="3"/>
  <c r="D166" i="3"/>
  <c r="C166" i="3"/>
  <c r="D165" i="3"/>
  <c r="C165" i="3"/>
  <c r="D164" i="3"/>
  <c r="C164" i="3"/>
  <c r="D163" i="3"/>
  <c r="C163" i="3"/>
  <c r="D162" i="3"/>
  <c r="C162" i="3"/>
  <c r="D161" i="3"/>
  <c r="C161" i="3"/>
  <c r="D160" i="3"/>
  <c r="C160" i="3"/>
  <c r="D159" i="3"/>
  <c r="C159" i="3"/>
  <c r="D158" i="3"/>
  <c r="C158" i="3"/>
  <c r="D157" i="3"/>
  <c r="C157" i="3"/>
  <c r="D156" i="3"/>
  <c r="C156" i="3"/>
  <c r="D155" i="3"/>
  <c r="C155" i="3"/>
  <c r="D154" i="3"/>
  <c r="C154" i="3"/>
  <c r="D153" i="3"/>
  <c r="C153" i="3"/>
  <c r="D152" i="3"/>
  <c r="C152" i="3"/>
  <c r="D151" i="3"/>
  <c r="C151" i="3"/>
  <c r="D150" i="3"/>
  <c r="C150" i="3"/>
  <c r="D149" i="3"/>
  <c r="C149" i="3"/>
  <c r="D148" i="3"/>
  <c r="C148" i="3"/>
  <c r="D147" i="3"/>
  <c r="C147" i="3"/>
  <c r="D146" i="3"/>
  <c r="C146" i="3"/>
  <c r="D145" i="3"/>
  <c r="C145" i="3"/>
  <c r="D144" i="3"/>
  <c r="C144" i="3"/>
  <c r="D143" i="3"/>
  <c r="C143" i="3"/>
  <c r="D142" i="3"/>
  <c r="C142" i="3"/>
  <c r="D141" i="3"/>
  <c r="C141" i="3"/>
  <c r="D140" i="3"/>
  <c r="C140" i="3"/>
  <c r="D139" i="3"/>
  <c r="C139" i="3"/>
  <c r="D138" i="3"/>
  <c r="C138" i="3"/>
  <c r="D137" i="3"/>
  <c r="C137" i="3"/>
  <c r="D136" i="3"/>
  <c r="C136" i="3"/>
  <c r="D135" i="3"/>
  <c r="C135" i="3"/>
  <c r="D134" i="3"/>
  <c r="C134" i="3"/>
  <c r="D133" i="3"/>
  <c r="C133" i="3"/>
  <c r="D132" i="3"/>
  <c r="C132" i="3"/>
  <c r="D131" i="3"/>
  <c r="C131" i="3"/>
  <c r="D130" i="3"/>
  <c r="C130" i="3"/>
  <c r="D129" i="3"/>
  <c r="C129" i="3"/>
  <c r="D128" i="3"/>
  <c r="C128" i="3"/>
  <c r="D127" i="3"/>
  <c r="C127" i="3"/>
  <c r="D126" i="3"/>
  <c r="C126" i="3"/>
  <c r="D125" i="3"/>
  <c r="C125" i="3"/>
  <c r="D124" i="3"/>
  <c r="C124" i="3"/>
  <c r="D123" i="3"/>
  <c r="C123" i="3"/>
  <c r="D122" i="3"/>
  <c r="C122" i="3"/>
  <c r="D121" i="3"/>
  <c r="C121" i="3"/>
  <c r="D120" i="3"/>
  <c r="C120" i="3"/>
  <c r="D119" i="3"/>
  <c r="C119" i="3"/>
  <c r="D118" i="3"/>
  <c r="C118" i="3"/>
  <c r="D117" i="3"/>
  <c r="C117" i="3"/>
  <c r="D116" i="3"/>
  <c r="C116" i="3"/>
  <c r="D115" i="3"/>
  <c r="C115" i="3"/>
  <c r="D114" i="3"/>
  <c r="C114" i="3"/>
  <c r="D113" i="3"/>
  <c r="C113" i="3"/>
  <c r="D112" i="3"/>
  <c r="C112" i="3"/>
  <c r="D111" i="3"/>
  <c r="C111" i="3"/>
  <c r="D110" i="3"/>
  <c r="C110" i="3"/>
  <c r="D109" i="3"/>
  <c r="C109" i="3"/>
  <c r="D108" i="3"/>
  <c r="C108" i="3"/>
  <c r="D107" i="3"/>
  <c r="C107" i="3"/>
  <c r="D106" i="3"/>
  <c r="C106" i="3"/>
  <c r="D105" i="3"/>
  <c r="C105" i="3"/>
  <c r="D104" i="3"/>
  <c r="C104" i="3"/>
  <c r="D103" i="3"/>
  <c r="C103" i="3"/>
  <c r="D102" i="3"/>
  <c r="C102" i="3"/>
  <c r="D101" i="3"/>
  <c r="C101" i="3"/>
  <c r="D100" i="3"/>
  <c r="C100" i="3"/>
  <c r="D99" i="3"/>
  <c r="C99" i="3"/>
  <c r="D98" i="3"/>
  <c r="C98" i="3"/>
  <c r="D97" i="3"/>
  <c r="C97" i="3"/>
  <c r="D96" i="3"/>
  <c r="C96" i="3"/>
  <c r="D95" i="3"/>
  <c r="C95" i="3"/>
  <c r="D94" i="3"/>
  <c r="C94" i="3"/>
  <c r="D93" i="3"/>
  <c r="C93" i="3"/>
  <c r="D92" i="3"/>
  <c r="C92" i="3"/>
  <c r="D91" i="3"/>
  <c r="C91" i="3"/>
  <c r="D90" i="3"/>
  <c r="C90" i="3"/>
  <c r="D89" i="3"/>
  <c r="C89" i="3"/>
  <c r="D88" i="3"/>
  <c r="C88" i="3"/>
  <c r="D87" i="3"/>
  <c r="C87" i="3"/>
  <c r="D86" i="3"/>
  <c r="C86" i="3"/>
  <c r="D85" i="3"/>
  <c r="C85" i="3"/>
  <c r="D84" i="3"/>
  <c r="C84" i="3"/>
  <c r="D83" i="3"/>
  <c r="C83" i="3"/>
  <c r="D82" i="3"/>
  <c r="C82" i="3"/>
  <c r="D81" i="3"/>
  <c r="C81" i="3"/>
  <c r="D80" i="3"/>
  <c r="C80" i="3"/>
  <c r="D79" i="3"/>
  <c r="C79" i="3"/>
  <c r="D78" i="3"/>
  <c r="C78" i="3"/>
  <c r="D77" i="3"/>
  <c r="C77" i="3"/>
  <c r="D76" i="3"/>
  <c r="C76" i="3"/>
  <c r="D75" i="3"/>
  <c r="C75" i="3"/>
  <c r="D74" i="3"/>
  <c r="C74" i="3"/>
  <c r="D73" i="3"/>
  <c r="C73" i="3"/>
  <c r="D72" i="3"/>
  <c r="C72" i="3"/>
  <c r="D71" i="3"/>
  <c r="C71" i="3"/>
  <c r="D70" i="3"/>
  <c r="C70" i="3"/>
  <c r="D69" i="3"/>
  <c r="C69" i="3"/>
  <c r="D68" i="3"/>
  <c r="C68" i="3"/>
  <c r="D67" i="3"/>
  <c r="C67" i="3"/>
  <c r="D66" i="3"/>
  <c r="C66" i="3"/>
  <c r="D65" i="3"/>
  <c r="C65" i="3"/>
  <c r="D64" i="3"/>
  <c r="C64" i="3"/>
  <c r="D63" i="3"/>
  <c r="C63" i="3"/>
  <c r="D62" i="3"/>
  <c r="C62" i="3"/>
  <c r="D61" i="3"/>
  <c r="C61" i="3"/>
  <c r="D60" i="3"/>
  <c r="C60" i="3"/>
  <c r="D59" i="3"/>
  <c r="C59" i="3"/>
  <c r="D58" i="3"/>
  <c r="C58" i="3"/>
  <c r="D57" i="3"/>
  <c r="C57" i="3"/>
  <c r="D56" i="3"/>
  <c r="C56" i="3"/>
  <c r="D55" i="3"/>
  <c r="C55" i="3"/>
  <c r="D54" i="3"/>
  <c r="C54" i="3"/>
  <c r="D53" i="3"/>
  <c r="C53" i="3"/>
  <c r="D52" i="3"/>
  <c r="C52" i="3"/>
  <c r="D51" i="3"/>
  <c r="C51" i="3"/>
  <c r="D50" i="3"/>
  <c r="C50" i="3"/>
  <c r="D49" i="3"/>
  <c r="C49" i="3"/>
  <c r="D48" i="3"/>
  <c r="C48" i="3"/>
  <c r="D47" i="3"/>
  <c r="C47" i="3"/>
  <c r="D46" i="3"/>
  <c r="C46" i="3"/>
  <c r="D45" i="3"/>
  <c r="C45" i="3"/>
  <c r="D44" i="3"/>
  <c r="C44" i="3"/>
  <c r="D43" i="3"/>
  <c r="C43" i="3"/>
  <c r="D42" i="3"/>
  <c r="C42" i="3"/>
  <c r="D41" i="3"/>
  <c r="C41" i="3"/>
  <c r="D40" i="3"/>
  <c r="C40" i="3"/>
  <c r="D39" i="3"/>
  <c r="C39" i="3"/>
  <c r="D38" i="3"/>
  <c r="C38" i="3"/>
  <c r="D37" i="3"/>
  <c r="C37" i="3"/>
  <c r="D36" i="3"/>
  <c r="C36" i="3"/>
  <c r="D35" i="3"/>
  <c r="C35" i="3"/>
  <c r="D34" i="3"/>
  <c r="C34" i="3"/>
  <c r="D33" i="3"/>
  <c r="C33" i="3"/>
  <c r="D32" i="3"/>
  <c r="C32" i="3"/>
  <c r="D31" i="3"/>
  <c r="C31" i="3"/>
  <c r="D30" i="3"/>
  <c r="C30" i="3"/>
  <c r="D29" i="3"/>
  <c r="C29" i="3"/>
  <c r="D28" i="3"/>
  <c r="C28" i="3"/>
  <c r="D27" i="3"/>
  <c r="C27" i="3"/>
  <c r="D26" i="3"/>
  <c r="C26" i="3"/>
  <c r="D25" i="3"/>
  <c r="C25" i="3"/>
  <c r="D24" i="3"/>
  <c r="C24" i="3"/>
  <c r="D23" i="3"/>
  <c r="C23" i="3"/>
  <c r="D22" i="3"/>
  <c r="C22" i="3"/>
  <c r="D21" i="3"/>
  <c r="C21" i="3"/>
  <c r="D20" i="3"/>
  <c r="C20" i="3"/>
  <c r="D19" i="3"/>
  <c r="C19" i="3"/>
  <c r="D18" i="3"/>
  <c r="C18" i="3"/>
  <c r="D17" i="3"/>
  <c r="C17" i="3"/>
  <c r="D16" i="3"/>
  <c r="C16" i="3"/>
  <c r="D15" i="3"/>
  <c r="C15" i="3"/>
  <c r="D14" i="3"/>
  <c r="C14" i="3"/>
  <c r="D13" i="3"/>
  <c r="C13" i="3"/>
  <c r="D12" i="3"/>
  <c r="C12" i="3"/>
  <c r="D11" i="3"/>
  <c r="C11" i="3"/>
  <c r="D10" i="3"/>
  <c r="C10" i="3"/>
  <c r="D9" i="3"/>
  <c r="C9" i="3"/>
  <c r="D8" i="3"/>
  <c r="C8" i="3"/>
  <c r="D7" i="3"/>
  <c r="C7" i="3"/>
  <c r="G204" i="2"/>
  <c r="G203" i="2"/>
  <c r="G202" i="2"/>
  <c r="G201" i="2"/>
  <c r="G200" i="2"/>
  <c r="G199" i="2"/>
  <c r="G198" i="2"/>
  <c r="G197" i="2"/>
  <c r="G196" i="2"/>
  <c r="G195" i="2"/>
  <c r="G194" i="2"/>
  <c r="G193" i="2"/>
  <c r="G192" i="2"/>
  <c r="G191" i="2"/>
  <c r="G190" i="2"/>
  <c r="G189" i="2"/>
  <c r="G188" i="2"/>
  <c r="G187" i="2"/>
  <c r="G186" i="2"/>
  <c r="G185" i="2"/>
  <c r="G184" i="2"/>
  <c r="G183" i="2"/>
  <c r="G182" i="2"/>
  <c r="G181" i="2"/>
  <c r="G180" i="2"/>
  <c r="G179" i="2"/>
  <c r="G178" i="2"/>
  <c r="G177" i="2"/>
  <c r="G176" i="2"/>
  <c r="G175" i="2"/>
  <c r="G174" i="2"/>
  <c r="G173" i="2"/>
  <c r="G172" i="2"/>
  <c r="G171" i="2"/>
  <c r="G170" i="2"/>
  <c r="G169" i="2"/>
  <c r="G168" i="2"/>
  <c r="G167" i="2"/>
  <c r="G166" i="2"/>
  <c r="G165" i="2"/>
  <c r="G164" i="2"/>
  <c r="G163" i="2"/>
  <c r="G162" i="2"/>
  <c r="G161" i="2"/>
  <c r="G160" i="2"/>
  <c r="G159" i="2"/>
  <c r="G158" i="2"/>
  <c r="G157" i="2"/>
  <c r="G156" i="2"/>
  <c r="G155" i="2"/>
  <c r="G154" i="2"/>
  <c r="G153" i="2"/>
  <c r="G152" i="2"/>
  <c r="G151" i="2"/>
  <c r="G150" i="2"/>
  <c r="G149" i="2"/>
  <c r="G148" i="2"/>
  <c r="G147" i="2"/>
  <c r="G146" i="2"/>
  <c r="G145" i="2"/>
  <c r="G144" i="2"/>
  <c r="G143" i="2"/>
  <c r="G142" i="2"/>
  <c r="G141" i="2"/>
  <c r="G140" i="2"/>
  <c r="G139" i="2"/>
  <c r="G138" i="2"/>
  <c r="G137" i="2"/>
  <c r="G136" i="2"/>
  <c r="G135" i="2"/>
  <c r="G134" i="2"/>
  <c r="G133" i="2"/>
  <c r="G132" i="2"/>
  <c r="G131" i="2"/>
  <c r="G130" i="2"/>
  <c r="G129" i="2"/>
  <c r="G128" i="2"/>
  <c r="G127" i="2"/>
  <c r="G126" i="2"/>
  <c r="G125" i="2"/>
  <c r="G124" i="2"/>
  <c r="G123" i="2"/>
  <c r="G122" i="2"/>
  <c r="G121" i="2"/>
  <c r="G120" i="2"/>
  <c r="G119" i="2"/>
  <c r="G118" i="2"/>
  <c r="G117" i="2"/>
  <c r="G116" i="2"/>
  <c r="G115" i="2"/>
  <c r="G114" i="2"/>
  <c r="G113" i="2"/>
  <c r="G112" i="2"/>
  <c r="G111" i="2"/>
  <c r="G110" i="2"/>
  <c r="G109" i="2"/>
  <c r="G108"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H1581" i="1"/>
  <c r="I1581" i="1" s="1"/>
  <c r="E1581" i="1"/>
  <c r="H1580" i="1"/>
  <c r="I1580" i="1" s="1"/>
  <c r="E1580" i="1"/>
  <c r="H1579" i="1"/>
  <c r="I1579" i="1" s="1"/>
  <c r="E1579" i="1"/>
  <c r="I1578" i="1"/>
  <c r="H1578" i="1"/>
  <c r="E1578" i="1"/>
  <c r="H1577" i="1"/>
  <c r="I1577" i="1" s="1"/>
  <c r="E1577" i="1"/>
  <c r="H1576" i="1"/>
  <c r="I1576" i="1" s="1"/>
  <c r="E1576" i="1"/>
  <c r="H1575" i="1"/>
  <c r="I1575" i="1" s="1"/>
  <c r="E1575" i="1"/>
  <c r="I1574" i="1"/>
  <c r="H1574" i="1"/>
  <c r="E1574" i="1"/>
  <c r="H1573" i="1"/>
  <c r="I1573" i="1" s="1"/>
  <c r="E1573" i="1"/>
  <c r="H1572" i="1"/>
  <c r="I1572" i="1" s="1"/>
  <c r="E1572" i="1"/>
  <c r="H1571" i="1"/>
  <c r="I1571" i="1" s="1"/>
  <c r="E1571" i="1"/>
  <c r="I1570" i="1"/>
  <c r="H1570" i="1"/>
  <c r="E1570" i="1"/>
  <c r="H1569" i="1"/>
  <c r="I1569" i="1" s="1"/>
  <c r="E1569" i="1"/>
  <c r="H1568" i="1"/>
  <c r="I1568" i="1" s="1"/>
  <c r="E1568" i="1"/>
  <c r="H1567" i="1"/>
  <c r="I1567" i="1" s="1"/>
  <c r="E1567" i="1"/>
  <c r="I1566" i="1"/>
  <c r="H1566" i="1"/>
  <c r="E1566" i="1"/>
  <c r="H1565" i="1"/>
  <c r="I1565" i="1" s="1"/>
  <c r="E1565" i="1"/>
  <c r="H1564" i="1"/>
  <c r="I1564" i="1" s="1"/>
  <c r="E1564" i="1"/>
  <c r="H1563" i="1"/>
  <c r="I1563" i="1" s="1"/>
  <c r="E1563" i="1"/>
  <c r="I1562" i="1"/>
  <c r="H1562" i="1"/>
  <c r="E1562" i="1"/>
  <c r="H1561" i="1"/>
  <c r="I1561" i="1" s="1"/>
  <c r="E1561" i="1"/>
  <c r="H1560" i="1"/>
  <c r="I1560" i="1" s="1"/>
  <c r="E1560" i="1"/>
  <c r="H1559" i="1"/>
  <c r="I1559" i="1" s="1"/>
  <c r="E1559" i="1"/>
  <c r="I1558" i="1"/>
  <c r="H1558" i="1"/>
  <c r="E1558" i="1"/>
  <c r="H1557" i="1"/>
  <c r="I1557" i="1" s="1"/>
  <c r="E1557" i="1"/>
  <c r="H1556" i="1"/>
  <c r="I1556" i="1" s="1"/>
  <c r="E1556" i="1"/>
  <c r="H1555" i="1"/>
  <c r="I1555" i="1" s="1"/>
  <c r="E1555" i="1"/>
  <c r="I1554" i="1"/>
  <c r="H1554" i="1"/>
  <c r="E1554" i="1"/>
  <c r="H1553" i="1"/>
  <c r="I1553" i="1" s="1"/>
  <c r="E1553" i="1"/>
  <c r="H1552" i="1"/>
  <c r="I1552" i="1" s="1"/>
  <c r="E1552" i="1"/>
  <c r="H1551" i="1"/>
  <c r="I1551" i="1" s="1"/>
  <c r="E1551" i="1"/>
  <c r="I1550" i="1"/>
  <c r="H1550" i="1"/>
  <c r="E1550" i="1"/>
  <c r="H1549" i="1"/>
  <c r="I1549" i="1" s="1"/>
  <c r="E1549" i="1"/>
  <c r="H1548" i="1"/>
  <c r="I1548" i="1" s="1"/>
  <c r="E1548" i="1"/>
  <c r="H1547" i="1"/>
  <c r="I1547" i="1" s="1"/>
  <c r="E1547" i="1"/>
  <c r="I1546" i="1"/>
  <c r="H1546" i="1"/>
  <c r="E1546" i="1"/>
  <c r="H1545" i="1"/>
  <c r="I1545" i="1" s="1"/>
  <c r="E1545" i="1"/>
  <c r="H1544" i="1"/>
  <c r="I1544" i="1" s="1"/>
  <c r="E1544" i="1"/>
  <c r="H1543" i="1"/>
  <c r="I1543" i="1" s="1"/>
  <c r="E1543" i="1"/>
  <c r="I1542" i="1"/>
  <c r="H1542" i="1"/>
  <c r="E1542" i="1"/>
  <c r="H1541" i="1"/>
  <c r="I1541" i="1" s="1"/>
  <c r="E1541" i="1"/>
  <c r="H1540" i="1"/>
  <c r="I1540" i="1" s="1"/>
  <c r="E1540" i="1"/>
  <c r="H1539" i="1"/>
  <c r="I1539" i="1" s="1"/>
  <c r="E1539" i="1"/>
  <c r="I1538" i="1"/>
  <c r="H1538" i="1"/>
  <c r="E1538" i="1"/>
  <c r="H1537" i="1"/>
  <c r="I1537" i="1" s="1"/>
  <c r="E1537" i="1"/>
  <c r="H1536" i="1"/>
  <c r="I1536" i="1" s="1"/>
  <c r="E1536" i="1"/>
  <c r="H1535" i="1"/>
  <c r="I1535" i="1" s="1"/>
  <c r="E1535" i="1"/>
  <c r="I1534" i="1"/>
  <c r="H1534" i="1"/>
  <c r="E1534" i="1"/>
  <c r="H1533" i="1"/>
  <c r="I1533" i="1" s="1"/>
  <c r="E1533" i="1"/>
  <c r="H1532" i="1"/>
  <c r="I1532" i="1" s="1"/>
  <c r="E1532" i="1"/>
  <c r="H1531" i="1"/>
  <c r="I1531" i="1" s="1"/>
  <c r="E1531" i="1"/>
  <c r="I1530" i="1"/>
  <c r="H1530" i="1"/>
  <c r="E1530" i="1"/>
  <c r="H1529" i="1"/>
  <c r="I1529" i="1" s="1"/>
  <c r="E1529" i="1"/>
  <c r="H1528" i="1"/>
  <c r="I1528" i="1" s="1"/>
  <c r="E1528" i="1"/>
  <c r="H1527" i="1"/>
  <c r="I1527" i="1" s="1"/>
  <c r="E1527" i="1"/>
  <c r="I1526" i="1"/>
  <c r="H1526" i="1"/>
  <c r="E1526" i="1"/>
  <c r="H1525" i="1"/>
  <c r="I1525" i="1" s="1"/>
  <c r="E1525" i="1"/>
  <c r="H1524" i="1"/>
  <c r="I1524" i="1" s="1"/>
  <c r="E1524" i="1"/>
  <c r="H1523" i="1"/>
  <c r="I1523" i="1" s="1"/>
  <c r="E1523" i="1"/>
  <c r="I1522" i="1"/>
  <c r="H1522" i="1"/>
  <c r="E1522" i="1"/>
  <c r="H1521" i="1"/>
  <c r="I1521" i="1" s="1"/>
  <c r="E1521" i="1"/>
  <c r="H1520" i="1"/>
  <c r="I1520" i="1" s="1"/>
  <c r="E1520" i="1"/>
  <c r="H1519" i="1"/>
  <c r="I1519" i="1" s="1"/>
  <c r="E1519" i="1"/>
  <c r="I1518" i="1"/>
  <c r="H1518" i="1"/>
  <c r="E1518" i="1"/>
  <c r="H1517" i="1"/>
  <c r="I1517" i="1" s="1"/>
  <c r="E1517" i="1"/>
  <c r="H1516" i="1"/>
  <c r="I1516" i="1" s="1"/>
  <c r="E1516" i="1"/>
  <c r="H1515" i="1"/>
  <c r="I1515" i="1" s="1"/>
  <c r="E1515" i="1"/>
  <c r="I1514" i="1"/>
  <c r="H1514" i="1"/>
  <c r="E1514" i="1"/>
  <c r="H1513" i="1"/>
  <c r="I1513" i="1" s="1"/>
  <c r="E1513" i="1"/>
  <c r="H1512" i="1"/>
  <c r="I1512" i="1" s="1"/>
  <c r="E1512" i="1"/>
  <c r="H1511" i="1"/>
  <c r="I1511" i="1" s="1"/>
  <c r="E1511" i="1"/>
  <c r="I1510" i="1"/>
  <c r="H1510" i="1"/>
  <c r="E1510" i="1"/>
  <c r="H1509" i="1"/>
  <c r="I1509" i="1" s="1"/>
  <c r="E1509" i="1"/>
  <c r="H1508" i="1"/>
  <c r="I1508" i="1" s="1"/>
  <c r="E1508" i="1"/>
  <c r="H1507" i="1"/>
  <c r="I1507" i="1" s="1"/>
  <c r="E1507" i="1"/>
  <c r="I1506" i="1"/>
  <c r="H1506" i="1"/>
  <c r="E1506" i="1"/>
  <c r="H1505" i="1"/>
  <c r="I1505" i="1" s="1"/>
  <c r="E1505" i="1"/>
  <c r="H1504" i="1"/>
  <c r="I1504" i="1" s="1"/>
  <c r="E1504" i="1"/>
  <c r="H1503" i="1"/>
  <c r="I1503" i="1" s="1"/>
  <c r="E1503" i="1"/>
  <c r="I1502" i="1"/>
  <c r="H1502" i="1"/>
  <c r="E1502" i="1"/>
  <c r="H1501" i="1"/>
  <c r="I1501" i="1" s="1"/>
  <c r="E1501" i="1"/>
  <c r="H1500" i="1"/>
  <c r="I1500" i="1" s="1"/>
  <c r="E1500" i="1"/>
  <c r="H1499" i="1"/>
  <c r="I1499" i="1" s="1"/>
  <c r="E1499" i="1"/>
  <c r="I1498" i="1"/>
  <c r="H1498" i="1"/>
  <c r="E1498" i="1"/>
  <c r="H1497" i="1"/>
  <c r="I1497" i="1" s="1"/>
  <c r="E1497" i="1"/>
  <c r="H1496" i="1"/>
  <c r="I1496" i="1" s="1"/>
  <c r="E1496" i="1"/>
  <c r="H1495" i="1"/>
  <c r="I1495" i="1" s="1"/>
  <c r="E1495" i="1"/>
  <c r="I1494" i="1"/>
  <c r="H1494" i="1"/>
  <c r="E1494" i="1"/>
  <c r="H1493" i="1"/>
  <c r="I1493" i="1" s="1"/>
  <c r="E1493" i="1"/>
  <c r="H1492" i="1"/>
  <c r="I1492" i="1" s="1"/>
  <c r="E1492" i="1"/>
  <c r="H1491" i="1"/>
  <c r="I1491" i="1" s="1"/>
  <c r="E1491" i="1"/>
  <c r="I1490" i="1"/>
  <c r="H1490" i="1"/>
  <c r="E1490" i="1"/>
  <c r="H1489" i="1"/>
  <c r="I1489" i="1" s="1"/>
  <c r="E1489" i="1"/>
  <c r="H1488" i="1"/>
  <c r="I1488" i="1" s="1"/>
  <c r="E1488" i="1"/>
  <c r="H1487" i="1"/>
  <c r="I1487" i="1" s="1"/>
  <c r="E1487" i="1"/>
  <c r="I1486" i="1"/>
  <c r="H1486" i="1"/>
  <c r="E1486" i="1"/>
  <c r="H1485" i="1"/>
  <c r="I1485" i="1" s="1"/>
  <c r="E1485" i="1"/>
  <c r="H1484" i="1"/>
  <c r="I1484" i="1" s="1"/>
  <c r="E1484" i="1"/>
  <c r="H1483" i="1"/>
  <c r="I1483" i="1" s="1"/>
  <c r="E1483" i="1"/>
  <c r="I1482" i="1"/>
  <c r="H1482" i="1"/>
  <c r="E1482" i="1"/>
  <c r="H1481" i="1"/>
  <c r="I1481" i="1" s="1"/>
  <c r="E1481" i="1"/>
  <c r="H1480" i="1"/>
  <c r="I1480" i="1" s="1"/>
  <c r="E1480" i="1"/>
  <c r="H1479" i="1"/>
  <c r="I1479" i="1" s="1"/>
  <c r="E1479" i="1"/>
  <c r="I1478" i="1"/>
  <c r="H1478" i="1"/>
  <c r="E1478" i="1"/>
  <c r="H1477" i="1"/>
  <c r="I1477" i="1" s="1"/>
  <c r="E1477" i="1"/>
  <c r="H1476" i="1"/>
  <c r="I1476" i="1" s="1"/>
  <c r="E1476" i="1"/>
  <c r="H1475" i="1"/>
  <c r="I1475" i="1" s="1"/>
  <c r="E1475" i="1"/>
  <c r="I1474" i="1"/>
  <c r="H1474" i="1"/>
  <c r="E1474" i="1"/>
  <c r="H1473" i="1"/>
  <c r="I1473" i="1" s="1"/>
  <c r="E1473" i="1"/>
  <c r="H1472" i="1"/>
  <c r="I1472" i="1" s="1"/>
  <c r="E1472" i="1"/>
  <c r="H1471" i="1"/>
  <c r="I1471" i="1" s="1"/>
  <c r="E1471" i="1"/>
  <c r="I1470" i="1"/>
  <c r="H1470" i="1"/>
  <c r="E1470" i="1"/>
  <c r="H1469" i="1"/>
  <c r="I1469" i="1" s="1"/>
  <c r="E1469" i="1"/>
  <c r="H1468" i="1"/>
  <c r="I1468" i="1" s="1"/>
  <c r="E1468" i="1"/>
  <c r="H1467" i="1"/>
  <c r="I1467" i="1" s="1"/>
  <c r="E1467" i="1"/>
  <c r="I1466" i="1"/>
  <c r="H1466" i="1"/>
  <c r="E1466" i="1"/>
  <c r="H1465" i="1"/>
  <c r="I1465" i="1" s="1"/>
  <c r="E1465" i="1"/>
  <c r="H1464" i="1"/>
  <c r="I1464" i="1" s="1"/>
  <c r="E1464" i="1"/>
  <c r="H1463" i="1"/>
  <c r="I1463" i="1" s="1"/>
  <c r="E1463" i="1"/>
  <c r="I1462" i="1"/>
  <c r="H1462" i="1"/>
  <c r="E1462" i="1"/>
  <c r="H1461" i="1"/>
  <c r="I1461" i="1" s="1"/>
  <c r="E1461" i="1"/>
  <c r="H1460" i="1"/>
  <c r="I1460" i="1" s="1"/>
  <c r="E1460" i="1"/>
  <c r="H1459" i="1"/>
  <c r="I1459" i="1" s="1"/>
  <c r="E1459" i="1"/>
  <c r="I1458" i="1"/>
  <c r="H1458" i="1"/>
  <c r="E1458" i="1"/>
  <c r="H1457" i="1"/>
  <c r="I1457" i="1" s="1"/>
  <c r="E1457" i="1"/>
  <c r="H1456" i="1"/>
  <c r="I1456" i="1" s="1"/>
  <c r="E1456" i="1"/>
  <c r="H1455" i="1"/>
  <c r="I1455" i="1" s="1"/>
  <c r="E1455" i="1"/>
  <c r="I1454" i="1"/>
  <c r="H1454" i="1"/>
  <c r="E1454" i="1"/>
  <c r="H1453" i="1"/>
  <c r="I1453" i="1" s="1"/>
  <c r="E1453" i="1"/>
  <c r="H1452" i="1"/>
  <c r="I1452" i="1" s="1"/>
  <c r="E1452" i="1"/>
  <c r="H1451" i="1"/>
  <c r="I1451" i="1" s="1"/>
  <c r="E1451" i="1"/>
  <c r="I1450" i="1"/>
  <c r="H1450" i="1"/>
  <c r="E1450" i="1"/>
  <c r="H1449" i="1"/>
  <c r="I1449" i="1" s="1"/>
  <c r="E1449" i="1"/>
  <c r="H1448" i="1"/>
  <c r="I1448" i="1" s="1"/>
  <c r="E1448" i="1"/>
  <c r="H1447" i="1"/>
  <c r="I1447" i="1" s="1"/>
  <c r="E1447" i="1"/>
  <c r="I1446" i="1"/>
  <c r="H1446" i="1"/>
  <c r="E1446" i="1"/>
  <c r="H1445" i="1"/>
  <c r="I1445" i="1" s="1"/>
  <c r="E1445" i="1"/>
  <c r="H1444" i="1"/>
  <c r="I1444" i="1" s="1"/>
  <c r="E1444" i="1"/>
  <c r="H1443" i="1"/>
  <c r="I1443" i="1" s="1"/>
  <c r="E1443" i="1"/>
  <c r="I1442" i="1"/>
  <c r="H1442" i="1"/>
  <c r="E1442" i="1"/>
  <c r="H1441" i="1"/>
  <c r="I1441" i="1" s="1"/>
  <c r="E1441" i="1"/>
  <c r="H1440" i="1"/>
  <c r="I1440" i="1" s="1"/>
  <c r="E1440" i="1"/>
  <c r="H1439" i="1"/>
  <c r="I1439" i="1" s="1"/>
  <c r="E1439" i="1"/>
  <c r="I1438" i="1"/>
  <c r="H1438" i="1"/>
  <c r="E1438" i="1"/>
  <c r="H1437" i="1"/>
  <c r="I1437" i="1" s="1"/>
  <c r="E1437" i="1"/>
  <c r="H1436" i="1"/>
  <c r="I1436" i="1" s="1"/>
  <c r="E1436" i="1"/>
  <c r="H1435" i="1"/>
  <c r="I1435" i="1" s="1"/>
  <c r="E1435" i="1"/>
  <c r="I1434" i="1"/>
  <c r="H1434" i="1"/>
  <c r="E1434" i="1"/>
  <c r="H1433" i="1"/>
  <c r="I1433" i="1" s="1"/>
  <c r="E1433" i="1"/>
  <c r="H1432" i="1"/>
  <c r="I1432" i="1" s="1"/>
  <c r="E1432" i="1"/>
  <c r="H1431" i="1"/>
  <c r="I1431" i="1" s="1"/>
  <c r="E1431" i="1"/>
  <c r="I1430" i="1"/>
  <c r="H1430" i="1"/>
  <c r="E1430" i="1"/>
  <c r="H1429" i="1"/>
  <c r="I1429" i="1" s="1"/>
  <c r="E1429" i="1"/>
  <c r="H1428" i="1"/>
  <c r="I1428" i="1" s="1"/>
  <c r="E1428" i="1"/>
  <c r="H1427" i="1"/>
  <c r="I1427" i="1" s="1"/>
  <c r="E1427" i="1"/>
  <c r="I1426" i="1"/>
  <c r="H1426" i="1"/>
  <c r="E1426" i="1"/>
  <c r="H1425" i="1"/>
  <c r="I1425" i="1" s="1"/>
  <c r="E1425" i="1"/>
  <c r="H1424" i="1"/>
  <c r="I1424" i="1" s="1"/>
  <c r="E1424" i="1"/>
  <c r="H1423" i="1"/>
  <c r="I1423" i="1" s="1"/>
  <c r="E1423" i="1"/>
  <c r="I1422" i="1"/>
  <c r="H1422" i="1"/>
  <c r="E1422" i="1"/>
  <c r="H1421" i="1"/>
  <c r="I1421" i="1" s="1"/>
  <c r="E1421" i="1"/>
  <c r="H1420" i="1"/>
  <c r="I1420" i="1" s="1"/>
  <c r="E1420" i="1"/>
  <c r="H1419" i="1"/>
  <c r="I1419" i="1" s="1"/>
  <c r="E1419" i="1"/>
  <c r="H1418" i="1"/>
  <c r="I1418" i="1" s="1"/>
  <c r="E1418" i="1"/>
  <c r="H1417" i="1"/>
  <c r="I1417" i="1" s="1"/>
  <c r="E1417" i="1"/>
  <c r="H1416" i="1"/>
  <c r="I1416" i="1" s="1"/>
  <c r="E1416" i="1"/>
  <c r="H1415" i="1"/>
  <c r="I1415" i="1" s="1"/>
  <c r="E1415" i="1"/>
  <c r="I1414" i="1"/>
  <c r="H1414" i="1"/>
  <c r="E1414" i="1"/>
  <c r="H1413" i="1"/>
  <c r="I1413" i="1" s="1"/>
  <c r="E1413" i="1"/>
  <c r="H1412" i="1"/>
  <c r="I1412" i="1" s="1"/>
  <c r="E1412" i="1"/>
  <c r="H1411" i="1"/>
  <c r="I1411" i="1" s="1"/>
  <c r="E1411" i="1"/>
  <c r="H1410" i="1"/>
  <c r="I1410" i="1" s="1"/>
  <c r="E1410" i="1"/>
  <c r="H1409" i="1"/>
  <c r="I1409" i="1" s="1"/>
  <c r="E1409" i="1"/>
  <c r="I1408" i="1"/>
  <c r="H1408" i="1"/>
  <c r="E1408" i="1"/>
  <c r="H1407" i="1"/>
  <c r="I1407" i="1" s="1"/>
  <c r="E1407" i="1"/>
  <c r="H1406" i="1"/>
  <c r="I1406" i="1" s="1"/>
  <c r="E1406" i="1"/>
  <c r="I1405" i="1"/>
  <c r="H1405" i="1"/>
  <c r="E1405" i="1"/>
  <c r="H1404" i="1"/>
  <c r="I1404" i="1" s="1"/>
  <c r="E1404" i="1"/>
  <c r="H1403" i="1"/>
  <c r="I1403" i="1" s="1"/>
  <c r="E1403" i="1"/>
  <c r="H1402" i="1"/>
  <c r="I1402" i="1" s="1"/>
  <c r="E1402" i="1"/>
  <c r="H1401" i="1"/>
  <c r="I1401" i="1" s="1"/>
  <c r="E1401" i="1"/>
  <c r="H1400" i="1"/>
  <c r="I1400" i="1" s="1"/>
  <c r="E1400" i="1"/>
  <c r="H1399" i="1"/>
  <c r="I1399" i="1" s="1"/>
  <c r="E1399" i="1"/>
  <c r="I1398" i="1"/>
  <c r="H1398" i="1"/>
  <c r="E1398" i="1"/>
  <c r="H1397" i="1"/>
  <c r="I1397" i="1" s="1"/>
  <c r="E1397" i="1"/>
  <c r="H1396" i="1"/>
  <c r="I1396" i="1" s="1"/>
  <c r="E1396" i="1"/>
  <c r="H1395" i="1"/>
  <c r="I1395" i="1" s="1"/>
  <c r="E1395" i="1"/>
  <c r="H1394" i="1"/>
  <c r="I1394" i="1" s="1"/>
  <c r="E1394" i="1"/>
  <c r="H1393" i="1"/>
  <c r="I1393" i="1" s="1"/>
  <c r="E1393" i="1"/>
  <c r="I1392" i="1"/>
  <c r="H1392" i="1"/>
  <c r="E1392" i="1"/>
  <c r="H1391" i="1"/>
  <c r="I1391" i="1" s="1"/>
  <c r="E1391" i="1"/>
  <c r="H1390" i="1"/>
  <c r="I1390" i="1" s="1"/>
  <c r="E1390" i="1"/>
  <c r="I1389" i="1"/>
  <c r="H1389" i="1"/>
  <c r="E1389" i="1"/>
  <c r="H1388" i="1"/>
  <c r="I1388" i="1" s="1"/>
  <c r="E1388" i="1"/>
  <c r="H1387" i="1"/>
  <c r="I1387" i="1" s="1"/>
  <c r="E1387" i="1"/>
  <c r="H1386" i="1"/>
  <c r="I1386" i="1" s="1"/>
  <c r="E1386" i="1"/>
  <c r="H1385" i="1"/>
  <c r="I1385" i="1" s="1"/>
  <c r="E1385" i="1"/>
  <c r="H1384" i="1"/>
  <c r="I1384" i="1" s="1"/>
  <c r="E1384" i="1"/>
  <c r="H1383" i="1"/>
  <c r="I1383" i="1" s="1"/>
  <c r="E1383" i="1"/>
  <c r="I1382" i="1"/>
  <c r="H1382" i="1"/>
  <c r="E1382" i="1"/>
  <c r="H1381" i="1"/>
  <c r="I1381" i="1" s="1"/>
  <c r="E1381" i="1"/>
  <c r="H1380" i="1"/>
  <c r="I1380" i="1" s="1"/>
  <c r="E1380" i="1"/>
  <c r="H1379" i="1"/>
  <c r="I1379" i="1" s="1"/>
  <c r="E1379" i="1"/>
  <c r="H1378" i="1"/>
  <c r="I1378" i="1" s="1"/>
  <c r="E1378" i="1"/>
  <c r="H1377" i="1"/>
  <c r="I1377" i="1" s="1"/>
  <c r="E1377" i="1"/>
  <c r="I1376" i="1"/>
  <c r="H1376" i="1"/>
  <c r="E1376" i="1"/>
  <c r="H1375" i="1"/>
  <c r="I1375" i="1" s="1"/>
  <c r="E1375" i="1"/>
  <c r="H1374" i="1"/>
  <c r="I1374" i="1" s="1"/>
  <c r="E1374" i="1"/>
  <c r="I1373" i="1"/>
  <c r="H1373" i="1"/>
  <c r="E1373" i="1"/>
  <c r="H1372" i="1"/>
  <c r="I1372" i="1" s="1"/>
  <c r="E1372" i="1"/>
  <c r="H1371" i="1"/>
  <c r="I1371" i="1" s="1"/>
  <c r="E1371" i="1"/>
  <c r="H1370" i="1"/>
  <c r="I1370" i="1" s="1"/>
  <c r="E1370" i="1"/>
  <c r="H1369" i="1"/>
  <c r="I1369" i="1" s="1"/>
  <c r="E1369" i="1"/>
  <c r="H1368" i="1"/>
  <c r="I1368" i="1" s="1"/>
  <c r="E1368" i="1"/>
  <c r="H1367" i="1"/>
  <c r="I1367" i="1" s="1"/>
  <c r="E1367" i="1"/>
  <c r="I1366" i="1"/>
  <c r="H1366" i="1"/>
  <c r="E1366" i="1"/>
  <c r="H1365" i="1"/>
  <c r="I1365" i="1" s="1"/>
  <c r="E1365" i="1"/>
  <c r="H1364" i="1"/>
  <c r="I1364" i="1" s="1"/>
  <c r="E1364" i="1"/>
  <c r="H1363" i="1"/>
  <c r="I1363" i="1" s="1"/>
  <c r="E1363" i="1"/>
  <c r="H1362" i="1"/>
  <c r="I1362" i="1" s="1"/>
  <c r="E1362" i="1"/>
  <c r="H1361" i="1"/>
  <c r="I1361" i="1" s="1"/>
  <c r="E1361" i="1"/>
  <c r="I1360" i="1"/>
  <c r="H1360" i="1"/>
  <c r="E1360" i="1"/>
  <c r="H1359" i="1"/>
  <c r="I1359" i="1" s="1"/>
  <c r="E1359" i="1"/>
  <c r="H1358" i="1"/>
  <c r="I1358" i="1" s="1"/>
  <c r="E1358" i="1"/>
  <c r="I1357" i="1"/>
  <c r="H1357" i="1"/>
  <c r="E1357" i="1"/>
  <c r="H1356" i="1"/>
  <c r="I1356" i="1" s="1"/>
  <c r="E1356" i="1"/>
  <c r="H1355" i="1"/>
  <c r="I1355" i="1" s="1"/>
  <c r="E1355" i="1"/>
  <c r="H1354" i="1"/>
  <c r="I1354" i="1" s="1"/>
  <c r="E1354" i="1"/>
  <c r="H1353" i="1"/>
  <c r="I1353" i="1" s="1"/>
  <c r="E1353" i="1"/>
  <c r="H1352" i="1"/>
  <c r="I1352" i="1" s="1"/>
  <c r="E1352" i="1"/>
  <c r="H1351" i="1"/>
  <c r="I1351" i="1" s="1"/>
  <c r="E1351" i="1"/>
  <c r="I1350" i="1"/>
  <c r="H1350" i="1"/>
  <c r="E1350" i="1"/>
  <c r="H1349" i="1"/>
  <c r="I1349" i="1" s="1"/>
  <c r="E1349" i="1"/>
  <c r="H1348" i="1"/>
  <c r="I1348" i="1" s="1"/>
  <c r="E1348" i="1"/>
  <c r="H1347" i="1"/>
  <c r="I1347" i="1" s="1"/>
  <c r="E1347" i="1"/>
  <c r="H1346" i="1"/>
  <c r="I1346" i="1" s="1"/>
  <c r="E1346" i="1"/>
  <c r="H1345" i="1"/>
  <c r="I1345" i="1" s="1"/>
  <c r="E1345" i="1"/>
  <c r="H1344" i="1"/>
  <c r="I1344" i="1" s="1"/>
  <c r="E1344" i="1"/>
  <c r="H1343" i="1"/>
  <c r="I1343" i="1" s="1"/>
  <c r="E1343" i="1"/>
  <c r="H1342" i="1"/>
  <c r="I1342" i="1" s="1"/>
  <c r="E1342" i="1"/>
  <c r="H1341" i="1"/>
  <c r="I1341" i="1" s="1"/>
  <c r="E1341" i="1"/>
  <c r="I1340" i="1"/>
  <c r="H1340" i="1"/>
  <c r="E1340" i="1"/>
  <c r="H1339" i="1"/>
  <c r="I1339" i="1" s="1"/>
  <c r="E1339" i="1"/>
  <c r="H1338" i="1"/>
  <c r="I1338" i="1" s="1"/>
  <c r="E1338" i="1"/>
  <c r="H1337" i="1"/>
  <c r="I1337" i="1" s="1"/>
  <c r="E1337" i="1"/>
  <c r="I1336" i="1"/>
  <c r="H1336" i="1"/>
  <c r="E1336" i="1"/>
  <c r="H1335" i="1"/>
  <c r="I1335" i="1" s="1"/>
  <c r="E1335" i="1"/>
  <c r="H1334" i="1"/>
  <c r="I1334" i="1" s="1"/>
  <c r="E1334" i="1"/>
  <c r="H1333" i="1"/>
  <c r="I1333" i="1" s="1"/>
  <c r="E1333" i="1"/>
  <c r="I1332" i="1"/>
  <c r="H1332" i="1"/>
  <c r="E1332" i="1"/>
  <c r="H1331" i="1"/>
  <c r="I1331" i="1" s="1"/>
  <c r="E1331" i="1"/>
  <c r="I1330" i="1"/>
  <c r="H1330" i="1"/>
  <c r="E1330" i="1"/>
  <c r="H1329" i="1"/>
  <c r="I1329" i="1" s="1"/>
  <c r="E1329" i="1"/>
  <c r="H1328" i="1"/>
  <c r="I1328" i="1" s="1"/>
  <c r="E1328" i="1"/>
  <c r="I1327" i="1"/>
  <c r="H1327" i="1"/>
  <c r="E1327" i="1"/>
  <c r="H1326" i="1"/>
  <c r="I1326" i="1" s="1"/>
  <c r="E1326" i="1"/>
  <c r="H1325" i="1"/>
  <c r="I1325" i="1" s="1"/>
  <c r="E1325" i="1"/>
  <c r="H1324" i="1"/>
  <c r="I1324" i="1" s="1"/>
  <c r="E1324" i="1"/>
  <c r="H1323" i="1"/>
  <c r="I1323" i="1" s="1"/>
  <c r="E1323" i="1"/>
  <c r="H1322" i="1"/>
  <c r="I1322" i="1" s="1"/>
  <c r="E1322" i="1"/>
  <c r="H1321" i="1"/>
  <c r="I1321" i="1" s="1"/>
  <c r="E1321" i="1"/>
  <c r="I1320" i="1"/>
  <c r="H1320" i="1"/>
  <c r="E1320" i="1"/>
  <c r="H1319" i="1"/>
  <c r="I1319" i="1" s="1"/>
  <c r="E1319" i="1"/>
  <c r="H1318" i="1"/>
  <c r="I1318" i="1" s="1"/>
  <c r="E1318" i="1"/>
  <c r="H1317" i="1"/>
  <c r="I1317" i="1" s="1"/>
  <c r="E1317" i="1"/>
  <c r="I1316" i="1"/>
  <c r="H1316" i="1"/>
  <c r="E1316" i="1"/>
  <c r="H1315" i="1"/>
  <c r="I1315" i="1" s="1"/>
  <c r="E1315" i="1"/>
  <c r="I1314" i="1"/>
  <c r="H1314" i="1"/>
  <c r="E1314" i="1"/>
  <c r="H1313" i="1"/>
  <c r="I1313" i="1" s="1"/>
  <c r="E1313" i="1"/>
  <c r="H1312" i="1"/>
  <c r="I1312" i="1" s="1"/>
  <c r="E1312" i="1"/>
  <c r="I1311" i="1"/>
  <c r="H1311" i="1"/>
  <c r="E1311" i="1"/>
  <c r="H1310" i="1"/>
  <c r="I1310" i="1" s="1"/>
  <c r="E1310" i="1"/>
  <c r="H1309" i="1"/>
  <c r="I1309" i="1" s="1"/>
  <c r="E1309" i="1"/>
  <c r="H1308" i="1"/>
  <c r="I1308" i="1" s="1"/>
  <c r="E1308" i="1"/>
  <c r="H1307" i="1"/>
  <c r="I1307" i="1" s="1"/>
  <c r="E1307" i="1"/>
  <c r="H1306" i="1"/>
  <c r="I1306" i="1" s="1"/>
  <c r="E1306" i="1"/>
  <c r="H1305" i="1"/>
  <c r="I1305" i="1" s="1"/>
  <c r="E1305" i="1"/>
  <c r="I1304" i="1"/>
  <c r="H1304" i="1"/>
  <c r="E1304" i="1"/>
  <c r="H1303" i="1"/>
  <c r="I1303" i="1" s="1"/>
  <c r="E1303" i="1"/>
  <c r="H1302" i="1"/>
  <c r="I1302" i="1" s="1"/>
  <c r="E1302" i="1"/>
  <c r="H1301" i="1"/>
  <c r="I1301" i="1" s="1"/>
  <c r="E1301" i="1"/>
  <c r="I1300" i="1"/>
  <c r="H1300" i="1"/>
  <c r="E1300" i="1"/>
  <c r="H1299" i="1"/>
  <c r="I1299" i="1" s="1"/>
  <c r="E1299" i="1"/>
  <c r="I1298" i="1"/>
  <c r="H1298" i="1"/>
  <c r="E1298" i="1"/>
  <c r="H1297" i="1"/>
  <c r="I1297" i="1" s="1"/>
  <c r="E1297" i="1"/>
  <c r="H1296" i="1"/>
  <c r="I1296" i="1" s="1"/>
  <c r="E1296" i="1"/>
  <c r="I1295" i="1"/>
  <c r="H1295" i="1"/>
  <c r="E1295" i="1"/>
  <c r="H1294" i="1"/>
  <c r="I1294" i="1" s="1"/>
  <c r="E1294" i="1"/>
  <c r="H1293" i="1"/>
  <c r="I1293" i="1" s="1"/>
  <c r="E1293" i="1"/>
  <c r="H1292" i="1"/>
  <c r="I1292" i="1" s="1"/>
  <c r="E1292" i="1"/>
  <c r="H1291" i="1"/>
  <c r="I1291" i="1" s="1"/>
  <c r="E1291" i="1"/>
  <c r="H1290" i="1"/>
  <c r="I1290" i="1" s="1"/>
  <c r="E1290" i="1"/>
  <c r="H1289" i="1"/>
  <c r="I1289" i="1" s="1"/>
  <c r="E1289" i="1"/>
  <c r="I1288" i="1"/>
  <c r="H1288" i="1"/>
  <c r="E1288" i="1"/>
  <c r="H1287" i="1"/>
  <c r="I1287" i="1" s="1"/>
  <c r="E1287" i="1"/>
  <c r="H1286" i="1"/>
  <c r="I1286" i="1" s="1"/>
  <c r="E1286" i="1"/>
  <c r="H1285" i="1"/>
  <c r="I1285" i="1" s="1"/>
  <c r="E1285" i="1"/>
  <c r="I1284" i="1"/>
  <c r="H1284" i="1"/>
  <c r="E1284" i="1"/>
  <c r="H1283" i="1"/>
  <c r="I1283" i="1" s="1"/>
  <c r="E1283" i="1"/>
  <c r="I1282" i="1"/>
  <c r="H1282" i="1"/>
  <c r="E1282" i="1"/>
  <c r="H1281" i="1"/>
  <c r="I1281" i="1" s="1"/>
  <c r="E1281" i="1"/>
  <c r="H1280" i="1"/>
  <c r="I1280" i="1" s="1"/>
  <c r="E1280" i="1"/>
  <c r="I1279" i="1"/>
  <c r="H1279" i="1"/>
  <c r="E1279" i="1"/>
  <c r="H1278" i="1"/>
  <c r="I1278" i="1" s="1"/>
  <c r="E1278" i="1"/>
  <c r="H1277" i="1"/>
  <c r="I1277" i="1" s="1"/>
  <c r="E1277" i="1"/>
  <c r="H1276" i="1"/>
  <c r="I1276" i="1" s="1"/>
  <c r="E1276" i="1"/>
  <c r="H1275" i="1"/>
  <c r="I1275" i="1" s="1"/>
  <c r="E1275" i="1"/>
  <c r="H1274" i="1"/>
  <c r="I1274" i="1" s="1"/>
  <c r="E1274" i="1"/>
  <c r="H1273" i="1"/>
  <c r="I1273" i="1" s="1"/>
  <c r="E1273" i="1"/>
  <c r="I1272" i="1"/>
  <c r="H1272" i="1"/>
  <c r="E1272" i="1"/>
  <c r="H1271" i="1"/>
  <c r="I1271" i="1" s="1"/>
  <c r="E1271" i="1"/>
  <c r="H1270" i="1"/>
  <c r="I1270" i="1" s="1"/>
  <c r="E1270" i="1"/>
  <c r="H1269" i="1"/>
  <c r="I1269" i="1" s="1"/>
  <c r="E1269" i="1"/>
  <c r="I1268" i="1"/>
  <c r="H1268" i="1"/>
  <c r="E1268" i="1"/>
  <c r="H1267" i="1"/>
  <c r="I1267" i="1" s="1"/>
  <c r="E1267" i="1"/>
  <c r="I1266" i="1"/>
  <c r="H1266" i="1"/>
  <c r="E1266" i="1"/>
  <c r="H1265" i="1"/>
  <c r="I1265" i="1" s="1"/>
  <c r="E1265" i="1"/>
  <c r="H1264" i="1"/>
  <c r="I1264" i="1" s="1"/>
  <c r="E1264" i="1"/>
  <c r="I1263" i="1"/>
  <c r="H1263" i="1"/>
  <c r="E1263" i="1"/>
  <c r="H1262" i="1"/>
  <c r="I1262" i="1" s="1"/>
  <c r="E1262" i="1"/>
  <c r="H1261" i="1"/>
  <c r="I1261" i="1" s="1"/>
  <c r="E1261" i="1"/>
  <c r="H1260" i="1"/>
  <c r="I1260" i="1" s="1"/>
  <c r="E1260" i="1"/>
  <c r="H1259" i="1"/>
  <c r="I1259" i="1" s="1"/>
  <c r="E1259" i="1"/>
  <c r="H1258" i="1"/>
  <c r="I1258" i="1" s="1"/>
  <c r="E1258" i="1"/>
  <c r="H1257" i="1"/>
  <c r="I1257" i="1" s="1"/>
  <c r="E1257" i="1"/>
  <c r="I1256" i="1"/>
  <c r="H1256" i="1"/>
  <c r="E1256" i="1"/>
  <c r="H1255" i="1"/>
  <c r="I1255" i="1" s="1"/>
  <c r="E1255" i="1"/>
  <c r="H1254" i="1"/>
  <c r="I1254" i="1" s="1"/>
  <c r="E1254" i="1"/>
  <c r="H1253" i="1"/>
  <c r="I1253" i="1" s="1"/>
  <c r="E1253" i="1"/>
  <c r="I1252" i="1"/>
  <c r="H1252" i="1"/>
  <c r="E1252" i="1"/>
  <c r="H1251" i="1"/>
  <c r="I1251" i="1" s="1"/>
  <c r="E1251" i="1"/>
  <c r="I1250" i="1"/>
  <c r="H1250" i="1"/>
  <c r="E1250" i="1"/>
  <c r="H1249" i="1"/>
  <c r="I1249" i="1" s="1"/>
  <c r="E1249" i="1"/>
  <c r="H1248" i="1"/>
  <c r="I1248" i="1" s="1"/>
  <c r="E1248" i="1"/>
  <c r="I1247" i="1"/>
  <c r="H1247" i="1"/>
  <c r="E1247" i="1"/>
  <c r="H1246" i="1"/>
  <c r="I1246" i="1" s="1"/>
  <c r="E1246" i="1"/>
  <c r="H1245" i="1"/>
  <c r="I1245" i="1" s="1"/>
  <c r="E1245" i="1"/>
  <c r="H1244" i="1"/>
  <c r="I1244" i="1" s="1"/>
  <c r="E1244" i="1"/>
  <c r="H1243" i="1"/>
  <c r="I1243" i="1" s="1"/>
  <c r="E1243" i="1"/>
  <c r="H1242" i="1"/>
  <c r="I1242" i="1" s="1"/>
  <c r="E1242" i="1"/>
  <c r="H1241" i="1"/>
  <c r="I1241" i="1" s="1"/>
  <c r="E1241" i="1"/>
  <c r="I1240" i="1"/>
  <c r="H1240" i="1"/>
  <c r="E1240" i="1"/>
  <c r="H1239" i="1"/>
  <c r="I1239" i="1" s="1"/>
  <c r="E1239" i="1"/>
  <c r="H1238" i="1"/>
  <c r="I1238" i="1" s="1"/>
  <c r="E1238" i="1"/>
  <c r="H1237" i="1"/>
  <c r="I1237" i="1" s="1"/>
  <c r="E1237" i="1"/>
  <c r="I1236" i="1"/>
  <c r="H1236" i="1"/>
  <c r="E1236" i="1"/>
  <c r="H1235" i="1"/>
  <c r="I1235" i="1" s="1"/>
  <c r="E1235" i="1"/>
  <c r="I1234" i="1"/>
  <c r="H1234" i="1"/>
  <c r="E1234" i="1"/>
  <c r="H1233" i="1"/>
  <c r="I1233" i="1" s="1"/>
  <c r="E1233" i="1"/>
  <c r="H1232" i="1"/>
  <c r="I1232" i="1" s="1"/>
  <c r="E1232" i="1"/>
  <c r="I1231" i="1"/>
  <c r="H1231" i="1"/>
  <c r="E1231" i="1"/>
  <c r="H1230" i="1"/>
  <c r="I1230" i="1" s="1"/>
  <c r="E1230" i="1"/>
  <c r="H1229" i="1"/>
  <c r="I1229" i="1" s="1"/>
  <c r="E1229" i="1"/>
  <c r="H1228" i="1"/>
  <c r="I1228" i="1" s="1"/>
  <c r="E1228" i="1"/>
  <c r="H1227" i="1"/>
  <c r="I1227" i="1" s="1"/>
  <c r="E1227" i="1"/>
  <c r="H1226" i="1"/>
  <c r="I1226" i="1" s="1"/>
  <c r="E1226" i="1"/>
  <c r="H1225" i="1"/>
  <c r="I1225" i="1" s="1"/>
  <c r="E1225" i="1"/>
  <c r="I1224" i="1"/>
  <c r="H1224" i="1"/>
  <c r="E1224" i="1"/>
  <c r="H1223" i="1"/>
  <c r="I1223" i="1" s="1"/>
  <c r="E1223" i="1"/>
  <c r="H1222" i="1"/>
  <c r="I1222" i="1" s="1"/>
  <c r="E1222" i="1"/>
  <c r="H1221" i="1"/>
  <c r="I1221" i="1" s="1"/>
  <c r="E1221" i="1"/>
  <c r="I1220" i="1"/>
  <c r="H1220" i="1"/>
  <c r="E1220" i="1"/>
  <c r="H1219" i="1"/>
  <c r="I1219" i="1" s="1"/>
  <c r="E1219" i="1"/>
  <c r="I1218" i="1"/>
  <c r="H1218" i="1"/>
  <c r="E1218" i="1"/>
  <c r="H1217" i="1"/>
  <c r="I1217" i="1" s="1"/>
  <c r="E1217" i="1"/>
  <c r="H1216" i="1"/>
  <c r="I1216" i="1" s="1"/>
  <c r="E1216" i="1"/>
  <c r="H1215" i="1"/>
  <c r="I1215" i="1" s="1"/>
  <c r="E1215" i="1"/>
  <c r="H1214" i="1"/>
  <c r="I1214" i="1" s="1"/>
  <c r="E1214" i="1"/>
  <c r="H1213" i="1"/>
  <c r="I1213" i="1" s="1"/>
  <c r="E1213" i="1"/>
  <c r="I1212" i="1"/>
  <c r="H1212" i="1"/>
  <c r="E1212" i="1"/>
  <c r="H1211" i="1"/>
  <c r="I1211" i="1" s="1"/>
  <c r="E1211" i="1"/>
  <c r="H1210" i="1"/>
  <c r="I1210" i="1" s="1"/>
  <c r="E1210" i="1"/>
  <c r="H1209" i="1"/>
  <c r="I1209" i="1" s="1"/>
  <c r="E1209" i="1"/>
  <c r="H1208" i="1"/>
  <c r="I1208" i="1" s="1"/>
  <c r="E1208" i="1"/>
  <c r="H1207" i="1"/>
  <c r="I1207" i="1" s="1"/>
  <c r="E1207" i="1"/>
  <c r="I1206" i="1"/>
  <c r="H1206" i="1"/>
  <c r="E1206" i="1"/>
  <c r="H1205" i="1"/>
  <c r="I1205" i="1" s="1"/>
  <c r="E1205" i="1"/>
  <c r="H1204" i="1"/>
  <c r="I1204" i="1" s="1"/>
  <c r="E1204" i="1"/>
  <c r="I1203" i="1"/>
  <c r="H1203" i="1"/>
  <c r="E1203" i="1"/>
  <c r="H1202" i="1"/>
  <c r="I1202" i="1" s="1"/>
  <c r="E1202" i="1"/>
  <c r="H1201" i="1"/>
  <c r="I1201" i="1" s="1"/>
  <c r="E1201" i="1"/>
  <c r="H1200" i="1"/>
  <c r="I1200" i="1" s="1"/>
  <c r="E1200" i="1"/>
  <c r="H1199" i="1"/>
  <c r="I1199" i="1" s="1"/>
  <c r="E1199" i="1"/>
  <c r="H1198" i="1"/>
  <c r="I1198" i="1" s="1"/>
  <c r="E1198" i="1"/>
  <c r="H1197" i="1"/>
  <c r="I1197" i="1" s="1"/>
  <c r="E1197" i="1"/>
  <c r="I1196" i="1"/>
  <c r="H1196" i="1"/>
  <c r="E1196" i="1"/>
  <c r="H1195" i="1"/>
  <c r="I1195" i="1" s="1"/>
  <c r="E1195" i="1"/>
  <c r="H1194" i="1"/>
  <c r="I1194" i="1" s="1"/>
  <c r="E1194" i="1"/>
  <c r="H1193" i="1"/>
  <c r="I1193" i="1" s="1"/>
  <c r="E1193" i="1"/>
  <c r="H1192" i="1"/>
  <c r="I1192" i="1" s="1"/>
  <c r="E1192" i="1"/>
  <c r="H1191" i="1"/>
  <c r="I1191" i="1" s="1"/>
  <c r="E1191" i="1"/>
  <c r="I1190" i="1"/>
  <c r="H1190" i="1"/>
  <c r="E1190" i="1"/>
  <c r="H1189" i="1"/>
  <c r="I1189" i="1" s="1"/>
  <c r="E1189" i="1"/>
  <c r="H1188" i="1"/>
  <c r="I1188" i="1" s="1"/>
  <c r="E1188" i="1"/>
  <c r="I1187" i="1"/>
  <c r="H1187" i="1"/>
  <c r="E1187" i="1"/>
  <c r="H1186" i="1"/>
  <c r="I1186" i="1" s="1"/>
  <c r="E1186" i="1"/>
  <c r="H1185" i="1"/>
  <c r="I1185" i="1" s="1"/>
  <c r="E1185" i="1"/>
  <c r="H1184" i="1"/>
  <c r="I1184" i="1" s="1"/>
  <c r="E1184" i="1"/>
  <c r="H1183" i="1"/>
  <c r="I1183" i="1" s="1"/>
  <c r="E1183" i="1"/>
  <c r="H1182" i="1"/>
  <c r="I1182" i="1" s="1"/>
  <c r="E1182" i="1"/>
  <c r="H1181" i="1"/>
  <c r="I1181" i="1" s="1"/>
  <c r="E1181" i="1"/>
  <c r="I1180" i="1"/>
  <c r="H1180" i="1"/>
  <c r="E1180" i="1"/>
  <c r="H1179" i="1"/>
  <c r="I1179" i="1" s="1"/>
  <c r="E1179" i="1"/>
  <c r="H1178" i="1"/>
  <c r="I1178" i="1" s="1"/>
  <c r="E1178" i="1"/>
  <c r="H1177" i="1"/>
  <c r="I1177" i="1" s="1"/>
  <c r="E1177" i="1"/>
  <c r="H1176" i="1"/>
  <c r="I1176" i="1" s="1"/>
  <c r="E1176" i="1"/>
  <c r="H1175" i="1"/>
  <c r="I1175" i="1" s="1"/>
  <c r="E1175" i="1"/>
  <c r="I1174" i="1"/>
  <c r="H1174" i="1"/>
  <c r="E1174" i="1"/>
  <c r="H1173" i="1"/>
  <c r="I1173" i="1" s="1"/>
  <c r="E1173" i="1"/>
  <c r="H1172" i="1"/>
  <c r="I1172" i="1" s="1"/>
  <c r="E1172" i="1"/>
  <c r="I1171" i="1"/>
  <c r="H1171" i="1"/>
  <c r="E1171" i="1"/>
  <c r="H1170" i="1"/>
  <c r="I1170" i="1" s="1"/>
  <c r="E1170" i="1"/>
  <c r="H1169" i="1"/>
  <c r="I1169" i="1" s="1"/>
  <c r="E1169" i="1"/>
  <c r="H1168" i="1"/>
  <c r="I1168" i="1" s="1"/>
  <c r="E1168" i="1"/>
  <c r="H1167" i="1"/>
  <c r="I1167" i="1" s="1"/>
  <c r="E1167" i="1"/>
  <c r="H1166" i="1"/>
  <c r="I1166" i="1" s="1"/>
  <c r="E1166" i="1"/>
  <c r="H1165" i="1"/>
  <c r="I1165" i="1" s="1"/>
  <c r="E1165" i="1"/>
  <c r="I1164" i="1"/>
  <c r="H1164" i="1"/>
  <c r="E1164" i="1"/>
  <c r="H1163" i="1"/>
  <c r="I1163" i="1" s="1"/>
  <c r="E1163" i="1"/>
  <c r="H1162" i="1"/>
  <c r="I1162" i="1" s="1"/>
  <c r="E1162" i="1"/>
  <c r="H1161" i="1"/>
  <c r="I1161" i="1" s="1"/>
  <c r="E1161" i="1"/>
  <c r="H1160" i="1"/>
  <c r="I1160" i="1" s="1"/>
  <c r="E1160" i="1"/>
  <c r="H1159" i="1"/>
  <c r="I1159" i="1" s="1"/>
  <c r="E1159" i="1"/>
  <c r="I1158" i="1"/>
  <c r="H1158" i="1"/>
  <c r="E1158" i="1"/>
  <c r="H1157" i="1"/>
  <c r="I1157" i="1" s="1"/>
  <c r="E1157" i="1"/>
  <c r="H1156" i="1"/>
  <c r="I1156" i="1" s="1"/>
  <c r="E1156" i="1"/>
  <c r="I1155" i="1"/>
  <c r="H1155" i="1"/>
  <c r="E1155" i="1"/>
  <c r="H1154" i="1"/>
  <c r="I1154" i="1" s="1"/>
  <c r="E1154" i="1"/>
  <c r="H1153" i="1"/>
  <c r="I1153" i="1" s="1"/>
  <c r="E1153" i="1"/>
  <c r="H1152" i="1"/>
  <c r="I1152" i="1" s="1"/>
  <c r="E1152" i="1"/>
  <c r="H1151" i="1"/>
  <c r="I1151" i="1" s="1"/>
  <c r="E1151" i="1"/>
  <c r="H1150" i="1"/>
  <c r="I1150" i="1" s="1"/>
  <c r="E1150" i="1"/>
  <c r="H1149" i="1"/>
  <c r="I1149" i="1" s="1"/>
  <c r="E1149" i="1"/>
  <c r="I1148" i="1"/>
  <c r="H1148" i="1"/>
  <c r="E1148" i="1"/>
  <c r="H1147" i="1"/>
  <c r="I1147" i="1" s="1"/>
  <c r="E1147" i="1"/>
  <c r="H1146" i="1"/>
  <c r="I1146" i="1" s="1"/>
  <c r="E1146" i="1"/>
  <c r="H1145" i="1"/>
  <c r="I1145" i="1" s="1"/>
  <c r="E1145" i="1"/>
  <c r="H1144" i="1"/>
  <c r="I1144" i="1" s="1"/>
  <c r="E1144" i="1"/>
  <c r="H1143" i="1"/>
  <c r="I1143" i="1" s="1"/>
  <c r="E1143" i="1"/>
  <c r="I1142" i="1"/>
  <c r="H1142" i="1"/>
  <c r="E1142" i="1"/>
  <c r="H1141" i="1"/>
  <c r="I1141" i="1" s="1"/>
  <c r="E1141" i="1"/>
  <c r="H1140" i="1"/>
  <c r="I1140" i="1" s="1"/>
  <c r="E1140" i="1"/>
  <c r="I1139" i="1"/>
  <c r="H1139" i="1"/>
  <c r="E1139" i="1"/>
  <c r="H1138" i="1"/>
  <c r="I1138" i="1" s="1"/>
  <c r="E1138" i="1"/>
  <c r="H1137" i="1"/>
  <c r="I1137" i="1" s="1"/>
  <c r="E1137" i="1"/>
  <c r="H1136" i="1"/>
  <c r="I1136" i="1" s="1"/>
  <c r="E1136" i="1"/>
  <c r="H1135" i="1"/>
  <c r="I1135" i="1" s="1"/>
  <c r="E1135" i="1"/>
  <c r="H1134" i="1"/>
  <c r="I1134" i="1" s="1"/>
  <c r="E1134" i="1"/>
  <c r="H1133" i="1"/>
  <c r="I1133" i="1" s="1"/>
  <c r="E1133" i="1"/>
  <c r="I1132" i="1"/>
  <c r="H1132" i="1"/>
  <c r="E1132" i="1"/>
  <c r="H1131" i="1"/>
  <c r="I1131" i="1" s="1"/>
  <c r="E1131" i="1"/>
  <c r="H1130" i="1"/>
  <c r="I1130" i="1" s="1"/>
  <c r="E1130" i="1"/>
  <c r="H1129" i="1"/>
  <c r="I1129" i="1" s="1"/>
  <c r="E1129" i="1"/>
  <c r="H1128" i="1"/>
  <c r="I1128" i="1" s="1"/>
  <c r="E1128" i="1"/>
  <c r="H1127" i="1"/>
  <c r="I1127" i="1" s="1"/>
  <c r="E1127" i="1"/>
  <c r="I1126" i="1"/>
  <c r="H1126" i="1"/>
  <c r="E1126" i="1"/>
  <c r="H1125" i="1"/>
  <c r="I1125" i="1" s="1"/>
  <c r="E1125" i="1"/>
  <c r="H1124" i="1"/>
  <c r="I1124" i="1" s="1"/>
  <c r="E1124" i="1"/>
  <c r="I1123" i="1"/>
  <c r="H1123" i="1"/>
  <c r="E1123" i="1"/>
  <c r="H1122" i="1"/>
  <c r="I1122" i="1" s="1"/>
  <c r="E1122" i="1"/>
  <c r="H1121" i="1"/>
  <c r="I1121" i="1" s="1"/>
  <c r="E1121" i="1"/>
  <c r="H1120" i="1"/>
  <c r="I1120" i="1" s="1"/>
  <c r="E1120" i="1"/>
  <c r="H1119" i="1"/>
  <c r="I1119" i="1" s="1"/>
  <c r="E1119" i="1"/>
  <c r="H1118" i="1"/>
  <c r="I1118" i="1" s="1"/>
  <c r="E1118" i="1"/>
  <c r="H1117" i="1"/>
  <c r="I1117" i="1" s="1"/>
  <c r="E1117" i="1"/>
  <c r="I1116" i="1"/>
  <c r="H1116" i="1"/>
  <c r="E1116" i="1"/>
  <c r="H1115" i="1"/>
  <c r="I1115" i="1" s="1"/>
  <c r="E1115" i="1"/>
  <c r="H1114" i="1"/>
  <c r="I1114" i="1" s="1"/>
  <c r="E1114" i="1"/>
  <c r="H1113" i="1"/>
  <c r="I1113" i="1" s="1"/>
  <c r="E1113" i="1"/>
  <c r="H1112" i="1"/>
  <c r="I1112" i="1" s="1"/>
  <c r="E1112" i="1"/>
  <c r="H1111" i="1"/>
  <c r="I1111" i="1" s="1"/>
  <c r="E1111" i="1"/>
  <c r="I1110" i="1"/>
  <c r="H1110" i="1"/>
  <c r="E1110" i="1"/>
  <c r="H1109" i="1"/>
  <c r="I1109" i="1" s="1"/>
  <c r="E1109" i="1"/>
  <c r="H1108" i="1"/>
  <c r="I1108" i="1" s="1"/>
  <c r="E1108" i="1"/>
  <c r="I1107" i="1"/>
  <c r="H1107" i="1"/>
  <c r="E1107" i="1"/>
  <c r="H1106" i="1"/>
  <c r="I1106" i="1" s="1"/>
  <c r="E1106" i="1"/>
  <c r="H1105" i="1"/>
  <c r="I1105" i="1" s="1"/>
  <c r="E1105" i="1"/>
  <c r="H1104" i="1"/>
  <c r="I1104" i="1" s="1"/>
  <c r="E1104" i="1"/>
  <c r="H1103" i="1"/>
  <c r="I1103" i="1" s="1"/>
  <c r="E1103" i="1"/>
  <c r="H1102" i="1"/>
  <c r="I1102" i="1" s="1"/>
  <c r="E1102" i="1"/>
  <c r="H1101" i="1"/>
  <c r="I1101" i="1" s="1"/>
  <c r="E1101" i="1"/>
  <c r="I1100" i="1"/>
  <c r="H1100" i="1"/>
  <c r="E1100" i="1"/>
  <c r="H1099" i="1"/>
  <c r="I1099" i="1" s="1"/>
  <c r="E1099" i="1"/>
  <c r="H1098" i="1"/>
  <c r="I1098" i="1" s="1"/>
  <c r="E1098" i="1"/>
  <c r="H1097" i="1"/>
  <c r="I1097" i="1" s="1"/>
  <c r="E1097" i="1"/>
  <c r="H1096" i="1"/>
  <c r="I1096" i="1" s="1"/>
  <c r="E1096" i="1"/>
  <c r="H1095" i="1"/>
  <c r="I1095" i="1" s="1"/>
  <c r="E1095" i="1"/>
  <c r="I1094" i="1"/>
  <c r="H1094" i="1"/>
  <c r="E1094" i="1"/>
  <c r="H1093" i="1"/>
  <c r="I1093" i="1" s="1"/>
  <c r="E1093" i="1"/>
  <c r="H1092" i="1"/>
  <c r="I1092" i="1" s="1"/>
  <c r="E1092" i="1"/>
  <c r="I1091" i="1"/>
  <c r="H1091" i="1"/>
  <c r="E1091" i="1"/>
  <c r="H1090" i="1"/>
  <c r="I1090" i="1" s="1"/>
  <c r="E1090" i="1"/>
  <c r="H1089" i="1"/>
  <c r="I1089" i="1" s="1"/>
  <c r="E1089" i="1"/>
  <c r="H1088" i="1"/>
  <c r="I1088" i="1" s="1"/>
  <c r="E1088" i="1"/>
  <c r="H1087" i="1"/>
  <c r="I1087" i="1" s="1"/>
  <c r="E1087" i="1"/>
  <c r="H1086" i="1"/>
  <c r="I1086" i="1" s="1"/>
  <c r="E1086" i="1"/>
  <c r="H1085" i="1"/>
  <c r="I1085" i="1" s="1"/>
  <c r="E1085" i="1"/>
  <c r="I1084" i="1"/>
  <c r="H1084" i="1"/>
  <c r="E1084" i="1"/>
  <c r="H1083" i="1"/>
  <c r="I1083" i="1" s="1"/>
  <c r="E1083" i="1"/>
  <c r="H1082" i="1"/>
  <c r="I1082" i="1" s="1"/>
  <c r="E1082" i="1"/>
  <c r="H1081" i="1"/>
  <c r="I1081" i="1" s="1"/>
  <c r="E1081" i="1"/>
  <c r="H1080" i="1"/>
  <c r="I1080" i="1" s="1"/>
  <c r="E1080" i="1"/>
  <c r="H1079" i="1"/>
  <c r="I1079" i="1" s="1"/>
  <c r="E1079" i="1"/>
  <c r="I1078" i="1"/>
  <c r="H1078" i="1"/>
  <c r="E1078" i="1"/>
  <c r="H1077" i="1"/>
  <c r="I1077" i="1" s="1"/>
  <c r="E1077" i="1"/>
  <c r="H1076" i="1"/>
  <c r="I1076" i="1" s="1"/>
  <c r="E1076" i="1"/>
  <c r="I1075" i="1"/>
  <c r="H1075" i="1"/>
  <c r="E1075" i="1"/>
  <c r="H1074" i="1"/>
  <c r="I1074" i="1" s="1"/>
  <c r="E1074" i="1"/>
  <c r="H1073" i="1"/>
  <c r="I1073" i="1" s="1"/>
  <c r="E1073" i="1"/>
  <c r="H1072" i="1"/>
  <c r="I1072" i="1" s="1"/>
  <c r="E1072" i="1"/>
  <c r="H1071" i="1"/>
  <c r="I1071" i="1" s="1"/>
  <c r="E1071" i="1"/>
  <c r="H1070" i="1"/>
  <c r="I1070" i="1" s="1"/>
  <c r="E1070" i="1"/>
  <c r="H1069" i="1"/>
  <c r="I1069" i="1" s="1"/>
  <c r="E1069" i="1"/>
  <c r="I1068" i="1"/>
  <c r="H1068" i="1"/>
  <c r="E1068" i="1"/>
  <c r="H1067" i="1"/>
  <c r="I1067" i="1" s="1"/>
  <c r="E1067" i="1"/>
  <c r="H1066" i="1"/>
  <c r="I1066" i="1" s="1"/>
  <c r="E1066" i="1"/>
  <c r="H1065" i="1"/>
  <c r="I1065" i="1" s="1"/>
  <c r="E1065" i="1"/>
  <c r="H1064" i="1"/>
  <c r="I1064" i="1" s="1"/>
  <c r="E1064" i="1"/>
  <c r="H1063" i="1"/>
  <c r="I1063" i="1" s="1"/>
  <c r="E1063" i="1"/>
  <c r="I1062" i="1"/>
  <c r="H1062" i="1"/>
  <c r="E1062" i="1"/>
  <c r="H1061" i="1"/>
  <c r="I1061" i="1" s="1"/>
  <c r="E1061" i="1"/>
  <c r="H1060" i="1"/>
  <c r="I1060" i="1" s="1"/>
  <c r="E1060" i="1"/>
  <c r="I1059" i="1"/>
  <c r="H1059" i="1"/>
  <c r="E1059" i="1"/>
  <c r="H1058" i="1"/>
  <c r="I1058" i="1" s="1"/>
  <c r="E1058" i="1"/>
  <c r="H1057" i="1"/>
  <c r="I1057" i="1" s="1"/>
  <c r="E1057" i="1"/>
  <c r="H1056" i="1"/>
  <c r="I1056" i="1" s="1"/>
  <c r="E1056" i="1"/>
  <c r="H1055" i="1"/>
  <c r="I1055" i="1" s="1"/>
  <c r="E1055" i="1"/>
  <c r="H1054" i="1"/>
  <c r="I1054" i="1" s="1"/>
  <c r="E1054" i="1"/>
  <c r="H1053" i="1"/>
  <c r="I1053" i="1" s="1"/>
  <c r="E1053" i="1"/>
  <c r="I1052" i="1"/>
  <c r="H1052" i="1"/>
  <c r="E1052" i="1"/>
  <c r="H1051" i="1"/>
  <c r="I1051" i="1" s="1"/>
  <c r="E1051" i="1"/>
  <c r="H1050" i="1"/>
  <c r="I1050" i="1" s="1"/>
  <c r="E1050" i="1"/>
  <c r="H1049" i="1"/>
  <c r="I1049" i="1" s="1"/>
  <c r="E1049" i="1"/>
  <c r="H1048" i="1"/>
  <c r="I1048" i="1" s="1"/>
  <c r="E1048" i="1"/>
  <c r="H1047" i="1"/>
  <c r="I1047" i="1" s="1"/>
  <c r="E1047" i="1"/>
  <c r="I1046" i="1"/>
  <c r="H1046" i="1"/>
  <c r="E1046" i="1"/>
  <c r="H1045" i="1"/>
  <c r="I1045" i="1" s="1"/>
  <c r="E1045" i="1"/>
  <c r="H1044" i="1"/>
  <c r="I1044" i="1" s="1"/>
  <c r="E1044" i="1"/>
  <c r="I1043" i="1"/>
  <c r="H1043" i="1"/>
  <c r="E1043" i="1"/>
  <c r="H1042" i="1"/>
  <c r="I1042" i="1" s="1"/>
  <c r="E1042" i="1"/>
  <c r="H1041" i="1"/>
  <c r="I1041" i="1" s="1"/>
  <c r="E1041" i="1"/>
  <c r="H1040" i="1"/>
  <c r="I1040" i="1" s="1"/>
  <c r="E1040" i="1"/>
  <c r="H1039" i="1"/>
  <c r="I1039" i="1" s="1"/>
  <c r="E1039" i="1"/>
  <c r="H1038" i="1"/>
  <c r="I1038" i="1" s="1"/>
  <c r="E1038" i="1"/>
  <c r="H1037" i="1"/>
  <c r="I1037" i="1" s="1"/>
  <c r="E1037" i="1"/>
  <c r="I1036" i="1"/>
  <c r="H1036" i="1"/>
  <c r="E1036" i="1"/>
  <c r="H1035" i="1"/>
  <c r="I1035" i="1" s="1"/>
  <c r="E1035" i="1"/>
  <c r="H1034" i="1"/>
  <c r="I1034" i="1" s="1"/>
  <c r="E1034" i="1"/>
  <c r="H1033" i="1"/>
  <c r="I1033" i="1" s="1"/>
  <c r="E1033" i="1"/>
  <c r="H1032" i="1"/>
  <c r="I1032" i="1" s="1"/>
  <c r="E1032" i="1"/>
  <c r="H1031" i="1"/>
  <c r="I1031" i="1" s="1"/>
  <c r="E1031" i="1"/>
  <c r="I1030" i="1"/>
  <c r="H1030" i="1"/>
  <c r="E1030" i="1"/>
  <c r="H1029" i="1"/>
  <c r="I1029" i="1" s="1"/>
  <c r="E1029" i="1"/>
  <c r="H1028" i="1"/>
  <c r="I1028" i="1" s="1"/>
  <c r="E1028" i="1"/>
  <c r="I1027" i="1"/>
  <c r="H1027" i="1"/>
  <c r="E1027" i="1"/>
  <c r="H1026" i="1"/>
  <c r="I1026" i="1" s="1"/>
  <c r="E1026" i="1"/>
  <c r="H1025" i="1"/>
  <c r="I1025" i="1" s="1"/>
  <c r="E1025" i="1"/>
  <c r="H1024" i="1"/>
  <c r="I1024" i="1" s="1"/>
  <c r="E1024" i="1"/>
  <c r="H1023" i="1"/>
  <c r="I1023" i="1" s="1"/>
  <c r="E1023" i="1"/>
  <c r="H1022" i="1"/>
  <c r="I1022" i="1" s="1"/>
  <c r="E1022" i="1"/>
  <c r="H1021" i="1"/>
  <c r="I1021" i="1" s="1"/>
  <c r="E1021" i="1"/>
  <c r="I1020" i="1"/>
  <c r="H1020" i="1"/>
  <c r="E1020" i="1"/>
  <c r="H1019" i="1"/>
  <c r="I1019" i="1" s="1"/>
  <c r="E1019" i="1"/>
  <c r="H1018" i="1"/>
  <c r="I1018" i="1" s="1"/>
  <c r="E1018" i="1"/>
  <c r="H1017" i="1"/>
  <c r="I1017" i="1" s="1"/>
  <c r="E1017" i="1"/>
  <c r="H1016" i="1"/>
  <c r="I1016" i="1" s="1"/>
  <c r="E1016" i="1"/>
  <c r="H1015" i="1"/>
  <c r="I1015" i="1" s="1"/>
  <c r="E1015" i="1"/>
  <c r="I1014" i="1"/>
  <c r="H1014" i="1"/>
  <c r="E1014" i="1"/>
  <c r="H1013" i="1"/>
  <c r="I1013" i="1" s="1"/>
  <c r="E1013" i="1"/>
  <c r="H1012" i="1"/>
  <c r="I1012" i="1" s="1"/>
  <c r="E1012" i="1"/>
  <c r="I1011" i="1"/>
  <c r="H1011" i="1"/>
  <c r="E1011" i="1"/>
  <c r="H1010" i="1"/>
  <c r="I1010" i="1" s="1"/>
  <c r="E1010" i="1"/>
  <c r="H1009" i="1"/>
  <c r="I1009" i="1" s="1"/>
  <c r="E1009" i="1"/>
  <c r="H1008" i="1"/>
  <c r="I1008" i="1" s="1"/>
  <c r="E1008" i="1"/>
  <c r="H1007" i="1"/>
  <c r="I1007" i="1" s="1"/>
  <c r="E1007" i="1"/>
  <c r="H1006" i="1"/>
  <c r="I1006" i="1" s="1"/>
  <c r="E1006" i="1"/>
  <c r="H1005" i="1"/>
  <c r="I1005" i="1" s="1"/>
  <c r="E1005" i="1"/>
  <c r="I1004" i="1"/>
  <c r="H1004" i="1"/>
  <c r="E1004" i="1"/>
  <c r="H1003" i="1"/>
  <c r="I1003" i="1" s="1"/>
  <c r="E1003" i="1"/>
  <c r="H1002" i="1"/>
  <c r="I1002" i="1" s="1"/>
  <c r="E1002" i="1"/>
  <c r="H1001" i="1"/>
  <c r="I1001" i="1" s="1"/>
  <c r="E1001" i="1"/>
  <c r="H1000" i="1"/>
  <c r="I1000" i="1" s="1"/>
  <c r="E1000" i="1"/>
  <c r="H999" i="1"/>
  <c r="I999" i="1" s="1"/>
  <c r="E999" i="1"/>
  <c r="I998" i="1"/>
  <c r="H998" i="1"/>
  <c r="E998" i="1"/>
  <c r="H997" i="1"/>
  <c r="I997" i="1" s="1"/>
  <c r="E997" i="1"/>
  <c r="H996" i="1"/>
  <c r="I996" i="1" s="1"/>
  <c r="E996" i="1"/>
  <c r="I995" i="1"/>
  <c r="H995" i="1"/>
  <c r="E995" i="1"/>
  <c r="H994" i="1"/>
  <c r="I994" i="1" s="1"/>
  <c r="E994" i="1"/>
  <c r="H993" i="1"/>
  <c r="I993" i="1" s="1"/>
  <c r="E993" i="1"/>
  <c r="H992" i="1"/>
  <c r="I992" i="1" s="1"/>
  <c r="E992" i="1"/>
  <c r="H991" i="1"/>
  <c r="I991" i="1" s="1"/>
  <c r="E991" i="1"/>
  <c r="H990" i="1"/>
  <c r="I990" i="1" s="1"/>
  <c r="E990" i="1"/>
  <c r="H989" i="1"/>
  <c r="I989" i="1" s="1"/>
  <c r="E989" i="1"/>
  <c r="I988" i="1"/>
  <c r="H988" i="1"/>
  <c r="E988" i="1"/>
  <c r="H987" i="1"/>
  <c r="I987" i="1" s="1"/>
  <c r="E987" i="1"/>
  <c r="H986" i="1"/>
  <c r="I986" i="1" s="1"/>
  <c r="E986" i="1"/>
  <c r="H985" i="1"/>
  <c r="I985" i="1" s="1"/>
  <c r="E985" i="1"/>
  <c r="H984" i="1"/>
  <c r="I984" i="1" s="1"/>
  <c r="E984" i="1"/>
  <c r="H983" i="1"/>
  <c r="I983" i="1" s="1"/>
  <c r="E983" i="1"/>
  <c r="I982" i="1"/>
  <c r="H982" i="1"/>
  <c r="E982" i="1"/>
  <c r="H981" i="1"/>
  <c r="I981" i="1" s="1"/>
  <c r="E981" i="1"/>
  <c r="H980" i="1"/>
  <c r="I980" i="1" s="1"/>
  <c r="E980" i="1"/>
  <c r="I979" i="1"/>
  <c r="H979" i="1"/>
  <c r="E979" i="1"/>
  <c r="H978" i="1"/>
  <c r="I978" i="1" s="1"/>
  <c r="E978" i="1"/>
  <c r="H977" i="1"/>
  <c r="I977" i="1" s="1"/>
  <c r="E977" i="1"/>
  <c r="H976" i="1"/>
  <c r="I976" i="1" s="1"/>
  <c r="E976" i="1"/>
  <c r="H975" i="1"/>
  <c r="I975" i="1" s="1"/>
  <c r="E975" i="1"/>
  <c r="H974" i="1"/>
  <c r="I974" i="1" s="1"/>
  <c r="E974" i="1"/>
  <c r="H973" i="1"/>
  <c r="I973" i="1" s="1"/>
  <c r="E973" i="1"/>
  <c r="I972" i="1"/>
  <c r="H972" i="1"/>
  <c r="E972" i="1"/>
  <c r="H971" i="1"/>
  <c r="I971" i="1" s="1"/>
  <c r="E971" i="1"/>
  <c r="H970" i="1"/>
  <c r="I970" i="1" s="1"/>
  <c r="E970" i="1"/>
  <c r="H969" i="1"/>
  <c r="I969" i="1" s="1"/>
  <c r="E969" i="1"/>
  <c r="H968" i="1"/>
  <c r="I968" i="1" s="1"/>
  <c r="E968" i="1"/>
  <c r="H967" i="1"/>
  <c r="I967" i="1" s="1"/>
  <c r="E967" i="1"/>
  <c r="I966" i="1"/>
  <c r="H966" i="1"/>
  <c r="E966" i="1"/>
  <c r="H965" i="1"/>
  <c r="I965" i="1" s="1"/>
  <c r="E965" i="1"/>
  <c r="H964" i="1"/>
  <c r="I964" i="1" s="1"/>
  <c r="E964" i="1"/>
  <c r="I963" i="1"/>
  <c r="H963" i="1"/>
  <c r="E963" i="1"/>
  <c r="H962" i="1"/>
  <c r="I962" i="1" s="1"/>
  <c r="E962" i="1"/>
  <c r="H961" i="1"/>
  <c r="I961" i="1" s="1"/>
  <c r="E961" i="1"/>
  <c r="H960" i="1"/>
  <c r="I960" i="1" s="1"/>
  <c r="E960" i="1"/>
  <c r="H959" i="1"/>
  <c r="I959" i="1" s="1"/>
  <c r="E959" i="1"/>
  <c r="H958" i="1"/>
  <c r="I958" i="1" s="1"/>
  <c r="E958" i="1"/>
  <c r="H957" i="1"/>
  <c r="I957" i="1" s="1"/>
  <c r="E957" i="1"/>
  <c r="I956" i="1"/>
  <c r="H956" i="1"/>
  <c r="E956" i="1"/>
  <c r="H955" i="1"/>
  <c r="I955" i="1" s="1"/>
  <c r="E955" i="1"/>
  <c r="H954" i="1"/>
  <c r="I954" i="1" s="1"/>
  <c r="E954" i="1"/>
  <c r="H953" i="1"/>
  <c r="I953" i="1" s="1"/>
  <c r="E953" i="1"/>
  <c r="H952" i="1"/>
  <c r="I952" i="1" s="1"/>
  <c r="E952" i="1"/>
  <c r="H951" i="1"/>
  <c r="I951" i="1" s="1"/>
  <c r="E951" i="1"/>
  <c r="I950" i="1"/>
  <c r="H950" i="1"/>
  <c r="E950" i="1"/>
  <c r="H949" i="1"/>
  <c r="I949" i="1" s="1"/>
  <c r="E949" i="1"/>
  <c r="H948" i="1"/>
  <c r="I948" i="1" s="1"/>
  <c r="E948" i="1"/>
  <c r="I947" i="1"/>
  <c r="H947" i="1"/>
  <c r="E947" i="1"/>
  <c r="H946" i="1"/>
  <c r="I946" i="1" s="1"/>
  <c r="E946" i="1"/>
  <c r="H945" i="1"/>
  <c r="I945" i="1" s="1"/>
  <c r="E945" i="1"/>
  <c r="H944" i="1"/>
  <c r="I944" i="1" s="1"/>
  <c r="E944" i="1"/>
  <c r="H943" i="1"/>
  <c r="I943" i="1" s="1"/>
  <c r="E943" i="1"/>
  <c r="H942" i="1"/>
  <c r="I942" i="1" s="1"/>
  <c r="E942" i="1"/>
  <c r="H941" i="1"/>
  <c r="I941" i="1" s="1"/>
  <c r="E941" i="1"/>
  <c r="I940" i="1"/>
  <c r="H940" i="1"/>
  <c r="E940" i="1"/>
  <c r="H939" i="1"/>
  <c r="I939" i="1" s="1"/>
  <c r="E939" i="1"/>
  <c r="H938" i="1"/>
  <c r="I938" i="1" s="1"/>
  <c r="E938" i="1"/>
  <c r="H937" i="1"/>
  <c r="I937" i="1" s="1"/>
  <c r="E937" i="1"/>
  <c r="H936" i="1"/>
  <c r="I936" i="1" s="1"/>
  <c r="E936" i="1"/>
  <c r="H935" i="1"/>
  <c r="I935" i="1" s="1"/>
  <c r="E935" i="1"/>
  <c r="I934" i="1"/>
  <c r="H934" i="1"/>
  <c r="E934" i="1"/>
  <c r="H933" i="1"/>
  <c r="I933" i="1" s="1"/>
  <c r="E933" i="1"/>
  <c r="H932" i="1"/>
  <c r="I932" i="1" s="1"/>
  <c r="E932" i="1"/>
  <c r="I931" i="1"/>
  <c r="H931" i="1"/>
  <c r="E931" i="1"/>
  <c r="H930" i="1"/>
  <c r="I930" i="1" s="1"/>
  <c r="E930" i="1"/>
  <c r="H929" i="1"/>
  <c r="I929" i="1" s="1"/>
  <c r="E929" i="1"/>
  <c r="H928" i="1"/>
  <c r="I928" i="1" s="1"/>
  <c r="E928" i="1"/>
  <c r="H927" i="1"/>
  <c r="I927" i="1" s="1"/>
  <c r="E927" i="1"/>
  <c r="H926" i="1"/>
  <c r="I926" i="1" s="1"/>
  <c r="E926" i="1"/>
  <c r="H925" i="1"/>
  <c r="I925" i="1" s="1"/>
  <c r="E925" i="1"/>
  <c r="I924" i="1"/>
  <c r="H924" i="1"/>
  <c r="E924" i="1"/>
  <c r="H923" i="1"/>
  <c r="I923" i="1" s="1"/>
  <c r="E923" i="1"/>
  <c r="H922" i="1"/>
  <c r="I922" i="1" s="1"/>
  <c r="E922" i="1"/>
  <c r="H921" i="1"/>
  <c r="I921" i="1" s="1"/>
  <c r="E921" i="1"/>
  <c r="H920" i="1"/>
  <c r="I920" i="1" s="1"/>
  <c r="E920" i="1"/>
  <c r="H919" i="1"/>
  <c r="I919" i="1" s="1"/>
  <c r="E919" i="1"/>
  <c r="I918" i="1"/>
  <c r="H918" i="1"/>
  <c r="E918" i="1"/>
  <c r="H917" i="1"/>
  <c r="I917" i="1" s="1"/>
  <c r="E917" i="1"/>
  <c r="H916" i="1"/>
  <c r="I916" i="1" s="1"/>
  <c r="E916" i="1"/>
  <c r="I915" i="1"/>
  <c r="H915" i="1"/>
  <c r="E915" i="1"/>
  <c r="H914" i="1"/>
  <c r="I914" i="1" s="1"/>
  <c r="E914" i="1"/>
  <c r="H913" i="1"/>
  <c r="I913" i="1" s="1"/>
  <c r="E913" i="1"/>
  <c r="H912" i="1"/>
  <c r="I912" i="1" s="1"/>
  <c r="E912" i="1"/>
  <c r="H911" i="1"/>
  <c r="I911" i="1" s="1"/>
  <c r="E911" i="1"/>
  <c r="H910" i="1"/>
  <c r="I910" i="1" s="1"/>
  <c r="E910" i="1"/>
  <c r="H909" i="1"/>
  <c r="I909" i="1" s="1"/>
  <c r="E909" i="1"/>
  <c r="I908" i="1"/>
  <c r="H908" i="1"/>
  <c r="E908" i="1"/>
  <c r="H907" i="1"/>
  <c r="I907" i="1" s="1"/>
  <c r="E907" i="1"/>
  <c r="H906" i="1"/>
  <c r="I906" i="1" s="1"/>
  <c r="E906" i="1"/>
  <c r="H905" i="1"/>
  <c r="I905" i="1" s="1"/>
  <c r="E905" i="1"/>
  <c r="H904" i="1"/>
  <c r="I904" i="1" s="1"/>
  <c r="E904" i="1"/>
  <c r="H903" i="1"/>
  <c r="I903" i="1" s="1"/>
  <c r="E903" i="1"/>
  <c r="I902" i="1"/>
  <c r="H902" i="1"/>
  <c r="E902" i="1"/>
  <c r="H901" i="1"/>
  <c r="I901" i="1" s="1"/>
  <c r="E901" i="1"/>
  <c r="H900" i="1"/>
  <c r="I900" i="1" s="1"/>
  <c r="E900" i="1"/>
  <c r="I899" i="1"/>
  <c r="H899" i="1"/>
  <c r="E899" i="1"/>
  <c r="H898" i="1"/>
  <c r="I898" i="1" s="1"/>
  <c r="E898" i="1"/>
  <c r="H897" i="1"/>
  <c r="I897" i="1" s="1"/>
  <c r="E897" i="1"/>
  <c r="H896" i="1"/>
  <c r="I896" i="1" s="1"/>
  <c r="E896" i="1"/>
  <c r="H895" i="1"/>
  <c r="I895" i="1" s="1"/>
  <c r="E895" i="1"/>
  <c r="H894" i="1"/>
  <c r="I894" i="1" s="1"/>
  <c r="E894" i="1"/>
  <c r="H893" i="1"/>
  <c r="I893" i="1" s="1"/>
  <c r="E893" i="1"/>
  <c r="I892" i="1"/>
  <c r="H892" i="1"/>
  <c r="E892" i="1"/>
  <c r="H891" i="1"/>
  <c r="I891" i="1" s="1"/>
  <c r="E891" i="1"/>
  <c r="H890" i="1"/>
  <c r="I890" i="1" s="1"/>
  <c r="E890" i="1"/>
  <c r="H889" i="1"/>
  <c r="I889" i="1" s="1"/>
  <c r="E889" i="1"/>
  <c r="H888" i="1"/>
  <c r="I888" i="1" s="1"/>
  <c r="E888" i="1"/>
  <c r="H887" i="1"/>
  <c r="I887" i="1" s="1"/>
  <c r="E887" i="1"/>
  <c r="I886" i="1"/>
  <c r="H886" i="1"/>
  <c r="E886" i="1"/>
  <c r="H885" i="1"/>
  <c r="I885" i="1" s="1"/>
  <c r="E885" i="1"/>
  <c r="H884" i="1"/>
  <c r="I884" i="1" s="1"/>
  <c r="E884" i="1"/>
  <c r="I883" i="1"/>
  <c r="H883" i="1"/>
  <c r="E883" i="1"/>
  <c r="H882" i="1"/>
  <c r="I882" i="1" s="1"/>
  <c r="E882" i="1"/>
  <c r="H881" i="1"/>
  <c r="I881" i="1" s="1"/>
  <c r="E881" i="1"/>
  <c r="H880" i="1"/>
  <c r="I880" i="1" s="1"/>
  <c r="E880" i="1"/>
  <c r="H879" i="1"/>
  <c r="I879" i="1" s="1"/>
  <c r="E879" i="1"/>
  <c r="H878" i="1"/>
  <c r="I878" i="1" s="1"/>
  <c r="E878" i="1"/>
  <c r="H877" i="1"/>
  <c r="I877" i="1" s="1"/>
  <c r="E877" i="1"/>
  <c r="I876" i="1"/>
  <c r="H876" i="1"/>
  <c r="E876" i="1"/>
  <c r="H875" i="1"/>
  <c r="I875" i="1" s="1"/>
  <c r="E875" i="1"/>
  <c r="H874" i="1"/>
  <c r="I874" i="1" s="1"/>
  <c r="E874" i="1"/>
  <c r="H873" i="1"/>
  <c r="I873" i="1" s="1"/>
  <c r="E873" i="1"/>
  <c r="H872" i="1"/>
  <c r="I872" i="1" s="1"/>
  <c r="E872" i="1"/>
  <c r="H871" i="1"/>
  <c r="I871" i="1" s="1"/>
  <c r="E871" i="1"/>
  <c r="I870" i="1"/>
  <c r="H870" i="1"/>
  <c r="E870" i="1"/>
  <c r="H869" i="1"/>
  <c r="I869" i="1" s="1"/>
  <c r="E869" i="1"/>
  <c r="H868" i="1"/>
  <c r="I868" i="1" s="1"/>
  <c r="E868" i="1"/>
  <c r="I867" i="1"/>
  <c r="H867" i="1"/>
  <c r="E867" i="1"/>
  <c r="H866" i="1"/>
  <c r="I866" i="1" s="1"/>
  <c r="E866" i="1"/>
  <c r="H865" i="1"/>
  <c r="I865" i="1" s="1"/>
  <c r="E865" i="1"/>
  <c r="H864" i="1"/>
  <c r="I864" i="1" s="1"/>
  <c r="E864" i="1"/>
  <c r="H863" i="1"/>
  <c r="I863" i="1" s="1"/>
  <c r="E863" i="1"/>
  <c r="H862" i="1"/>
  <c r="I862" i="1" s="1"/>
  <c r="E862" i="1"/>
  <c r="H861" i="1"/>
  <c r="I861" i="1" s="1"/>
  <c r="E861" i="1"/>
  <c r="H860" i="1"/>
  <c r="I860" i="1" s="1"/>
  <c r="E860" i="1"/>
  <c r="H859" i="1"/>
  <c r="I859" i="1" s="1"/>
  <c r="E859" i="1"/>
  <c r="H858" i="1"/>
  <c r="I858" i="1" s="1"/>
  <c r="E858" i="1"/>
  <c r="H857" i="1"/>
  <c r="I857" i="1" s="1"/>
  <c r="E857" i="1"/>
  <c r="H856" i="1"/>
  <c r="I856" i="1" s="1"/>
  <c r="E856" i="1"/>
  <c r="H855" i="1"/>
  <c r="I855" i="1" s="1"/>
  <c r="E855" i="1"/>
  <c r="H854" i="1"/>
  <c r="I854" i="1" s="1"/>
  <c r="E854" i="1"/>
  <c r="H853" i="1"/>
  <c r="I853" i="1" s="1"/>
  <c r="E853" i="1"/>
  <c r="I852" i="1"/>
  <c r="H852" i="1"/>
  <c r="E852" i="1"/>
  <c r="H851" i="1"/>
  <c r="I851" i="1" s="1"/>
  <c r="E851" i="1"/>
  <c r="H850" i="1"/>
  <c r="I850" i="1" s="1"/>
  <c r="E850" i="1"/>
  <c r="H849" i="1"/>
  <c r="I849" i="1" s="1"/>
  <c r="E849" i="1"/>
  <c r="H848" i="1"/>
  <c r="I848" i="1" s="1"/>
  <c r="E848" i="1"/>
  <c r="H847" i="1"/>
  <c r="I847" i="1" s="1"/>
  <c r="E847" i="1"/>
  <c r="H846" i="1"/>
  <c r="I846" i="1" s="1"/>
  <c r="E846" i="1"/>
  <c r="H845" i="1"/>
  <c r="I845" i="1" s="1"/>
  <c r="E845" i="1"/>
  <c r="I844" i="1"/>
  <c r="H844" i="1"/>
  <c r="E844" i="1"/>
  <c r="H843" i="1"/>
  <c r="I843" i="1" s="1"/>
  <c r="E843" i="1"/>
  <c r="H842" i="1"/>
  <c r="I842" i="1" s="1"/>
  <c r="E842" i="1"/>
  <c r="H841" i="1"/>
  <c r="I841" i="1" s="1"/>
  <c r="E841" i="1"/>
  <c r="I840" i="1"/>
  <c r="H840" i="1"/>
  <c r="E840" i="1"/>
  <c r="H839" i="1"/>
  <c r="I839" i="1" s="1"/>
  <c r="E839" i="1"/>
  <c r="H838" i="1"/>
  <c r="I838" i="1" s="1"/>
  <c r="E838" i="1"/>
  <c r="H837" i="1"/>
  <c r="I837" i="1" s="1"/>
  <c r="E837" i="1"/>
  <c r="H836" i="1"/>
  <c r="I836" i="1" s="1"/>
  <c r="E836" i="1"/>
  <c r="H835" i="1"/>
  <c r="I835" i="1" s="1"/>
  <c r="E835" i="1"/>
  <c r="H834" i="1"/>
  <c r="I834" i="1" s="1"/>
  <c r="E834" i="1"/>
  <c r="H833" i="1"/>
  <c r="I833" i="1" s="1"/>
  <c r="E833" i="1"/>
  <c r="I832" i="1"/>
  <c r="H832" i="1"/>
  <c r="E832" i="1"/>
  <c r="H831" i="1"/>
  <c r="I831" i="1" s="1"/>
  <c r="E831" i="1"/>
  <c r="H830" i="1"/>
  <c r="I830" i="1" s="1"/>
  <c r="E830" i="1"/>
  <c r="H829" i="1"/>
  <c r="I829" i="1" s="1"/>
  <c r="E829" i="1"/>
  <c r="H828" i="1"/>
  <c r="I828" i="1" s="1"/>
  <c r="E828" i="1"/>
  <c r="H827" i="1"/>
  <c r="I827" i="1" s="1"/>
  <c r="E827" i="1"/>
  <c r="H826" i="1"/>
  <c r="I826" i="1" s="1"/>
  <c r="E826" i="1"/>
  <c r="H825" i="1"/>
  <c r="I825" i="1" s="1"/>
  <c r="E825" i="1"/>
  <c r="H824" i="1"/>
  <c r="I824" i="1" s="1"/>
  <c r="E824" i="1"/>
  <c r="H823" i="1"/>
  <c r="I823" i="1" s="1"/>
  <c r="E823" i="1"/>
  <c r="I822" i="1"/>
  <c r="H822" i="1"/>
  <c r="E822" i="1"/>
  <c r="H821" i="1"/>
  <c r="I821" i="1" s="1"/>
  <c r="E821" i="1"/>
  <c r="I820" i="1"/>
  <c r="H820" i="1"/>
  <c r="E820" i="1"/>
  <c r="I819" i="1"/>
  <c r="H819" i="1"/>
  <c r="E819" i="1"/>
  <c r="H818" i="1"/>
  <c r="I818" i="1" s="1"/>
  <c r="E818" i="1"/>
  <c r="H817" i="1"/>
  <c r="I817" i="1" s="1"/>
  <c r="E817" i="1"/>
  <c r="H816" i="1"/>
  <c r="I816" i="1" s="1"/>
  <c r="E816" i="1"/>
  <c r="H815" i="1"/>
  <c r="I815" i="1" s="1"/>
  <c r="E815" i="1"/>
  <c r="H814" i="1"/>
  <c r="I814" i="1" s="1"/>
  <c r="E814" i="1"/>
  <c r="H813" i="1"/>
  <c r="I813" i="1" s="1"/>
  <c r="E813" i="1"/>
  <c r="H812" i="1"/>
  <c r="I812" i="1" s="1"/>
  <c r="E812" i="1"/>
  <c r="H811" i="1"/>
  <c r="I811" i="1" s="1"/>
  <c r="E811" i="1"/>
  <c r="H810" i="1"/>
  <c r="I810" i="1" s="1"/>
  <c r="E810" i="1"/>
  <c r="H809" i="1"/>
  <c r="I809" i="1" s="1"/>
  <c r="E809" i="1"/>
  <c r="I808" i="1"/>
  <c r="H808" i="1"/>
  <c r="E808" i="1"/>
  <c r="H807" i="1"/>
  <c r="I807" i="1" s="1"/>
  <c r="E807" i="1"/>
  <c r="H806" i="1"/>
  <c r="I806" i="1" s="1"/>
  <c r="E806" i="1"/>
  <c r="H805" i="1"/>
  <c r="I805" i="1" s="1"/>
  <c r="E805" i="1"/>
  <c r="H804" i="1"/>
  <c r="I804" i="1" s="1"/>
  <c r="E804" i="1"/>
  <c r="H803" i="1"/>
  <c r="I803" i="1" s="1"/>
  <c r="E803" i="1"/>
  <c r="H802" i="1"/>
  <c r="I802" i="1" s="1"/>
  <c r="E802" i="1"/>
  <c r="H801" i="1"/>
  <c r="I801" i="1" s="1"/>
  <c r="E801" i="1"/>
  <c r="I800" i="1"/>
  <c r="H800" i="1"/>
  <c r="E800" i="1"/>
  <c r="H799" i="1"/>
  <c r="I799" i="1" s="1"/>
  <c r="E799" i="1"/>
  <c r="H798" i="1"/>
  <c r="I798" i="1" s="1"/>
  <c r="E798" i="1"/>
  <c r="H797" i="1"/>
  <c r="I797" i="1" s="1"/>
  <c r="E797" i="1"/>
  <c r="H796" i="1"/>
  <c r="I796" i="1" s="1"/>
  <c r="E796" i="1"/>
  <c r="H795" i="1"/>
  <c r="I795" i="1" s="1"/>
  <c r="E795" i="1"/>
  <c r="H794" i="1"/>
  <c r="I794" i="1" s="1"/>
  <c r="E794" i="1"/>
  <c r="H793" i="1"/>
  <c r="I793" i="1" s="1"/>
  <c r="E793" i="1"/>
  <c r="H792" i="1"/>
  <c r="I792" i="1" s="1"/>
  <c r="E792" i="1"/>
  <c r="H791" i="1"/>
  <c r="I791" i="1" s="1"/>
  <c r="E791" i="1"/>
  <c r="H790" i="1"/>
  <c r="I790" i="1" s="1"/>
  <c r="E790" i="1"/>
  <c r="H789" i="1"/>
  <c r="I789" i="1" s="1"/>
  <c r="E789" i="1"/>
  <c r="I788" i="1"/>
  <c r="H788" i="1"/>
  <c r="E788" i="1"/>
  <c r="H787" i="1"/>
  <c r="I787" i="1" s="1"/>
  <c r="E787" i="1"/>
  <c r="H786" i="1"/>
  <c r="I786" i="1" s="1"/>
  <c r="E786" i="1"/>
  <c r="H785" i="1"/>
  <c r="I785" i="1" s="1"/>
  <c r="E785" i="1"/>
  <c r="H784" i="1"/>
  <c r="I784" i="1" s="1"/>
  <c r="E784" i="1"/>
  <c r="H783" i="1"/>
  <c r="I783" i="1" s="1"/>
  <c r="E783" i="1"/>
  <c r="H782" i="1"/>
  <c r="I782" i="1" s="1"/>
  <c r="E782" i="1"/>
  <c r="H781" i="1"/>
  <c r="I781" i="1" s="1"/>
  <c r="E781" i="1"/>
  <c r="H780" i="1"/>
  <c r="I780" i="1" s="1"/>
  <c r="E780" i="1"/>
  <c r="H779" i="1"/>
  <c r="I779" i="1" s="1"/>
  <c r="E779" i="1"/>
  <c r="H778" i="1"/>
  <c r="I778" i="1" s="1"/>
  <c r="E778" i="1"/>
  <c r="H777" i="1"/>
  <c r="I777" i="1" s="1"/>
  <c r="E777" i="1"/>
  <c r="I776" i="1"/>
  <c r="H776" i="1"/>
  <c r="E776" i="1"/>
  <c r="H775" i="1"/>
  <c r="I775" i="1" s="1"/>
  <c r="E775" i="1"/>
  <c r="H774" i="1"/>
  <c r="I774" i="1" s="1"/>
  <c r="E774" i="1"/>
  <c r="I773" i="1"/>
  <c r="H773" i="1"/>
  <c r="E773" i="1"/>
  <c r="H772" i="1"/>
  <c r="I772" i="1" s="1"/>
  <c r="E772" i="1"/>
  <c r="H771" i="1"/>
  <c r="I771" i="1" s="1"/>
  <c r="E771" i="1"/>
  <c r="H770" i="1"/>
  <c r="I770" i="1" s="1"/>
  <c r="E770" i="1"/>
  <c r="I769" i="1"/>
  <c r="H769" i="1"/>
  <c r="E769" i="1"/>
  <c r="I768" i="1"/>
  <c r="H768" i="1"/>
  <c r="E768" i="1"/>
  <c r="H767" i="1"/>
  <c r="I767" i="1" s="1"/>
  <c r="E767" i="1"/>
  <c r="H766" i="1"/>
  <c r="I766" i="1" s="1"/>
  <c r="E766" i="1"/>
  <c r="H765" i="1"/>
  <c r="I765" i="1" s="1"/>
  <c r="E765" i="1"/>
  <c r="H764" i="1"/>
  <c r="I764" i="1" s="1"/>
  <c r="E764" i="1"/>
  <c r="H763" i="1"/>
  <c r="I763" i="1" s="1"/>
  <c r="E763" i="1"/>
  <c r="H762" i="1"/>
  <c r="I762" i="1" s="1"/>
  <c r="E762" i="1"/>
  <c r="H761" i="1"/>
  <c r="I761" i="1" s="1"/>
  <c r="E761" i="1"/>
  <c r="H760" i="1"/>
  <c r="I760" i="1" s="1"/>
  <c r="E760" i="1"/>
  <c r="H759" i="1"/>
  <c r="I759" i="1" s="1"/>
  <c r="E759" i="1"/>
  <c r="H758" i="1"/>
  <c r="I758" i="1" s="1"/>
  <c r="E758" i="1"/>
  <c r="H757" i="1"/>
  <c r="I757" i="1" s="1"/>
  <c r="E757" i="1"/>
  <c r="H756" i="1"/>
  <c r="I756" i="1" s="1"/>
  <c r="E756" i="1"/>
  <c r="H755" i="1"/>
  <c r="I755" i="1" s="1"/>
  <c r="E755" i="1"/>
  <c r="H754" i="1"/>
  <c r="I754" i="1" s="1"/>
  <c r="E754" i="1"/>
  <c r="H753" i="1"/>
  <c r="I753" i="1" s="1"/>
  <c r="E753" i="1"/>
  <c r="H752" i="1"/>
  <c r="I752" i="1" s="1"/>
  <c r="E752" i="1"/>
  <c r="H751" i="1"/>
  <c r="I751" i="1" s="1"/>
  <c r="E751" i="1"/>
  <c r="H750" i="1"/>
  <c r="I750" i="1" s="1"/>
  <c r="E750" i="1"/>
  <c r="I749" i="1"/>
  <c r="H749" i="1"/>
  <c r="E749" i="1"/>
  <c r="H748" i="1"/>
  <c r="I748" i="1" s="1"/>
  <c r="E748" i="1"/>
  <c r="H747" i="1"/>
  <c r="I747" i="1" s="1"/>
  <c r="E747" i="1"/>
  <c r="H746" i="1"/>
  <c r="I746" i="1" s="1"/>
  <c r="E746" i="1"/>
  <c r="H745" i="1"/>
  <c r="I745" i="1" s="1"/>
  <c r="E745" i="1"/>
  <c r="I744" i="1"/>
  <c r="H744" i="1"/>
  <c r="E744" i="1"/>
  <c r="H743" i="1"/>
  <c r="I743" i="1" s="1"/>
  <c r="E743" i="1"/>
  <c r="H742" i="1"/>
  <c r="I742" i="1" s="1"/>
  <c r="E742" i="1"/>
  <c r="H741" i="1"/>
  <c r="I741" i="1" s="1"/>
  <c r="E741" i="1"/>
  <c r="H740" i="1"/>
  <c r="I740" i="1" s="1"/>
  <c r="E740" i="1"/>
  <c r="H739" i="1"/>
  <c r="I739" i="1" s="1"/>
  <c r="E739" i="1"/>
  <c r="H738" i="1"/>
  <c r="I738" i="1" s="1"/>
  <c r="E738" i="1"/>
  <c r="I737" i="1"/>
  <c r="H737" i="1"/>
  <c r="E737" i="1"/>
  <c r="H736" i="1"/>
  <c r="I736" i="1" s="1"/>
  <c r="E736" i="1"/>
  <c r="H735" i="1"/>
  <c r="I735" i="1" s="1"/>
  <c r="E735" i="1"/>
  <c r="H734" i="1"/>
  <c r="I734" i="1" s="1"/>
  <c r="E734" i="1"/>
  <c r="H733" i="1"/>
  <c r="I733" i="1" s="1"/>
  <c r="E733" i="1"/>
  <c r="H732" i="1"/>
  <c r="I732" i="1" s="1"/>
  <c r="E732" i="1"/>
  <c r="H731" i="1"/>
  <c r="I731" i="1" s="1"/>
  <c r="E731" i="1"/>
  <c r="H730" i="1"/>
  <c r="I730" i="1" s="1"/>
  <c r="E730" i="1"/>
  <c r="I729" i="1"/>
  <c r="H729" i="1"/>
  <c r="E729" i="1"/>
  <c r="H728" i="1"/>
  <c r="I728" i="1" s="1"/>
  <c r="E728" i="1"/>
  <c r="H727" i="1"/>
  <c r="I727" i="1" s="1"/>
  <c r="E727" i="1"/>
  <c r="H726" i="1"/>
  <c r="I726" i="1" s="1"/>
  <c r="E726" i="1"/>
  <c r="H725" i="1"/>
  <c r="I725" i="1" s="1"/>
  <c r="E725" i="1"/>
  <c r="H724" i="1"/>
  <c r="I724" i="1" s="1"/>
  <c r="E724" i="1"/>
  <c r="H723" i="1"/>
  <c r="I723" i="1" s="1"/>
  <c r="E723" i="1"/>
  <c r="H722" i="1"/>
  <c r="I722" i="1" s="1"/>
  <c r="E722" i="1"/>
  <c r="H721" i="1"/>
  <c r="I721" i="1" s="1"/>
  <c r="E721" i="1"/>
  <c r="H720" i="1"/>
  <c r="I720" i="1" s="1"/>
  <c r="E720" i="1"/>
  <c r="H719" i="1"/>
  <c r="I719" i="1" s="1"/>
  <c r="E719" i="1"/>
  <c r="H718" i="1"/>
  <c r="I718" i="1" s="1"/>
  <c r="E718" i="1"/>
  <c r="I717" i="1"/>
  <c r="H717" i="1"/>
  <c r="E717" i="1"/>
  <c r="H716" i="1"/>
  <c r="I716" i="1" s="1"/>
  <c r="E716" i="1"/>
  <c r="H715" i="1"/>
  <c r="I715" i="1" s="1"/>
  <c r="E715" i="1"/>
  <c r="H714" i="1"/>
  <c r="I714" i="1" s="1"/>
  <c r="E714" i="1"/>
  <c r="H713" i="1"/>
  <c r="I713" i="1" s="1"/>
  <c r="E713" i="1"/>
  <c r="I712" i="1"/>
  <c r="H712" i="1"/>
  <c r="E712" i="1"/>
  <c r="H711" i="1"/>
  <c r="I711" i="1" s="1"/>
  <c r="E711" i="1"/>
  <c r="H710" i="1"/>
  <c r="I710" i="1" s="1"/>
  <c r="E710" i="1"/>
  <c r="I709" i="1"/>
  <c r="H709" i="1"/>
  <c r="E709" i="1"/>
  <c r="H708" i="1"/>
  <c r="I708" i="1" s="1"/>
  <c r="E708" i="1"/>
  <c r="H707" i="1"/>
  <c r="I707" i="1" s="1"/>
  <c r="E707" i="1"/>
  <c r="H706" i="1"/>
  <c r="I706" i="1" s="1"/>
  <c r="E706" i="1"/>
  <c r="I705" i="1"/>
  <c r="H705" i="1"/>
  <c r="E705" i="1"/>
  <c r="I704" i="1"/>
  <c r="H704" i="1"/>
  <c r="E704" i="1"/>
  <c r="H703" i="1"/>
  <c r="I703" i="1" s="1"/>
  <c r="E703" i="1"/>
  <c r="H702" i="1"/>
  <c r="I702" i="1" s="1"/>
  <c r="E702" i="1"/>
  <c r="H701" i="1"/>
  <c r="I701" i="1" s="1"/>
  <c r="E701" i="1"/>
  <c r="H700" i="1"/>
  <c r="I700" i="1" s="1"/>
  <c r="E700" i="1"/>
  <c r="H699" i="1"/>
  <c r="I699" i="1" s="1"/>
  <c r="E699" i="1"/>
  <c r="H698" i="1"/>
  <c r="I698" i="1" s="1"/>
  <c r="E698" i="1"/>
  <c r="H697" i="1"/>
  <c r="I697" i="1" s="1"/>
  <c r="E697" i="1"/>
  <c r="H696" i="1"/>
  <c r="I696" i="1" s="1"/>
  <c r="E696" i="1"/>
  <c r="H695" i="1"/>
  <c r="I695" i="1" s="1"/>
  <c r="E695" i="1"/>
  <c r="H694" i="1"/>
  <c r="I694" i="1" s="1"/>
  <c r="E694" i="1"/>
  <c r="H693" i="1"/>
  <c r="I693" i="1" s="1"/>
  <c r="E693" i="1"/>
  <c r="H692" i="1"/>
  <c r="I692" i="1" s="1"/>
  <c r="E692" i="1"/>
  <c r="H691" i="1"/>
  <c r="I691" i="1" s="1"/>
  <c r="E691" i="1"/>
  <c r="H690" i="1"/>
  <c r="I690" i="1" s="1"/>
  <c r="E690" i="1"/>
  <c r="H689" i="1"/>
  <c r="I689" i="1" s="1"/>
  <c r="E689" i="1"/>
  <c r="H688" i="1"/>
  <c r="I688" i="1" s="1"/>
  <c r="E688" i="1"/>
  <c r="H687" i="1"/>
  <c r="I687" i="1" s="1"/>
  <c r="E687" i="1"/>
  <c r="H686" i="1"/>
  <c r="I686" i="1" s="1"/>
  <c r="E686" i="1"/>
  <c r="I685" i="1"/>
  <c r="H685" i="1"/>
  <c r="E685" i="1"/>
  <c r="H684" i="1"/>
  <c r="I684" i="1" s="1"/>
  <c r="E684" i="1"/>
  <c r="H683" i="1"/>
  <c r="I683" i="1" s="1"/>
  <c r="E683" i="1"/>
  <c r="H682" i="1"/>
  <c r="I682" i="1" s="1"/>
  <c r="E682" i="1"/>
  <c r="H681" i="1"/>
  <c r="I681" i="1" s="1"/>
  <c r="E681" i="1"/>
  <c r="I680" i="1"/>
  <c r="H680" i="1"/>
  <c r="E680" i="1"/>
  <c r="H679" i="1"/>
  <c r="I679" i="1" s="1"/>
  <c r="E679" i="1"/>
  <c r="H678" i="1"/>
  <c r="I678" i="1" s="1"/>
  <c r="E678" i="1"/>
  <c r="H677" i="1"/>
  <c r="I677" i="1" s="1"/>
  <c r="E677" i="1"/>
  <c r="H676" i="1"/>
  <c r="I676" i="1" s="1"/>
  <c r="E676" i="1"/>
  <c r="H675" i="1"/>
  <c r="I675" i="1" s="1"/>
  <c r="E675" i="1"/>
  <c r="H674" i="1"/>
  <c r="I674" i="1" s="1"/>
  <c r="E674" i="1"/>
  <c r="I673" i="1"/>
  <c r="H673" i="1"/>
  <c r="E673" i="1"/>
  <c r="H672" i="1"/>
  <c r="I672" i="1" s="1"/>
  <c r="E672" i="1"/>
  <c r="H671" i="1"/>
  <c r="I671" i="1" s="1"/>
  <c r="E671" i="1"/>
  <c r="H670" i="1"/>
  <c r="I670" i="1" s="1"/>
  <c r="E670" i="1"/>
  <c r="H669" i="1"/>
  <c r="I669" i="1" s="1"/>
  <c r="E669" i="1"/>
  <c r="H668" i="1"/>
  <c r="I668" i="1" s="1"/>
  <c r="E668" i="1"/>
  <c r="H667" i="1"/>
  <c r="I667" i="1" s="1"/>
  <c r="E667" i="1"/>
  <c r="H666" i="1"/>
  <c r="I666" i="1" s="1"/>
  <c r="E666" i="1"/>
  <c r="I665" i="1"/>
  <c r="H665" i="1"/>
  <c r="E665" i="1"/>
  <c r="H664" i="1"/>
  <c r="I664" i="1" s="1"/>
  <c r="E664" i="1"/>
  <c r="H663" i="1"/>
  <c r="I663" i="1" s="1"/>
  <c r="E663" i="1"/>
  <c r="H662" i="1"/>
  <c r="I662" i="1" s="1"/>
  <c r="E662" i="1"/>
  <c r="H661" i="1"/>
  <c r="I661" i="1" s="1"/>
  <c r="E661" i="1"/>
  <c r="H660" i="1"/>
  <c r="I660" i="1" s="1"/>
  <c r="E660" i="1"/>
  <c r="H659" i="1"/>
  <c r="I659" i="1" s="1"/>
  <c r="E659" i="1"/>
  <c r="H658" i="1"/>
  <c r="I658" i="1" s="1"/>
  <c r="E658" i="1"/>
  <c r="H657" i="1"/>
  <c r="I657" i="1" s="1"/>
  <c r="E657" i="1"/>
  <c r="H656" i="1"/>
  <c r="I656" i="1" s="1"/>
  <c r="E656" i="1"/>
  <c r="H655" i="1"/>
  <c r="I655" i="1" s="1"/>
  <c r="E655" i="1"/>
  <c r="H654" i="1"/>
  <c r="I654" i="1" s="1"/>
  <c r="E654" i="1"/>
  <c r="I653" i="1"/>
  <c r="H653" i="1"/>
  <c r="E653" i="1"/>
  <c r="H652" i="1"/>
  <c r="I652" i="1" s="1"/>
  <c r="E652" i="1"/>
  <c r="H651" i="1"/>
  <c r="I651" i="1" s="1"/>
  <c r="E651" i="1"/>
  <c r="H650" i="1"/>
  <c r="I650" i="1" s="1"/>
  <c r="E650" i="1"/>
  <c r="H649" i="1"/>
  <c r="I649" i="1" s="1"/>
  <c r="E649" i="1"/>
  <c r="I648" i="1"/>
  <c r="H648" i="1"/>
  <c r="E648" i="1"/>
  <c r="H647" i="1"/>
  <c r="I647" i="1" s="1"/>
  <c r="E647" i="1"/>
  <c r="H646" i="1"/>
  <c r="I646" i="1" s="1"/>
  <c r="E646" i="1"/>
  <c r="I645" i="1"/>
  <c r="H645" i="1"/>
  <c r="E645" i="1"/>
  <c r="H644" i="1"/>
  <c r="I644" i="1" s="1"/>
  <c r="E644" i="1"/>
  <c r="H643" i="1"/>
  <c r="I643" i="1" s="1"/>
  <c r="E643" i="1"/>
  <c r="H642" i="1"/>
  <c r="I642" i="1" s="1"/>
  <c r="E642" i="1"/>
  <c r="H641" i="1"/>
  <c r="I641" i="1" s="1"/>
  <c r="E641" i="1"/>
  <c r="I640" i="1"/>
  <c r="H640" i="1"/>
  <c r="E640" i="1"/>
  <c r="H639" i="1"/>
  <c r="I639" i="1" s="1"/>
  <c r="E639" i="1"/>
  <c r="H638" i="1"/>
  <c r="I638" i="1" s="1"/>
  <c r="E638" i="1"/>
  <c r="H637" i="1"/>
  <c r="I637" i="1" s="1"/>
  <c r="E637" i="1"/>
  <c r="H636" i="1"/>
  <c r="I636" i="1" s="1"/>
  <c r="E636" i="1"/>
  <c r="H635" i="1"/>
  <c r="I635" i="1" s="1"/>
  <c r="E635" i="1"/>
  <c r="H634" i="1"/>
  <c r="I634" i="1" s="1"/>
  <c r="E634" i="1"/>
  <c r="I633" i="1"/>
  <c r="H633" i="1"/>
  <c r="E633" i="1"/>
  <c r="H632" i="1"/>
  <c r="I632" i="1" s="1"/>
  <c r="E632" i="1"/>
  <c r="H631" i="1"/>
  <c r="I631" i="1" s="1"/>
  <c r="E631" i="1"/>
  <c r="H630" i="1"/>
  <c r="I630" i="1" s="1"/>
  <c r="E630" i="1"/>
  <c r="H629" i="1"/>
  <c r="I629" i="1" s="1"/>
  <c r="E629" i="1"/>
  <c r="H628" i="1"/>
  <c r="I628" i="1" s="1"/>
  <c r="E628" i="1"/>
  <c r="H627" i="1"/>
  <c r="I627" i="1" s="1"/>
  <c r="E627" i="1"/>
  <c r="H626" i="1"/>
  <c r="I626" i="1" s="1"/>
  <c r="E626" i="1"/>
  <c r="I625" i="1"/>
  <c r="H625" i="1"/>
  <c r="E625" i="1"/>
  <c r="H624" i="1"/>
  <c r="I624" i="1" s="1"/>
  <c r="E624" i="1"/>
  <c r="H623" i="1"/>
  <c r="I623" i="1" s="1"/>
  <c r="E623" i="1"/>
  <c r="H622" i="1"/>
  <c r="I622" i="1" s="1"/>
  <c r="E622" i="1"/>
  <c r="H621" i="1"/>
  <c r="I621" i="1" s="1"/>
  <c r="E621" i="1"/>
  <c r="H620" i="1"/>
  <c r="I620" i="1" s="1"/>
  <c r="E620" i="1"/>
  <c r="H619" i="1"/>
  <c r="I619" i="1" s="1"/>
  <c r="E619" i="1"/>
  <c r="H618" i="1"/>
  <c r="I618" i="1" s="1"/>
  <c r="E618" i="1"/>
  <c r="H617" i="1"/>
  <c r="I617" i="1" s="1"/>
  <c r="E617" i="1"/>
  <c r="H616" i="1"/>
  <c r="I616" i="1" s="1"/>
  <c r="E616" i="1"/>
  <c r="H615" i="1"/>
  <c r="I615" i="1" s="1"/>
  <c r="E615" i="1"/>
  <c r="H614" i="1"/>
  <c r="I614" i="1" s="1"/>
  <c r="E614" i="1"/>
  <c r="I613" i="1"/>
  <c r="H613" i="1"/>
  <c r="E613" i="1"/>
  <c r="H612" i="1"/>
  <c r="I612" i="1" s="1"/>
  <c r="E612" i="1"/>
  <c r="H611" i="1"/>
  <c r="I611" i="1" s="1"/>
  <c r="E611" i="1"/>
  <c r="H610" i="1"/>
  <c r="I610" i="1" s="1"/>
  <c r="E610" i="1"/>
  <c r="H609" i="1"/>
  <c r="I609" i="1" s="1"/>
  <c r="E609" i="1"/>
  <c r="I608" i="1"/>
  <c r="H608" i="1"/>
  <c r="E608" i="1"/>
  <c r="H607" i="1"/>
  <c r="I607" i="1" s="1"/>
  <c r="E607" i="1"/>
  <c r="H606" i="1"/>
  <c r="I606" i="1" s="1"/>
  <c r="E606" i="1"/>
  <c r="I605" i="1"/>
  <c r="H605" i="1"/>
  <c r="E605" i="1"/>
  <c r="H604" i="1"/>
  <c r="I604" i="1" s="1"/>
  <c r="E604" i="1"/>
  <c r="H603" i="1"/>
  <c r="I603" i="1" s="1"/>
  <c r="E603" i="1"/>
  <c r="H602" i="1"/>
  <c r="I602" i="1" s="1"/>
  <c r="E602" i="1"/>
  <c r="I601" i="1"/>
  <c r="H601" i="1"/>
  <c r="E601" i="1"/>
  <c r="I600" i="1"/>
  <c r="H600" i="1"/>
  <c r="E600" i="1"/>
  <c r="H599" i="1"/>
  <c r="I599" i="1" s="1"/>
  <c r="E599" i="1"/>
  <c r="H598" i="1"/>
  <c r="I598" i="1" s="1"/>
  <c r="E598" i="1"/>
  <c r="H597" i="1"/>
  <c r="I597" i="1" s="1"/>
  <c r="E597" i="1"/>
  <c r="H596" i="1"/>
  <c r="I596" i="1" s="1"/>
  <c r="E596" i="1"/>
  <c r="H595" i="1"/>
  <c r="I595" i="1" s="1"/>
  <c r="E595" i="1"/>
  <c r="H594" i="1"/>
  <c r="I594" i="1" s="1"/>
  <c r="E594" i="1"/>
  <c r="H593" i="1"/>
  <c r="I593" i="1" s="1"/>
  <c r="E593" i="1"/>
  <c r="H592" i="1"/>
  <c r="I592" i="1" s="1"/>
  <c r="E592" i="1"/>
  <c r="H591" i="1"/>
  <c r="I591" i="1" s="1"/>
  <c r="E591" i="1"/>
  <c r="H590" i="1"/>
  <c r="I590" i="1" s="1"/>
  <c r="E590" i="1"/>
  <c r="H589" i="1"/>
  <c r="I589" i="1" s="1"/>
  <c r="E589" i="1"/>
  <c r="H588" i="1"/>
  <c r="I588" i="1" s="1"/>
  <c r="E588" i="1"/>
  <c r="H587" i="1"/>
  <c r="I587" i="1" s="1"/>
  <c r="E587" i="1"/>
  <c r="I586" i="1"/>
  <c r="H586" i="1"/>
  <c r="E586" i="1"/>
  <c r="I585" i="1"/>
  <c r="H585" i="1"/>
  <c r="E585" i="1"/>
  <c r="H584" i="1"/>
  <c r="I584" i="1" s="1"/>
  <c r="E584" i="1"/>
  <c r="H583" i="1"/>
  <c r="I583" i="1" s="1"/>
  <c r="E583" i="1"/>
  <c r="H582" i="1"/>
  <c r="I582" i="1" s="1"/>
  <c r="E582" i="1"/>
  <c r="H581" i="1"/>
  <c r="I581" i="1" s="1"/>
  <c r="E581" i="1"/>
  <c r="I580" i="1"/>
  <c r="H580" i="1"/>
  <c r="E580" i="1"/>
  <c r="H579" i="1"/>
  <c r="I579" i="1" s="1"/>
  <c r="E579" i="1"/>
  <c r="H578" i="1"/>
  <c r="I578" i="1" s="1"/>
  <c r="E578" i="1"/>
  <c r="I577" i="1"/>
  <c r="H577" i="1"/>
  <c r="E577" i="1"/>
  <c r="H576" i="1"/>
  <c r="I576" i="1" s="1"/>
  <c r="E576" i="1"/>
  <c r="H575" i="1"/>
  <c r="I575" i="1" s="1"/>
  <c r="E575" i="1"/>
  <c r="I574" i="1"/>
  <c r="H574" i="1"/>
  <c r="E574" i="1"/>
  <c r="H573" i="1"/>
  <c r="I573" i="1" s="1"/>
  <c r="E573" i="1"/>
  <c r="H572" i="1"/>
  <c r="I572" i="1" s="1"/>
  <c r="E572" i="1"/>
  <c r="H571" i="1"/>
  <c r="I571" i="1" s="1"/>
  <c r="E571" i="1"/>
  <c r="H570" i="1"/>
  <c r="I570" i="1" s="1"/>
  <c r="E570" i="1"/>
  <c r="H569" i="1"/>
  <c r="I569" i="1" s="1"/>
  <c r="E569" i="1"/>
  <c r="H568" i="1"/>
  <c r="I568" i="1" s="1"/>
  <c r="E568" i="1"/>
  <c r="H567" i="1"/>
  <c r="I567" i="1" s="1"/>
  <c r="E567" i="1"/>
  <c r="I566" i="1"/>
  <c r="H566" i="1"/>
  <c r="E566" i="1"/>
  <c r="I565" i="1"/>
  <c r="H565" i="1"/>
  <c r="E565" i="1"/>
  <c r="H564" i="1"/>
  <c r="I564" i="1" s="1"/>
  <c r="E564" i="1"/>
  <c r="H563" i="1"/>
  <c r="I563" i="1" s="1"/>
  <c r="E563" i="1"/>
  <c r="H562" i="1"/>
  <c r="I562" i="1" s="1"/>
  <c r="E562" i="1"/>
  <c r="H561" i="1"/>
  <c r="I561" i="1" s="1"/>
  <c r="E561" i="1"/>
  <c r="H560" i="1"/>
  <c r="I560" i="1" s="1"/>
  <c r="E560" i="1"/>
  <c r="H559" i="1"/>
  <c r="I559" i="1" s="1"/>
  <c r="E559" i="1"/>
  <c r="H558" i="1"/>
  <c r="I558" i="1" s="1"/>
  <c r="E558" i="1"/>
  <c r="H557" i="1"/>
  <c r="I557" i="1" s="1"/>
  <c r="E557" i="1"/>
  <c r="H556" i="1"/>
  <c r="I556" i="1" s="1"/>
  <c r="E556" i="1"/>
  <c r="H555" i="1"/>
  <c r="I555" i="1" s="1"/>
  <c r="E555" i="1"/>
  <c r="I554" i="1"/>
  <c r="H554" i="1"/>
  <c r="E554" i="1"/>
  <c r="H553" i="1"/>
  <c r="I553" i="1" s="1"/>
  <c r="E553" i="1"/>
  <c r="H552" i="1"/>
  <c r="I552" i="1" s="1"/>
  <c r="E552" i="1"/>
  <c r="H551" i="1"/>
  <c r="I551" i="1" s="1"/>
  <c r="E551" i="1"/>
  <c r="H550" i="1"/>
  <c r="I550" i="1" s="1"/>
  <c r="E550" i="1"/>
  <c r="H549" i="1"/>
  <c r="I549" i="1" s="1"/>
  <c r="E549" i="1"/>
  <c r="I548" i="1"/>
  <c r="H548" i="1"/>
  <c r="E548" i="1"/>
  <c r="H547" i="1"/>
  <c r="I547" i="1" s="1"/>
  <c r="E547" i="1"/>
  <c r="H546" i="1"/>
  <c r="I546" i="1" s="1"/>
  <c r="E546" i="1"/>
  <c r="I545" i="1"/>
  <c r="H545" i="1"/>
  <c r="E545" i="1"/>
  <c r="I544" i="1"/>
  <c r="H544" i="1"/>
  <c r="E544" i="1"/>
  <c r="H543" i="1"/>
  <c r="I543" i="1" s="1"/>
  <c r="E543" i="1"/>
  <c r="H542" i="1"/>
  <c r="I542" i="1" s="1"/>
  <c r="E542" i="1"/>
  <c r="H541" i="1"/>
  <c r="I541" i="1" s="1"/>
  <c r="E541" i="1"/>
  <c r="H540" i="1"/>
  <c r="I540" i="1" s="1"/>
  <c r="E540" i="1"/>
  <c r="H539" i="1"/>
  <c r="I539" i="1" s="1"/>
  <c r="E539" i="1"/>
  <c r="H538" i="1"/>
  <c r="I538" i="1" s="1"/>
  <c r="E538" i="1"/>
  <c r="H537" i="1"/>
  <c r="I537" i="1" s="1"/>
  <c r="E537" i="1"/>
  <c r="H536" i="1"/>
  <c r="I536" i="1" s="1"/>
  <c r="E536" i="1"/>
  <c r="H535" i="1"/>
  <c r="I535" i="1" s="1"/>
  <c r="E535" i="1"/>
  <c r="H534" i="1"/>
  <c r="I534" i="1" s="1"/>
  <c r="E534" i="1"/>
  <c r="H533" i="1"/>
  <c r="I533" i="1" s="1"/>
  <c r="E533" i="1"/>
  <c r="H532" i="1"/>
  <c r="I532" i="1" s="1"/>
  <c r="E532" i="1"/>
  <c r="H531" i="1"/>
  <c r="I531" i="1" s="1"/>
  <c r="E531" i="1"/>
  <c r="H530" i="1"/>
  <c r="I530" i="1" s="1"/>
  <c r="E530" i="1"/>
  <c r="H529" i="1"/>
  <c r="I529" i="1" s="1"/>
  <c r="E529" i="1"/>
  <c r="H528" i="1"/>
  <c r="I528" i="1" s="1"/>
  <c r="E528" i="1"/>
  <c r="H527" i="1"/>
  <c r="I527" i="1" s="1"/>
  <c r="E527" i="1"/>
  <c r="H526" i="1"/>
  <c r="I526" i="1" s="1"/>
  <c r="E526" i="1"/>
  <c r="I525" i="1"/>
  <c r="H525" i="1"/>
  <c r="E525" i="1"/>
  <c r="H524" i="1"/>
  <c r="I524" i="1" s="1"/>
  <c r="E524" i="1"/>
  <c r="H523" i="1"/>
  <c r="I523" i="1" s="1"/>
  <c r="E523" i="1"/>
  <c r="H522" i="1"/>
  <c r="I522" i="1" s="1"/>
  <c r="E522" i="1"/>
  <c r="H521" i="1"/>
  <c r="I521" i="1" s="1"/>
  <c r="E521" i="1"/>
  <c r="I520" i="1"/>
  <c r="H520" i="1"/>
  <c r="E520" i="1"/>
  <c r="H519" i="1"/>
  <c r="I519" i="1" s="1"/>
  <c r="E519" i="1"/>
  <c r="H518" i="1"/>
  <c r="I518" i="1" s="1"/>
  <c r="E518" i="1"/>
  <c r="H517" i="1"/>
  <c r="I517" i="1" s="1"/>
  <c r="E517" i="1"/>
  <c r="H516" i="1"/>
  <c r="I516" i="1" s="1"/>
  <c r="E516" i="1"/>
  <c r="H515" i="1"/>
  <c r="I515" i="1" s="1"/>
  <c r="E515" i="1"/>
  <c r="H514" i="1"/>
  <c r="I514" i="1" s="1"/>
  <c r="E514" i="1"/>
  <c r="I513" i="1"/>
  <c r="H513" i="1"/>
  <c r="E513" i="1"/>
  <c r="H512" i="1"/>
  <c r="I512" i="1" s="1"/>
  <c r="E512" i="1"/>
  <c r="H511" i="1"/>
  <c r="I511" i="1" s="1"/>
  <c r="E511" i="1"/>
  <c r="H510" i="1"/>
  <c r="I510" i="1" s="1"/>
  <c r="E510" i="1"/>
  <c r="H509" i="1"/>
  <c r="I509" i="1" s="1"/>
  <c r="E509" i="1"/>
  <c r="H508" i="1"/>
  <c r="I508" i="1" s="1"/>
  <c r="E508" i="1"/>
  <c r="H507" i="1"/>
  <c r="I507" i="1" s="1"/>
  <c r="E507" i="1"/>
  <c r="H506" i="1"/>
  <c r="I506" i="1" s="1"/>
  <c r="E506" i="1"/>
  <c r="I505" i="1"/>
  <c r="H505" i="1"/>
  <c r="E505" i="1"/>
  <c r="H504" i="1"/>
  <c r="I504" i="1" s="1"/>
  <c r="E504" i="1"/>
  <c r="H503" i="1"/>
  <c r="I503" i="1" s="1"/>
  <c r="E503" i="1"/>
  <c r="H502" i="1"/>
  <c r="I502" i="1" s="1"/>
  <c r="E502" i="1"/>
  <c r="H501" i="1"/>
  <c r="I501" i="1" s="1"/>
  <c r="E501" i="1"/>
  <c r="H500" i="1"/>
  <c r="I500" i="1" s="1"/>
  <c r="E500" i="1"/>
  <c r="H499" i="1"/>
  <c r="I499" i="1" s="1"/>
  <c r="E499" i="1"/>
  <c r="H498" i="1"/>
  <c r="I498" i="1" s="1"/>
  <c r="E498" i="1"/>
  <c r="H497" i="1"/>
  <c r="I497" i="1" s="1"/>
  <c r="E497" i="1"/>
  <c r="H496" i="1"/>
  <c r="I496" i="1" s="1"/>
  <c r="E496" i="1"/>
  <c r="H495" i="1"/>
  <c r="I495" i="1" s="1"/>
  <c r="E495" i="1"/>
  <c r="H494" i="1"/>
  <c r="I494" i="1" s="1"/>
  <c r="E494" i="1"/>
  <c r="H493" i="1"/>
  <c r="I493" i="1" s="1"/>
  <c r="E493" i="1"/>
  <c r="H492" i="1"/>
  <c r="I492" i="1" s="1"/>
  <c r="E492" i="1"/>
  <c r="H491" i="1"/>
  <c r="I491" i="1" s="1"/>
  <c r="E491" i="1"/>
  <c r="H490" i="1"/>
  <c r="I490" i="1" s="1"/>
  <c r="E490" i="1"/>
  <c r="I489" i="1"/>
  <c r="H489" i="1"/>
  <c r="E489" i="1"/>
  <c r="H488" i="1"/>
  <c r="I488" i="1" s="1"/>
  <c r="E488" i="1"/>
  <c r="H487" i="1"/>
  <c r="I487" i="1" s="1"/>
  <c r="E487" i="1"/>
  <c r="H486" i="1"/>
  <c r="I486" i="1" s="1"/>
  <c r="E486" i="1"/>
  <c r="H485" i="1"/>
  <c r="I485" i="1" s="1"/>
  <c r="E485" i="1"/>
  <c r="H484" i="1"/>
  <c r="I484" i="1" s="1"/>
  <c r="E484" i="1"/>
  <c r="H483" i="1"/>
  <c r="I483" i="1" s="1"/>
  <c r="E483" i="1"/>
  <c r="H482" i="1"/>
  <c r="I482" i="1" s="1"/>
  <c r="E482" i="1"/>
  <c r="I481" i="1"/>
  <c r="H481" i="1"/>
  <c r="E481" i="1"/>
  <c r="H480" i="1"/>
  <c r="I480" i="1" s="1"/>
  <c r="E480" i="1"/>
  <c r="H479" i="1"/>
  <c r="I479" i="1" s="1"/>
  <c r="E479" i="1"/>
  <c r="H478" i="1"/>
  <c r="I478" i="1" s="1"/>
  <c r="E478" i="1"/>
  <c r="H477" i="1"/>
  <c r="I477" i="1" s="1"/>
  <c r="E477" i="1"/>
  <c r="H476" i="1"/>
  <c r="I476" i="1" s="1"/>
  <c r="E476" i="1"/>
  <c r="H475" i="1"/>
  <c r="I475" i="1" s="1"/>
  <c r="E475" i="1"/>
  <c r="H474" i="1"/>
  <c r="I474" i="1" s="1"/>
  <c r="E474" i="1"/>
  <c r="I473" i="1"/>
  <c r="H473" i="1"/>
  <c r="E473" i="1"/>
  <c r="H472" i="1"/>
  <c r="I472" i="1" s="1"/>
  <c r="E472" i="1"/>
  <c r="H471" i="1"/>
  <c r="I471" i="1" s="1"/>
  <c r="E471" i="1"/>
  <c r="H470" i="1"/>
  <c r="I470" i="1" s="1"/>
  <c r="E470" i="1"/>
  <c r="H469" i="1"/>
  <c r="I469" i="1" s="1"/>
  <c r="E469" i="1"/>
  <c r="H468" i="1"/>
  <c r="I468" i="1" s="1"/>
  <c r="E468" i="1"/>
  <c r="H467" i="1"/>
  <c r="I467" i="1" s="1"/>
  <c r="E467" i="1"/>
  <c r="H466" i="1"/>
  <c r="I466" i="1" s="1"/>
  <c r="E466" i="1"/>
  <c r="H465" i="1"/>
  <c r="I465" i="1" s="1"/>
  <c r="E465" i="1"/>
  <c r="H464" i="1"/>
  <c r="I464" i="1" s="1"/>
  <c r="E464" i="1"/>
  <c r="H463" i="1"/>
  <c r="I463" i="1" s="1"/>
  <c r="E463" i="1"/>
  <c r="H462" i="1"/>
  <c r="I462" i="1" s="1"/>
  <c r="E462" i="1"/>
  <c r="H461" i="1"/>
  <c r="I461" i="1" s="1"/>
  <c r="E461" i="1"/>
  <c r="H460" i="1"/>
  <c r="I460" i="1" s="1"/>
  <c r="E460" i="1"/>
  <c r="H459" i="1"/>
  <c r="I459" i="1" s="1"/>
  <c r="E459" i="1"/>
  <c r="H458" i="1"/>
  <c r="I458" i="1" s="1"/>
  <c r="E458" i="1"/>
  <c r="I457" i="1"/>
  <c r="H457" i="1"/>
  <c r="E457" i="1"/>
  <c r="H456" i="1"/>
  <c r="I456" i="1" s="1"/>
  <c r="E456" i="1"/>
  <c r="H455" i="1"/>
  <c r="I455" i="1" s="1"/>
  <c r="E455" i="1"/>
  <c r="H454" i="1"/>
  <c r="I454" i="1" s="1"/>
  <c r="E454" i="1"/>
  <c r="H453" i="1"/>
  <c r="I453" i="1" s="1"/>
  <c r="E453" i="1"/>
  <c r="H452" i="1"/>
  <c r="I452" i="1" s="1"/>
  <c r="E452" i="1"/>
  <c r="H451" i="1"/>
  <c r="I451" i="1" s="1"/>
  <c r="E451" i="1"/>
  <c r="H450" i="1"/>
  <c r="I450" i="1" s="1"/>
  <c r="E450" i="1"/>
  <c r="I449" i="1"/>
  <c r="H449" i="1"/>
  <c r="E449" i="1"/>
  <c r="H448" i="1"/>
  <c r="I448" i="1" s="1"/>
  <c r="E448" i="1"/>
  <c r="H447" i="1"/>
  <c r="I447" i="1" s="1"/>
  <c r="E447" i="1"/>
  <c r="H446" i="1"/>
  <c r="I446" i="1" s="1"/>
  <c r="E446" i="1"/>
  <c r="H445" i="1"/>
  <c r="I445" i="1" s="1"/>
  <c r="E445" i="1"/>
  <c r="H444" i="1"/>
  <c r="I444" i="1" s="1"/>
  <c r="E444" i="1"/>
  <c r="H443" i="1"/>
  <c r="I443" i="1" s="1"/>
  <c r="E443" i="1"/>
  <c r="H442" i="1"/>
  <c r="I442" i="1" s="1"/>
  <c r="E442" i="1"/>
  <c r="I441" i="1"/>
  <c r="H441" i="1"/>
  <c r="E441" i="1"/>
  <c r="H440" i="1"/>
  <c r="I440" i="1" s="1"/>
  <c r="E440" i="1"/>
  <c r="H439" i="1"/>
  <c r="I439" i="1" s="1"/>
  <c r="E439" i="1"/>
  <c r="H438" i="1"/>
  <c r="I438" i="1" s="1"/>
  <c r="E438" i="1"/>
  <c r="H437" i="1"/>
  <c r="I437" i="1" s="1"/>
  <c r="E437" i="1"/>
  <c r="H436" i="1"/>
  <c r="I436" i="1" s="1"/>
  <c r="E436" i="1"/>
  <c r="H435" i="1"/>
  <c r="I435" i="1" s="1"/>
  <c r="E435" i="1"/>
  <c r="H434" i="1"/>
  <c r="I434" i="1" s="1"/>
  <c r="E434" i="1"/>
  <c r="H433" i="1"/>
  <c r="I433" i="1" s="1"/>
  <c r="E433" i="1"/>
  <c r="H432" i="1"/>
  <c r="I432" i="1" s="1"/>
  <c r="E432" i="1"/>
  <c r="H431" i="1"/>
  <c r="I431" i="1" s="1"/>
  <c r="E431" i="1"/>
  <c r="H430" i="1"/>
  <c r="I430" i="1" s="1"/>
  <c r="E430" i="1"/>
  <c r="H429" i="1"/>
  <c r="I429" i="1" s="1"/>
  <c r="E429" i="1"/>
  <c r="H428" i="1"/>
  <c r="I428" i="1" s="1"/>
  <c r="E428" i="1"/>
  <c r="H427" i="1"/>
  <c r="I427" i="1" s="1"/>
  <c r="E427" i="1"/>
  <c r="H426" i="1"/>
  <c r="I426" i="1" s="1"/>
  <c r="E426" i="1"/>
  <c r="I425" i="1"/>
  <c r="H425" i="1"/>
  <c r="E425" i="1"/>
  <c r="H424" i="1"/>
  <c r="I424" i="1" s="1"/>
  <c r="E424" i="1"/>
  <c r="H423" i="1"/>
  <c r="I423" i="1" s="1"/>
  <c r="E423" i="1"/>
  <c r="H422" i="1"/>
  <c r="I422" i="1" s="1"/>
  <c r="E422" i="1"/>
  <c r="H421" i="1"/>
  <c r="I421" i="1" s="1"/>
  <c r="E421" i="1"/>
  <c r="H420" i="1"/>
  <c r="I420" i="1" s="1"/>
  <c r="E420" i="1"/>
  <c r="H419" i="1"/>
  <c r="I419" i="1" s="1"/>
  <c r="E419" i="1"/>
  <c r="H418" i="1"/>
  <c r="I418" i="1" s="1"/>
  <c r="E418" i="1"/>
  <c r="H417" i="1"/>
  <c r="I417" i="1" s="1"/>
  <c r="E417" i="1"/>
  <c r="H416" i="1"/>
  <c r="I416" i="1" s="1"/>
  <c r="E416" i="1"/>
  <c r="I415" i="1"/>
  <c r="H415" i="1"/>
  <c r="E415" i="1"/>
  <c r="H414" i="1"/>
  <c r="I414" i="1" s="1"/>
  <c r="E414" i="1"/>
  <c r="H413" i="1"/>
  <c r="I413" i="1" s="1"/>
  <c r="E413" i="1"/>
  <c r="H412" i="1"/>
  <c r="I412" i="1" s="1"/>
  <c r="E412" i="1"/>
  <c r="H411" i="1"/>
  <c r="I411" i="1" s="1"/>
  <c r="E411" i="1"/>
  <c r="H410" i="1"/>
  <c r="I410" i="1" s="1"/>
  <c r="E410" i="1"/>
  <c r="H409" i="1"/>
  <c r="I409" i="1" s="1"/>
  <c r="E409" i="1"/>
  <c r="H408" i="1"/>
  <c r="I408" i="1" s="1"/>
  <c r="E408" i="1"/>
  <c r="I407" i="1"/>
  <c r="H407" i="1"/>
  <c r="E407" i="1"/>
  <c r="I406" i="1"/>
  <c r="H406" i="1"/>
  <c r="E406" i="1"/>
  <c r="H405" i="1"/>
  <c r="I405" i="1" s="1"/>
  <c r="E405" i="1"/>
  <c r="H404" i="1"/>
  <c r="I404" i="1" s="1"/>
  <c r="E404" i="1"/>
  <c r="H403" i="1"/>
  <c r="I403" i="1" s="1"/>
  <c r="E403" i="1"/>
  <c r="H402" i="1"/>
  <c r="I402" i="1" s="1"/>
  <c r="E402" i="1"/>
  <c r="H401" i="1"/>
  <c r="I401" i="1" s="1"/>
  <c r="E401" i="1"/>
  <c r="H400" i="1"/>
  <c r="I400" i="1" s="1"/>
  <c r="E400" i="1"/>
  <c r="I399" i="1"/>
  <c r="H399" i="1"/>
  <c r="E399" i="1"/>
  <c r="H398" i="1"/>
  <c r="I398" i="1" s="1"/>
  <c r="E398" i="1"/>
  <c r="H397" i="1"/>
  <c r="I397" i="1" s="1"/>
  <c r="E397" i="1"/>
  <c r="H396" i="1"/>
  <c r="I396" i="1" s="1"/>
  <c r="E396" i="1"/>
  <c r="H395" i="1"/>
  <c r="I395" i="1" s="1"/>
  <c r="E395" i="1"/>
  <c r="H394" i="1"/>
  <c r="I394" i="1" s="1"/>
  <c r="E394" i="1"/>
  <c r="H393" i="1"/>
  <c r="I393" i="1" s="1"/>
  <c r="E393" i="1"/>
  <c r="H392" i="1"/>
  <c r="I392" i="1" s="1"/>
  <c r="E392" i="1"/>
  <c r="I391" i="1"/>
  <c r="H391" i="1"/>
  <c r="E391" i="1"/>
  <c r="I390" i="1"/>
  <c r="H390" i="1"/>
  <c r="E390" i="1"/>
  <c r="H389" i="1"/>
  <c r="I389" i="1" s="1"/>
  <c r="E389" i="1"/>
  <c r="H388" i="1"/>
  <c r="I388" i="1" s="1"/>
  <c r="E388" i="1"/>
  <c r="H387" i="1"/>
  <c r="I387" i="1" s="1"/>
  <c r="E387" i="1"/>
  <c r="H386" i="1"/>
  <c r="I386" i="1" s="1"/>
  <c r="E386" i="1"/>
  <c r="H385" i="1"/>
  <c r="I385" i="1" s="1"/>
  <c r="E385" i="1"/>
  <c r="H384" i="1"/>
  <c r="I384" i="1" s="1"/>
  <c r="E384" i="1"/>
  <c r="I383" i="1"/>
  <c r="H383" i="1"/>
  <c r="E383" i="1"/>
  <c r="H382" i="1"/>
  <c r="I382" i="1" s="1"/>
  <c r="E382" i="1"/>
  <c r="H381" i="1"/>
  <c r="I381" i="1" s="1"/>
  <c r="E381" i="1"/>
  <c r="H380" i="1"/>
  <c r="I380" i="1" s="1"/>
  <c r="E380" i="1"/>
  <c r="H379" i="1"/>
  <c r="I379" i="1" s="1"/>
  <c r="E379" i="1"/>
  <c r="H378" i="1"/>
  <c r="I378" i="1" s="1"/>
  <c r="E378" i="1"/>
  <c r="H377" i="1"/>
  <c r="I377" i="1" s="1"/>
  <c r="E377" i="1"/>
  <c r="H376" i="1"/>
  <c r="I376" i="1" s="1"/>
  <c r="E376" i="1"/>
  <c r="I375" i="1"/>
  <c r="H375" i="1"/>
  <c r="E375" i="1"/>
  <c r="H374" i="1"/>
  <c r="I374" i="1" s="1"/>
  <c r="E374" i="1"/>
  <c r="H373" i="1"/>
  <c r="I373" i="1" s="1"/>
  <c r="E373" i="1"/>
  <c r="H372" i="1"/>
  <c r="I372" i="1" s="1"/>
  <c r="E372" i="1"/>
  <c r="I371" i="1"/>
  <c r="H371" i="1"/>
  <c r="E371" i="1"/>
  <c r="H370" i="1"/>
  <c r="I370" i="1" s="1"/>
  <c r="E370" i="1"/>
  <c r="H369" i="1"/>
  <c r="I369" i="1" s="1"/>
  <c r="E369" i="1"/>
  <c r="H368" i="1"/>
  <c r="I368" i="1" s="1"/>
  <c r="E368" i="1"/>
  <c r="I367" i="1"/>
  <c r="H367" i="1"/>
  <c r="E367" i="1"/>
  <c r="I366" i="1"/>
  <c r="H366" i="1"/>
  <c r="E366" i="1"/>
  <c r="H365" i="1"/>
  <c r="I365" i="1" s="1"/>
  <c r="E365" i="1"/>
  <c r="H364" i="1"/>
  <c r="I364" i="1" s="1"/>
  <c r="E364" i="1"/>
  <c r="I363" i="1"/>
  <c r="H363" i="1"/>
  <c r="E363" i="1"/>
  <c r="H362" i="1"/>
  <c r="I362" i="1" s="1"/>
  <c r="E362" i="1"/>
  <c r="H361" i="1"/>
  <c r="I361" i="1" s="1"/>
  <c r="E361" i="1"/>
  <c r="H360" i="1"/>
  <c r="I360" i="1" s="1"/>
  <c r="E360" i="1"/>
  <c r="I359" i="1"/>
  <c r="H359" i="1"/>
  <c r="E359" i="1"/>
  <c r="I358" i="1"/>
  <c r="H358" i="1"/>
  <c r="E358" i="1"/>
  <c r="H357" i="1"/>
  <c r="I357" i="1" s="1"/>
  <c r="E357" i="1"/>
  <c r="H356" i="1"/>
  <c r="I356" i="1" s="1"/>
  <c r="E356" i="1"/>
  <c r="H355" i="1"/>
  <c r="I355" i="1" s="1"/>
  <c r="E355" i="1"/>
  <c r="H354" i="1"/>
  <c r="I354" i="1" s="1"/>
  <c r="E354" i="1"/>
  <c r="H353" i="1"/>
  <c r="I353" i="1" s="1"/>
  <c r="E353" i="1"/>
  <c r="H352" i="1"/>
  <c r="I352" i="1" s="1"/>
  <c r="E352" i="1"/>
  <c r="I351" i="1"/>
  <c r="H351" i="1"/>
  <c r="E351" i="1"/>
  <c r="H350" i="1"/>
  <c r="I350" i="1" s="1"/>
  <c r="E350" i="1"/>
  <c r="H349" i="1"/>
  <c r="I349" i="1" s="1"/>
  <c r="E349" i="1"/>
  <c r="H348" i="1"/>
  <c r="I348" i="1" s="1"/>
  <c r="E348" i="1"/>
  <c r="H347" i="1"/>
  <c r="I347" i="1" s="1"/>
  <c r="E347" i="1"/>
  <c r="H346" i="1"/>
  <c r="I346" i="1" s="1"/>
  <c r="E346" i="1"/>
  <c r="H345" i="1"/>
  <c r="I345" i="1" s="1"/>
  <c r="E345" i="1"/>
  <c r="H344" i="1"/>
  <c r="I344" i="1" s="1"/>
  <c r="E344" i="1"/>
  <c r="I343" i="1"/>
  <c r="H343" i="1"/>
  <c r="E343" i="1"/>
  <c r="H342" i="1"/>
  <c r="I342" i="1" s="1"/>
  <c r="E342" i="1"/>
  <c r="H341" i="1"/>
  <c r="I341" i="1" s="1"/>
  <c r="E341" i="1"/>
  <c r="H340" i="1"/>
  <c r="I340" i="1" s="1"/>
  <c r="E340" i="1"/>
  <c r="I339" i="1"/>
  <c r="H339" i="1"/>
  <c r="E339" i="1"/>
  <c r="H338" i="1"/>
  <c r="I338" i="1" s="1"/>
  <c r="E338" i="1"/>
  <c r="H337" i="1"/>
  <c r="I337" i="1" s="1"/>
  <c r="E337" i="1"/>
  <c r="H336" i="1"/>
  <c r="I336" i="1" s="1"/>
  <c r="E336" i="1"/>
  <c r="I335" i="1"/>
  <c r="H335" i="1"/>
  <c r="E335" i="1"/>
  <c r="I334" i="1"/>
  <c r="H334" i="1"/>
  <c r="E334" i="1"/>
  <c r="H333" i="1"/>
  <c r="I333" i="1" s="1"/>
  <c r="E333" i="1"/>
  <c r="H332" i="1"/>
  <c r="I332" i="1" s="1"/>
  <c r="E332" i="1"/>
  <c r="I331" i="1"/>
  <c r="H331" i="1"/>
  <c r="E331" i="1"/>
  <c r="H330" i="1"/>
  <c r="I330" i="1" s="1"/>
  <c r="E330" i="1"/>
  <c r="H329" i="1"/>
  <c r="I329" i="1" s="1"/>
  <c r="E329" i="1"/>
  <c r="H328" i="1"/>
  <c r="I328" i="1" s="1"/>
  <c r="E328" i="1"/>
  <c r="I327" i="1"/>
  <c r="H327" i="1"/>
  <c r="E327" i="1"/>
  <c r="I326" i="1"/>
  <c r="H326" i="1"/>
  <c r="E326" i="1"/>
  <c r="H325" i="1"/>
  <c r="I325" i="1" s="1"/>
  <c r="E325" i="1"/>
  <c r="H324" i="1"/>
  <c r="I324" i="1" s="1"/>
  <c r="E324" i="1"/>
  <c r="H323" i="1"/>
  <c r="I323" i="1" s="1"/>
  <c r="E323" i="1"/>
  <c r="H322" i="1"/>
  <c r="I322" i="1" s="1"/>
  <c r="E322" i="1"/>
  <c r="H321" i="1"/>
  <c r="I321" i="1" s="1"/>
  <c r="E321" i="1"/>
  <c r="H320" i="1"/>
  <c r="I320" i="1" s="1"/>
  <c r="E320" i="1"/>
  <c r="I319" i="1"/>
  <c r="H319" i="1"/>
  <c r="E319" i="1"/>
  <c r="H318" i="1"/>
  <c r="I318" i="1" s="1"/>
  <c r="E318" i="1"/>
  <c r="H317" i="1"/>
  <c r="I317" i="1" s="1"/>
  <c r="E317" i="1"/>
  <c r="H316" i="1"/>
  <c r="I316" i="1" s="1"/>
  <c r="E316" i="1"/>
  <c r="H315" i="1"/>
  <c r="I315" i="1" s="1"/>
  <c r="E315" i="1"/>
  <c r="H314" i="1"/>
  <c r="I314" i="1" s="1"/>
  <c r="E314" i="1"/>
  <c r="H313" i="1"/>
  <c r="I313" i="1" s="1"/>
  <c r="E313" i="1"/>
  <c r="H312" i="1"/>
  <c r="I312" i="1" s="1"/>
  <c r="E312" i="1"/>
  <c r="I311" i="1"/>
  <c r="H311" i="1"/>
  <c r="E311" i="1"/>
  <c r="H310" i="1"/>
  <c r="I310" i="1" s="1"/>
  <c r="E310" i="1"/>
  <c r="H309" i="1"/>
  <c r="I309" i="1" s="1"/>
  <c r="E309" i="1"/>
  <c r="H308" i="1"/>
  <c r="I308" i="1" s="1"/>
  <c r="E308" i="1"/>
  <c r="I307" i="1"/>
  <c r="H307" i="1"/>
  <c r="E307" i="1"/>
  <c r="H306" i="1"/>
  <c r="I306" i="1" s="1"/>
  <c r="E306" i="1"/>
  <c r="H305" i="1"/>
  <c r="I305" i="1" s="1"/>
  <c r="E305" i="1"/>
  <c r="H304" i="1"/>
  <c r="I304" i="1" s="1"/>
  <c r="E304" i="1"/>
  <c r="I303" i="1"/>
  <c r="H303" i="1"/>
  <c r="E303" i="1"/>
  <c r="I302" i="1"/>
  <c r="H302" i="1"/>
  <c r="E302" i="1"/>
  <c r="H301" i="1"/>
  <c r="I301" i="1" s="1"/>
  <c r="E301" i="1"/>
  <c r="H300" i="1"/>
  <c r="I300" i="1" s="1"/>
  <c r="E300" i="1"/>
  <c r="I299" i="1"/>
  <c r="H299" i="1"/>
  <c r="E299" i="1"/>
  <c r="H298" i="1"/>
  <c r="I298" i="1" s="1"/>
  <c r="E298" i="1"/>
  <c r="H297" i="1"/>
  <c r="I297" i="1" s="1"/>
  <c r="E297" i="1"/>
  <c r="H296" i="1"/>
  <c r="I296" i="1" s="1"/>
  <c r="E296" i="1"/>
  <c r="I295" i="1"/>
  <c r="H295" i="1"/>
  <c r="E295" i="1"/>
  <c r="I294" i="1"/>
  <c r="H294" i="1"/>
  <c r="E294" i="1"/>
  <c r="H293" i="1"/>
  <c r="I293" i="1" s="1"/>
  <c r="E293" i="1"/>
  <c r="H292" i="1"/>
  <c r="I292" i="1" s="1"/>
  <c r="E292" i="1"/>
  <c r="H291" i="1"/>
  <c r="I291" i="1" s="1"/>
  <c r="E291" i="1"/>
  <c r="H290" i="1"/>
  <c r="I290" i="1" s="1"/>
  <c r="E290" i="1"/>
  <c r="H289" i="1"/>
  <c r="I289" i="1" s="1"/>
  <c r="E289" i="1"/>
  <c r="H288" i="1"/>
  <c r="I288" i="1" s="1"/>
  <c r="E288" i="1"/>
  <c r="I287" i="1"/>
  <c r="H287" i="1"/>
  <c r="E287" i="1"/>
  <c r="H286" i="1"/>
  <c r="I286" i="1" s="1"/>
  <c r="E286" i="1"/>
  <c r="H285" i="1"/>
  <c r="I285" i="1" s="1"/>
  <c r="E285" i="1"/>
  <c r="H284" i="1"/>
  <c r="I284" i="1" s="1"/>
  <c r="E284" i="1"/>
  <c r="H283" i="1"/>
  <c r="I283" i="1" s="1"/>
  <c r="E283" i="1"/>
  <c r="H282" i="1"/>
  <c r="I282" i="1" s="1"/>
  <c r="E282" i="1"/>
  <c r="H281" i="1"/>
  <c r="I281" i="1" s="1"/>
  <c r="E281" i="1"/>
  <c r="H280" i="1"/>
  <c r="I280" i="1" s="1"/>
  <c r="E280" i="1"/>
  <c r="I279" i="1"/>
  <c r="H279" i="1"/>
  <c r="E279" i="1"/>
  <c r="H278" i="1"/>
  <c r="I278" i="1" s="1"/>
  <c r="E278" i="1"/>
  <c r="H277" i="1"/>
  <c r="I277" i="1" s="1"/>
  <c r="E277" i="1"/>
  <c r="H276" i="1"/>
  <c r="I276" i="1" s="1"/>
  <c r="E276" i="1"/>
  <c r="I275" i="1"/>
  <c r="H275" i="1"/>
  <c r="E275" i="1"/>
  <c r="H274" i="1"/>
  <c r="I274" i="1" s="1"/>
  <c r="E274" i="1"/>
  <c r="H273" i="1"/>
  <c r="I273" i="1" s="1"/>
  <c r="E273" i="1"/>
  <c r="H272" i="1"/>
  <c r="I272" i="1" s="1"/>
  <c r="E272" i="1"/>
  <c r="I271" i="1"/>
  <c r="H271" i="1"/>
  <c r="E271" i="1"/>
  <c r="I270" i="1"/>
  <c r="H270" i="1"/>
  <c r="E270" i="1"/>
  <c r="H269" i="1"/>
  <c r="I269" i="1" s="1"/>
  <c r="E269" i="1"/>
  <c r="H268" i="1"/>
  <c r="I268" i="1" s="1"/>
  <c r="E268" i="1"/>
  <c r="I267" i="1"/>
  <c r="H267" i="1"/>
  <c r="E267" i="1"/>
  <c r="H266" i="1"/>
  <c r="I266" i="1" s="1"/>
  <c r="E266" i="1"/>
  <c r="H265" i="1"/>
  <c r="I265" i="1" s="1"/>
  <c r="E265" i="1"/>
  <c r="H264" i="1"/>
  <c r="I264" i="1" s="1"/>
  <c r="E264" i="1"/>
  <c r="I263" i="1"/>
  <c r="H263" i="1"/>
  <c r="E263" i="1"/>
  <c r="I262" i="1"/>
  <c r="H262" i="1"/>
  <c r="E262" i="1"/>
  <c r="H261" i="1"/>
  <c r="I261" i="1" s="1"/>
  <c r="E261" i="1"/>
  <c r="H260" i="1"/>
  <c r="I260" i="1" s="1"/>
  <c r="E260" i="1"/>
  <c r="H259" i="1"/>
  <c r="I259" i="1" s="1"/>
  <c r="E259" i="1"/>
  <c r="H258" i="1"/>
  <c r="I258" i="1" s="1"/>
  <c r="E258" i="1"/>
  <c r="H257" i="1"/>
  <c r="I257" i="1" s="1"/>
  <c r="E257" i="1"/>
  <c r="H256" i="1"/>
  <c r="I256" i="1" s="1"/>
  <c r="E256" i="1"/>
  <c r="I255" i="1"/>
  <c r="H255" i="1"/>
  <c r="E255" i="1"/>
  <c r="H254" i="1"/>
  <c r="I254" i="1" s="1"/>
  <c r="E254" i="1"/>
  <c r="H253" i="1"/>
  <c r="I253" i="1" s="1"/>
  <c r="E253" i="1"/>
  <c r="H252" i="1"/>
  <c r="I252" i="1" s="1"/>
  <c r="E252" i="1"/>
  <c r="H251" i="1"/>
  <c r="I251" i="1" s="1"/>
  <c r="E251" i="1"/>
  <c r="H250" i="1"/>
  <c r="I250" i="1" s="1"/>
  <c r="E250" i="1"/>
  <c r="H249" i="1"/>
  <c r="I249" i="1" s="1"/>
  <c r="E249" i="1"/>
  <c r="H248" i="1"/>
  <c r="I248" i="1" s="1"/>
  <c r="E248" i="1"/>
  <c r="I247" i="1"/>
  <c r="H247" i="1"/>
  <c r="E247" i="1"/>
  <c r="H246" i="1"/>
  <c r="I246" i="1" s="1"/>
  <c r="E246" i="1"/>
  <c r="H245" i="1"/>
  <c r="I245" i="1" s="1"/>
  <c r="E245" i="1"/>
  <c r="H244" i="1"/>
  <c r="I244" i="1" s="1"/>
  <c r="E244" i="1"/>
  <c r="I243" i="1"/>
  <c r="H243" i="1"/>
  <c r="E243" i="1"/>
  <c r="H242" i="1"/>
  <c r="I242" i="1" s="1"/>
  <c r="E242" i="1"/>
  <c r="H241" i="1"/>
  <c r="I241" i="1" s="1"/>
  <c r="E241" i="1"/>
  <c r="H240" i="1"/>
  <c r="I240" i="1" s="1"/>
  <c r="E240" i="1"/>
  <c r="I239" i="1"/>
  <c r="H239" i="1"/>
  <c r="E239" i="1"/>
  <c r="I238" i="1"/>
  <c r="H238" i="1"/>
  <c r="E238" i="1"/>
  <c r="H237" i="1"/>
  <c r="I237" i="1" s="1"/>
  <c r="E237" i="1"/>
  <c r="H236" i="1"/>
  <c r="I236" i="1" s="1"/>
  <c r="E236" i="1"/>
  <c r="I235" i="1"/>
  <c r="H235" i="1"/>
  <c r="E235" i="1"/>
  <c r="H234" i="1"/>
  <c r="I234" i="1" s="1"/>
  <c r="E234" i="1"/>
  <c r="H233" i="1"/>
  <c r="I233" i="1" s="1"/>
  <c r="E233" i="1"/>
  <c r="H232" i="1"/>
  <c r="I232" i="1" s="1"/>
  <c r="E232" i="1"/>
  <c r="I231" i="1"/>
  <c r="H231" i="1"/>
  <c r="E231" i="1"/>
  <c r="I230" i="1"/>
  <c r="H230" i="1"/>
  <c r="E230" i="1"/>
  <c r="H229" i="1"/>
  <c r="I229" i="1" s="1"/>
  <c r="E229" i="1"/>
  <c r="H228" i="1"/>
  <c r="I228" i="1" s="1"/>
  <c r="E228" i="1"/>
  <c r="H227" i="1"/>
  <c r="I227" i="1" s="1"/>
  <c r="E227" i="1"/>
  <c r="H226" i="1"/>
  <c r="I226" i="1" s="1"/>
  <c r="E226" i="1"/>
  <c r="H225" i="1"/>
  <c r="I225" i="1" s="1"/>
  <c r="E225" i="1"/>
  <c r="H224" i="1"/>
  <c r="I224" i="1" s="1"/>
  <c r="E224" i="1"/>
  <c r="I223" i="1"/>
  <c r="H223" i="1"/>
  <c r="E223" i="1"/>
  <c r="H222" i="1"/>
  <c r="I222" i="1" s="1"/>
  <c r="E222" i="1"/>
  <c r="H221" i="1"/>
  <c r="I221" i="1" s="1"/>
  <c r="E221" i="1"/>
  <c r="H220" i="1"/>
  <c r="I220" i="1" s="1"/>
  <c r="E220" i="1"/>
  <c r="H219" i="1"/>
  <c r="I219" i="1" s="1"/>
  <c r="E219" i="1"/>
  <c r="H218" i="1"/>
  <c r="I218" i="1" s="1"/>
  <c r="E218" i="1"/>
  <c r="H217" i="1"/>
  <c r="I217" i="1" s="1"/>
  <c r="E217" i="1"/>
  <c r="H216" i="1"/>
  <c r="I216" i="1" s="1"/>
  <c r="E216" i="1"/>
  <c r="I215" i="1"/>
  <c r="H215" i="1"/>
  <c r="E215" i="1"/>
  <c r="H214" i="1"/>
  <c r="I214" i="1" s="1"/>
  <c r="E214" i="1"/>
  <c r="H213" i="1"/>
  <c r="I213" i="1" s="1"/>
  <c r="E213" i="1"/>
  <c r="H212" i="1"/>
  <c r="I212" i="1" s="1"/>
  <c r="E212" i="1"/>
  <c r="I211" i="1"/>
  <c r="H211" i="1"/>
  <c r="E211" i="1"/>
  <c r="H210" i="1"/>
  <c r="I210" i="1" s="1"/>
  <c r="E210" i="1"/>
  <c r="H209" i="1"/>
  <c r="I209" i="1" s="1"/>
  <c r="E209" i="1"/>
  <c r="H208" i="1"/>
  <c r="I208" i="1" s="1"/>
  <c r="E208" i="1"/>
  <c r="I207" i="1"/>
  <c r="H207" i="1"/>
  <c r="E207" i="1"/>
  <c r="I206" i="1"/>
  <c r="H206" i="1"/>
  <c r="E206" i="1"/>
  <c r="H205" i="1"/>
  <c r="I205" i="1" s="1"/>
  <c r="E205" i="1"/>
  <c r="H204" i="1"/>
  <c r="I204" i="1" s="1"/>
  <c r="E204" i="1"/>
  <c r="I203" i="1"/>
  <c r="H203" i="1"/>
  <c r="E203" i="1"/>
  <c r="H202" i="1"/>
  <c r="I202" i="1" s="1"/>
  <c r="E202" i="1"/>
  <c r="H201" i="1"/>
  <c r="I201" i="1" s="1"/>
  <c r="E201" i="1"/>
  <c r="H200" i="1"/>
  <c r="I200" i="1" s="1"/>
  <c r="E200" i="1"/>
  <c r="I199" i="1"/>
  <c r="H199" i="1"/>
  <c r="E199" i="1"/>
  <c r="I198" i="1"/>
  <c r="H198" i="1"/>
  <c r="E198" i="1"/>
  <c r="H197" i="1"/>
  <c r="I197" i="1" s="1"/>
  <c r="E197" i="1"/>
  <c r="H196" i="1"/>
  <c r="I196" i="1" s="1"/>
  <c r="E196" i="1"/>
  <c r="H195" i="1"/>
  <c r="I195" i="1" s="1"/>
  <c r="E195" i="1"/>
  <c r="H194" i="1"/>
  <c r="I194" i="1" s="1"/>
  <c r="E194" i="1"/>
  <c r="H193" i="1"/>
  <c r="I193" i="1" s="1"/>
  <c r="E193" i="1"/>
  <c r="H192" i="1"/>
  <c r="I192" i="1" s="1"/>
  <c r="E192" i="1"/>
  <c r="I191" i="1"/>
  <c r="H191" i="1"/>
  <c r="E191" i="1"/>
  <c r="H190" i="1"/>
  <c r="I190" i="1" s="1"/>
  <c r="E190" i="1"/>
  <c r="H189" i="1"/>
  <c r="I189" i="1" s="1"/>
  <c r="E189" i="1"/>
  <c r="H188" i="1"/>
  <c r="I188" i="1" s="1"/>
  <c r="E188" i="1"/>
  <c r="H187" i="1"/>
  <c r="I187" i="1" s="1"/>
  <c r="E187" i="1"/>
  <c r="H186" i="1"/>
  <c r="I186" i="1" s="1"/>
  <c r="E186" i="1"/>
  <c r="H185" i="1"/>
  <c r="I185" i="1" s="1"/>
  <c r="E185" i="1"/>
  <c r="H184" i="1"/>
  <c r="I184" i="1" s="1"/>
  <c r="E184" i="1"/>
  <c r="I183" i="1"/>
  <c r="H183" i="1"/>
  <c r="E183" i="1"/>
  <c r="H182" i="1"/>
  <c r="I182" i="1" s="1"/>
  <c r="E182" i="1"/>
  <c r="H181" i="1"/>
  <c r="I181" i="1" s="1"/>
  <c r="E181" i="1"/>
  <c r="H180" i="1"/>
  <c r="I180" i="1" s="1"/>
  <c r="E180" i="1"/>
  <c r="I179" i="1"/>
  <c r="H179" i="1"/>
  <c r="E179" i="1"/>
  <c r="H178" i="1"/>
  <c r="I178" i="1" s="1"/>
  <c r="E178" i="1"/>
  <c r="H177" i="1"/>
  <c r="I177" i="1" s="1"/>
  <c r="E177" i="1"/>
  <c r="H176" i="1"/>
  <c r="I176" i="1" s="1"/>
  <c r="E176" i="1"/>
  <c r="I175" i="1"/>
  <c r="H175" i="1"/>
  <c r="E175" i="1"/>
  <c r="I174" i="1"/>
  <c r="H174" i="1"/>
  <c r="E174" i="1"/>
  <c r="H173" i="1"/>
  <c r="I173" i="1" s="1"/>
  <c r="E173" i="1"/>
  <c r="H172" i="1"/>
  <c r="I172" i="1" s="1"/>
  <c r="E172" i="1"/>
  <c r="I171" i="1"/>
  <c r="H171" i="1"/>
  <c r="E171" i="1"/>
  <c r="H170" i="1"/>
  <c r="I170" i="1" s="1"/>
  <c r="E170" i="1"/>
  <c r="H169" i="1"/>
  <c r="I169" i="1" s="1"/>
  <c r="E169" i="1"/>
  <c r="H168" i="1"/>
  <c r="I168" i="1" s="1"/>
  <c r="E168" i="1"/>
  <c r="I167" i="1"/>
  <c r="H167" i="1"/>
  <c r="E167" i="1"/>
  <c r="I166" i="1"/>
  <c r="H166" i="1"/>
  <c r="E166" i="1"/>
  <c r="H165" i="1"/>
  <c r="I165" i="1" s="1"/>
  <c r="E165" i="1"/>
  <c r="H164" i="1"/>
  <c r="I164" i="1" s="1"/>
  <c r="E164" i="1"/>
  <c r="H163" i="1"/>
  <c r="I163" i="1" s="1"/>
  <c r="E163" i="1"/>
  <c r="H162" i="1"/>
  <c r="I162" i="1" s="1"/>
  <c r="E162" i="1"/>
  <c r="H161" i="1"/>
  <c r="I161" i="1" s="1"/>
  <c r="E161" i="1"/>
  <c r="H160" i="1"/>
  <c r="I160" i="1" s="1"/>
  <c r="E160" i="1"/>
  <c r="I159" i="1"/>
  <c r="H159" i="1"/>
  <c r="E159" i="1"/>
  <c r="H158" i="1"/>
  <c r="I158" i="1" s="1"/>
  <c r="E158" i="1"/>
  <c r="H157" i="1"/>
  <c r="I157" i="1" s="1"/>
  <c r="E157" i="1"/>
  <c r="H156" i="1"/>
  <c r="I156" i="1" s="1"/>
  <c r="E156" i="1"/>
  <c r="H155" i="1"/>
  <c r="I155" i="1" s="1"/>
  <c r="E155" i="1"/>
  <c r="I154" i="1"/>
  <c r="H154" i="1"/>
  <c r="E154" i="1"/>
  <c r="H153" i="1"/>
  <c r="I153" i="1" s="1"/>
  <c r="E153" i="1"/>
  <c r="H152" i="1"/>
  <c r="I152" i="1" s="1"/>
  <c r="E152" i="1"/>
  <c r="I151" i="1"/>
  <c r="H151" i="1"/>
  <c r="E151" i="1"/>
  <c r="H150" i="1"/>
  <c r="I150" i="1" s="1"/>
  <c r="E150" i="1"/>
  <c r="H149" i="1"/>
  <c r="I149" i="1" s="1"/>
  <c r="E149" i="1"/>
  <c r="H148" i="1"/>
  <c r="I148" i="1" s="1"/>
  <c r="E148" i="1"/>
  <c r="H147" i="1"/>
  <c r="I147" i="1" s="1"/>
  <c r="E147" i="1"/>
  <c r="I146" i="1"/>
  <c r="H146" i="1"/>
  <c r="E146" i="1"/>
  <c r="H145" i="1"/>
  <c r="I145" i="1" s="1"/>
  <c r="E145" i="1"/>
  <c r="H144" i="1"/>
  <c r="I144" i="1" s="1"/>
  <c r="E144" i="1"/>
  <c r="I143" i="1"/>
  <c r="H143" i="1"/>
  <c r="E143" i="1"/>
  <c r="H142" i="1"/>
  <c r="I142" i="1" s="1"/>
  <c r="E142" i="1"/>
  <c r="H141" i="1"/>
  <c r="I141" i="1" s="1"/>
  <c r="E141" i="1"/>
  <c r="H140" i="1"/>
  <c r="I140" i="1" s="1"/>
  <c r="E140" i="1"/>
  <c r="H139" i="1"/>
  <c r="I139" i="1" s="1"/>
  <c r="E139" i="1"/>
  <c r="I138" i="1"/>
  <c r="H138" i="1"/>
  <c r="E138" i="1"/>
  <c r="H137" i="1"/>
  <c r="I137" i="1" s="1"/>
  <c r="E137" i="1"/>
  <c r="H136" i="1"/>
  <c r="I136" i="1" s="1"/>
  <c r="E136" i="1"/>
  <c r="I135" i="1"/>
  <c r="H135" i="1"/>
  <c r="E135" i="1"/>
  <c r="H134" i="1"/>
  <c r="I134" i="1" s="1"/>
  <c r="E134" i="1"/>
  <c r="H133" i="1"/>
  <c r="I133" i="1" s="1"/>
  <c r="E133" i="1"/>
  <c r="H132" i="1"/>
  <c r="I132" i="1" s="1"/>
  <c r="E132" i="1"/>
  <c r="H131" i="1"/>
  <c r="I131" i="1" s="1"/>
  <c r="E131" i="1"/>
  <c r="I130" i="1"/>
  <c r="H130" i="1"/>
  <c r="E130" i="1"/>
  <c r="H129" i="1"/>
  <c r="I129" i="1" s="1"/>
  <c r="E129" i="1"/>
  <c r="H128" i="1"/>
  <c r="I128" i="1" s="1"/>
  <c r="E128" i="1"/>
  <c r="I127" i="1"/>
  <c r="H127" i="1"/>
  <c r="E127" i="1"/>
  <c r="H126" i="1"/>
  <c r="I126" i="1" s="1"/>
  <c r="E126" i="1"/>
  <c r="H125" i="1"/>
  <c r="I125" i="1" s="1"/>
  <c r="E125" i="1"/>
  <c r="H124" i="1"/>
  <c r="I124" i="1" s="1"/>
  <c r="E124" i="1"/>
  <c r="H123" i="1"/>
  <c r="I123" i="1" s="1"/>
  <c r="E123" i="1"/>
  <c r="I122" i="1"/>
  <c r="H122" i="1"/>
  <c r="E122" i="1"/>
  <c r="H121" i="1"/>
  <c r="I121" i="1" s="1"/>
  <c r="E121" i="1"/>
  <c r="H120" i="1"/>
  <c r="I120" i="1" s="1"/>
  <c r="E120" i="1"/>
  <c r="I119" i="1"/>
  <c r="H119" i="1"/>
  <c r="E119" i="1"/>
  <c r="H118" i="1"/>
  <c r="I118" i="1" s="1"/>
  <c r="E118" i="1"/>
  <c r="H117" i="1"/>
  <c r="I117" i="1" s="1"/>
  <c r="E117" i="1"/>
  <c r="H116" i="1"/>
  <c r="I116" i="1" s="1"/>
  <c r="E116" i="1"/>
  <c r="H115" i="1"/>
  <c r="I115" i="1" s="1"/>
  <c r="E115" i="1"/>
  <c r="I114" i="1"/>
  <c r="H114" i="1"/>
  <c r="E114" i="1"/>
  <c r="H113" i="1"/>
  <c r="I113" i="1" s="1"/>
  <c r="E113" i="1"/>
  <c r="H112" i="1"/>
  <c r="I112" i="1" s="1"/>
  <c r="E112" i="1"/>
  <c r="I111" i="1"/>
  <c r="H111" i="1"/>
  <c r="E111" i="1"/>
  <c r="H110" i="1"/>
  <c r="I110" i="1" s="1"/>
  <c r="E110" i="1"/>
  <c r="H109" i="1"/>
  <c r="I109" i="1" s="1"/>
  <c r="E109" i="1"/>
  <c r="H108" i="1"/>
  <c r="I108" i="1" s="1"/>
  <c r="E108" i="1"/>
  <c r="H107" i="1"/>
  <c r="I107" i="1" s="1"/>
  <c r="E107" i="1"/>
  <c r="I106" i="1"/>
  <c r="H106" i="1"/>
  <c r="E106" i="1"/>
  <c r="H105" i="1"/>
  <c r="I105" i="1" s="1"/>
  <c r="E105" i="1"/>
  <c r="H104" i="1"/>
  <c r="I104" i="1" s="1"/>
  <c r="E104" i="1"/>
  <c r="I103" i="1"/>
  <c r="H103" i="1"/>
  <c r="E103" i="1"/>
  <c r="H102" i="1"/>
  <c r="I102" i="1" s="1"/>
  <c r="E102" i="1"/>
  <c r="H101" i="1"/>
  <c r="I101" i="1" s="1"/>
  <c r="E101" i="1"/>
  <c r="H100" i="1"/>
  <c r="I100" i="1" s="1"/>
  <c r="E100" i="1"/>
  <c r="H99" i="1"/>
  <c r="I99" i="1" s="1"/>
  <c r="E99" i="1"/>
  <c r="I98" i="1"/>
  <c r="H98" i="1"/>
  <c r="E98" i="1"/>
  <c r="H97" i="1"/>
  <c r="I97" i="1" s="1"/>
  <c r="E97" i="1"/>
  <c r="H96" i="1"/>
  <c r="I96" i="1" s="1"/>
  <c r="E96" i="1"/>
  <c r="I95" i="1"/>
  <c r="H95" i="1"/>
  <c r="E95" i="1"/>
  <c r="H94" i="1"/>
  <c r="I94" i="1" s="1"/>
  <c r="E94" i="1"/>
  <c r="H93" i="1"/>
  <c r="I93" i="1" s="1"/>
  <c r="E93" i="1"/>
  <c r="H92" i="1"/>
  <c r="I92" i="1" s="1"/>
  <c r="E92" i="1"/>
  <c r="H91" i="1"/>
  <c r="I91" i="1" s="1"/>
  <c r="E91" i="1"/>
  <c r="I90" i="1"/>
  <c r="H90" i="1"/>
  <c r="E90" i="1"/>
  <c r="H89" i="1"/>
  <c r="I89" i="1" s="1"/>
  <c r="E89" i="1"/>
  <c r="H88" i="1"/>
  <c r="I88" i="1" s="1"/>
  <c r="E88" i="1"/>
  <c r="I87" i="1"/>
  <c r="H87" i="1"/>
  <c r="E87" i="1"/>
  <c r="H86" i="1"/>
  <c r="I86" i="1" s="1"/>
  <c r="E86" i="1"/>
  <c r="H85" i="1"/>
  <c r="I85" i="1" s="1"/>
  <c r="E85" i="1"/>
  <c r="H84" i="1"/>
  <c r="I84" i="1" s="1"/>
  <c r="E84" i="1"/>
  <c r="H83" i="1"/>
  <c r="I83" i="1" s="1"/>
  <c r="E83" i="1"/>
  <c r="I82" i="1"/>
  <c r="H82" i="1"/>
  <c r="E82" i="1"/>
  <c r="H81" i="1"/>
  <c r="I81" i="1" s="1"/>
  <c r="E81" i="1"/>
  <c r="H80" i="1"/>
  <c r="I80" i="1" s="1"/>
  <c r="E80" i="1"/>
  <c r="I79" i="1"/>
  <c r="H79" i="1"/>
  <c r="E79" i="1"/>
  <c r="H78" i="1"/>
  <c r="I78" i="1" s="1"/>
  <c r="E78" i="1"/>
  <c r="H77" i="1"/>
  <c r="I77" i="1" s="1"/>
  <c r="E77" i="1"/>
  <c r="H76" i="1"/>
  <c r="I76" i="1" s="1"/>
  <c r="E76" i="1"/>
  <c r="H75" i="1"/>
  <c r="I75" i="1" s="1"/>
  <c r="E75" i="1"/>
  <c r="I74" i="1"/>
  <c r="H74" i="1"/>
  <c r="E74" i="1"/>
  <c r="H73" i="1"/>
  <c r="I73" i="1" s="1"/>
  <c r="E73" i="1"/>
  <c r="H72" i="1"/>
  <c r="I72" i="1" s="1"/>
  <c r="E72" i="1"/>
  <c r="I71" i="1"/>
  <c r="H71" i="1"/>
  <c r="E71" i="1"/>
  <c r="H70" i="1"/>
  <c r="I70" i="1" s="1"/>
  <c r="E70" i="1"/>
  <c r="H69" i="1"/>
  <c r="I69" i="1" s="1"/>
  <c r="E69" i="1"/>
  <c r="H68" i="1"/>
  <c r="I68" i="1" s="1"/>
  <c r="E68" i="1"/>
  <c r="H67" i="1"/>
  <c r="I67" i="1" s="1"/>
  <c r="E67" i="1"/>
  <c r="I66" i="1"/>
  <c r="H66" i="1"/>
  <c r="E66" i="1"/>
  <c r="H65" i="1"/>
  <c r="I65" i="1" s="1"/>
  <c r="E65" i="1"/>
  <c r="H64" i="1"/>
  <c r="I64" i="1" s="1"/>
  <c r="E64" i="1"/>
  <c r="I63" i="1"/>
  <c r="H63" i="1"/>
  <c r="E63" i="1"/>
  <c r="H62" i="1"/>
  <c r="I62" i="1" s="1"/>
  <c r="E62" i="1"/>
  <c r="H61" i="1"/>
  <c r="I61" i="1" s="1"/>
  <c r="E61" i="1"/>
  <c r="H60" i="1"/>
  <c r="I60" i="1" s="1"/>
  <c r="E60" i="1"/>
  <c r="H59" i="1"/>
  <c r="I59" i="1" s="1"/>
  <c r="E59" i="1"/>
  <c r="I58" i="1"/>
  <c r="H58" i="1"/>
  <c r="E58" i="1"/>
  <c r="H57" i="1"/>
  <c r="I57" i="1" s="1"/>
  <c r="E57" i="1"/>
  <c r="H56" i="1"/>
  <c r="I56" i="1" s="1"/>
  <c r="E56" i="1"/>
  <c r="I55" i="1"/>
  <c r="H55" i="1"/>
  <c r="E55" i="1"/>
  <c r="H54" i="1"/>
  <c r="I54" i="1" s="1"/>
  <c r="E54" i="1"/>
  <c r="H53" i="1"/>
  <c r="I53" i="1" s="1"/>
  <c r="E53" i="1"/>
  <c r="H52" i="1"/>
  <c r="I52" i="1" s="1"/>
  <c r="E52" i="1"/>
  <c r="H51" i="1"/>
  <c r="I51" i="1" s="1"/>
  <c r="E51" i="1"/>
  <c r="I50" i="1"/>
  <c r="H50" i="1"/>
  <c r="E50" i="1"/>
  <c r="H49" i="1"/>
  <c r="I49" i="1" s="1"/>
  <c r="E49" i="1"/>
  <c r="H48" i="1"/>
  <c r="I48" i="1" s="1"/>
  <c r="E48" i="1"/>
  <c r="I47" i="1"/>
  <c r="H47" i="1"/>
  <c r="E47" i="1"/>
  <c r="H46" i="1"/>
  <c r="I46" i="1" s="1"/>
  <c r="E46" i="1"/>
  <c r="H45" i="1"/>
  <c r="I45" i="1" s="1"/>
  <c r="E45" i="1"/>
  <c r="H44" i="1"/>
  <c r="I44" i="1" s="1"/>
  <c r="E44" i="1"/>
  <c r="H43" i="1"/>
  <c r="I43" i="1" s="1"/>
  <c r="E43" i="1"/>
  <c r="I42" i="1"/>
  <c r="H42" i="1"/>
  <c r="E42" i="1"/>
  <c r="H41" i="1"/>
  <c r="I41" i="1" s="1"/>
  <c r="E41" i="1"/>
  <c r="H40" i="1"/>
  <c r="I40" i="1" s="1"/>
  <c r="E40" i="1"/>
  <c r="I39" i="1"/>
  <c r="H39" i="1"/>
  <c r="E39" i="1"/>
  <c r="H38" i="1"/>
  <c r="I38" i="1" s="1"/>
  <c r="E38" i="1"/>
  <c r="H37" i="1"/>
  <c r="I37" i="1" s="1"/>
  <c r="E37" i="1"/>
  <c r="H36" i="1"/>
  <c r="I36" i="1" s="1"/>
  <c r="E36" i="1"/>
  <c r="H35" i="1"/>
  <c r="I35" i="1" s="1"/>
  <c r="E35" i="1"/>
  <c r="I34" i="1"/>
  <c r="H34" i="1"/>
  <c r="E34" i="1"/>
  <c r="H33" i="1"/>
  <c r="I33" i="1" s="1"/>
  <c r="E33" i="1"/>
  <c r="H32" i="1"/>
  <c r="I32" i="1" s="1"/>
  <c r="E32" i="1"/>
  <c r="I31" i="1"/>
  <c r="H31" i="1"/>
  <c r="E31" i="1"/>
  <c r="H30" i="1"/>
  <c r="I30" i="1" s="1"/>
  <c r="E30" i="1"/>
  <c r="H29" i="1"/>
  <c r="I29" i="1" s="1"/>
  <c r="E29" i="1"/>
  <c r="H28" i="1"/>
  <c r="I28" i="1" s="1"/>
  <c r="E28" i="1"/>
  <c r="H27" i="1"/>
  <c r="I27" i="1" s="1"/>
  <c r="E27" i="1"/>
  <c r="I26" i="1"/>
  <c r="H26" i="1"/>
  <c r="E26" i="1"/>
  <c r="H25" i="1"/>
  <c r="I25" i="1" s="1"/>
  <c r="E25" i="1"/>
  <c r="H24" i="1"/>
  <c r="I24" i="1" s="1"/>
  <c r="E24" i="1"/>
  <c r="I23" i="1"/>
  <c r="H23" i="1"/>
  <c r="E23" i="1"/>
  <c r="H22" i="1"/>
  <c r="I22" i="1" s="1"/>
  <c r="E22" i="1"/>
  <c r="H21" i="1"/>
  <c r="I21" i="1" s="1"/>
  <c r="E21" i="1"/>
  <c r="H20" i="1"/>
  <c r="I20" i="1" s="1"/>
  <c r="E20" i="1"/>
  <c r="H19" i="1"/>
  <c r="I19" i="1" s="1"/>
  <c r="E19" i="1"/>
  <c r="I18" i="1"/>
  <c r="H18" i="1"/>
  <c r="E18" i="1"/>
  <c r="H17" i="1"/>
  <c r="I17" i="1" s="1"/>
  <c r="E17" i="1"/>
  <c r="H16" i="1"/>
  <c r="I16" i="1" s="1"/>
  <c r="E16" i="1"/>
  <c r="I15" i="1"/>
  <c r="H15" i="1"/>
  <c r="E15" i="1"/>
  <c r="H14" i="1"/>
  <c r="I14" i="1" s="1"/>
  <c r="E14" i="1"/>
  <c r="H13" i="1"/>
  <c r="I13" i="1" s="1"/>
  <c r="E13" i="1"/>
  <c r="H12" i="1"/>
  <c r="I12" i="1" s="1"/>
  <c r="E12" i="1"/>
  <c r="H11" i="1"/>
  <c r="I11" i="1" s="1"/>
  <c r="E11" i="1"/>
  <c r="I10" i="1"/>
  <c r="H10" i="1"/>
  <c r="E10" i="1"/>
  <c r="H9" i="1"/>
  <c r="I9" i="1" s="1"/>
  <c r="E9" i="1"/>
  <c r="H8" i="1"/>
  <c r="I8" i="1" s="1"/>
  <c r="E8" i="1"/>
  <c r="I7" i="1"/>
  <c r="H7" i="1"/>
  <c r="E7" i="1"/>
  <c r="H6" i="1"/>
  <c r="I6" i="1" s="1"/>
  <c r="E6" i="1"/>
  <c r="H5" i="1"/>
  <c r="I5" i="1" s="1"/>
  <c r="E5" i="1"/>
  <c r="H4" i="1"/>
  <c r="I4" i="1" s="1"/>
  <c r="E4" i="1"/>
  <c r="E1584" i="3"/>
  <c r="E1580" i="3"/>
  <c r="E1576" i="3"/>
  <c r="E1572" i="3"/>
  <c r="E1568" i="3"/>
  <c r="E1564" i="3"/>
  <c r="E1560" i="3"/>
  <c r="E1556" i="3"/>
  <c r="E1552" i="3"/>
  <c r="E1548" i="3"/>
  <c r="E1544" i="3"/>
  <c r="E1540" i="3"/>
  <c r="E1536" i="3"/>
  <c r="E1532" i="3"/>
  <c r="E1528" i="3"/>
  <c r="E1524" i="3"/>
  <c r="E1520" i="3"/>
  <c r="E1516" i="3"/>
  <c r="E1512" i="3"/>
  <c r="E1508" i="3"/>
  <c r="E1504" i="3"/>
  <c r="E1500" i="3"/>
  <c r="E1496" i="3"/>
  <c r="E1492" i="3"/>
  <c r="E1488" i="3"/>
  <c r="E1484" i="3"/>
  <c r="E1480" i="3"/>
  <c r="E1476" i="3"/>
  <c r="E1472" i="3"/>
  <c r="E1468" i="3"/>
  <c r="E1464" i="3"/>
  <c r="E1460" i="3"/>
  <c r="E1456" i="3"/>
  <c r="E1452" i="3"/>
  <c r="E1448" i="3"/>
  <c r="E1444" i="3"/>
  <c r="E1440" i="3"/>
  <c r="E1436" i="3"/>
  <c r="E1432" i="3"/>
  <c r="E1428" i="3"/>
  <c r="E1424" i="3"/>
  <c r="E1420" i="3"/>
  <c r="E1416" i="3"/>
  <c r="E1412" i="3"/>
  <c r="E1408" i="3"/>
  <c r="E1404" i="3"/>
  <c r="E1400" i="3"/>
  <c r="E1396" i="3"/>
  <c r="E1392" i="3"/>
  <c r="E1388" i="3"/>
  <c r="E1384" i="3"/>
  <c r="E1380" i="3"/>
  <c r="E1376" i="3"/>
  <c r="E1372" i="3"/>
  <c r="E1368" i="3"/>
  <c r="E1364" i="3"/>
  <c r="E1360" i="3"/>
  <c r="E1356" i="3"/>
  <c r="E1352" i="3"/>
  <c r="E1348" i="3"/>
  <c r="E1344" i="3"/>
  <c r="E1340" i="3"/>
  <c r="E1336" i="3"/>
  <c r="E1332" i="3"/>
  <c r="E1328" i="3"/>
  <c r="E1324" i="3"/>
  <c r="E1320" i="3"/>
  <c r="E1316" i="3"/>
  <c r="E1312" i="3"/>
  <c r="E1308" i="3"/>
  <c r="E1304" i="3"/>
  <c r="E1300" i="3"/>
  <c r="E1296" i="3"/>
  <c r="E1292" i="3"/>
  <c r="E1288" i="3"/>
  <c r="E1284" i="3"/>
  <c r="E1280" i="3"/>
  <c r="E1276" i="3"/>
  <c r="E1272" i="3"/>
  <c r="E1268" i="3"/>
  <c r="E1264" i="3"/>
  <c r="E1260" i="3"/>
  <c r="E1256" i="3"/>
  <c r="E1252" i="3"/>
  <c r="E1248" i="3"/>
  <c r="E1244" i="3"/>
  <c r="E1240" i="3"/>
  <c r="E1236" i="3"/>
  <c r="E1232" i="3"/>
  <c r="E1228" i="3"/>
  <c r="E1224" i="3"/>
  <c r="E1220" i="3"/>
  <c r="E1216" i="3"/>
  <c r="E1212" i="3"/>
  <c r="E1208" i="3"/>
  <c r="E1204" i="3"/>
  <c r="E1200" i="3"/>
  <c r="E1196" i="3"/>
  <c r="E1192" i="3"/>
  <c r="E1188" i="3"/>
  <c r="E1184" i="3"/>
  <c r="E1180" i="3"/>
  <c r="E1176" i="3"/>
  <c r="E1172" i="3"/>
  <c r="E1168" i="3"/>
  <c r="E1164" i="3"/>
  <c r="E1160" i="3"/>
  <c r="E1156" i="3"/>
  <c r="E1152" i="3"/>
  <c r="E1148" i="3"/>
  <c r="E1144" i="3"/>
  <c r="E1140" i="3"/>
  <c r="E1136" i="3"/>
  <c r="E1132" i="3"/>
  <c r="E1128" i="3"/>
  <c r="E1124" i="3"/>
  <c r="E1120" i="3"/>
  <c r="E1116" i="3"/>
  <c r="E1112" i="3"/>
  <c r="E1108" i="3"/>
  <c r="E1104" i="3"/>
  <c r="E1100" i="3"/>
  <c r="E1096" i="3"/>
  <c r="E1092" i="3"/>
  <c r="E1088" i="3"/>
  <c r="E1084" i="3"/>
  <c r="E1080" i="3"/>
  <c r="E1581" i="3"/>
  <c r="E1577" i="3"/>
  <c r="E1573" i="3"/>
  <c r="E1569" i="3"/>
  <c r="E1565" i="3"/>
  <c r="E1561" i="3"/>
  <c r="E1557" i="3"/>
  <c r="E1553" i="3"/>
  <c r="E1549" i="3"/>
  <c r="E1545" i="3"/>
  <c r="E1541" i="3"/>
  <c r="E1537" i="3"/>
  <c r="E1533" i="3"/>
  <c r="E1529" i="3"/>
  <c r="E1525" i="3"/>
  <c r="E1521" i="3"/>
  <c r="E1517" i="3"/>
  <c r="E1513" i="3"/>
  <c r="E1509" i="3"/>
  <c r="E1505" i="3"/>
  <c r="E1501" i="3"/>
  <c r="E1497" i="3"/>
  <c r="E1493" i="3"/>
  <c r="E1489" i="3"/>
  <c r="E1485" i="3"/>
  <c r="E1481" i="3"/>
  <c r="E1477" i="3"/>
  <c r="E1473" i="3"/>
  <c r="E1469" i="3"/>
  <c r="E1465" i="3"/>
  <c r="E1461" i="3"/>
  <c r="E1457" i="3"/>
  <c r="E1453" i="3"/>
  <c r="E1449" i="3"/>
  <c r="E1445" i="3"/>
  <c r="E1441" i="3"/>
  <c r="E1437" i="3"/>
  <c r="E1433" i="3"/>
  <c r="E1429" i="3"/>
  <c r="E1425" i="3"/>
  <c r="E1421" i="3"/>
  <c r="E1417" i="3"/>
  <c r="E1413" i="3"/>
  <c r="E1409" i="3"/>
  <c r="E1405" i="3"/>
  <c r="E1401" i="3"/>
  <c r="E1397" i="3"/>
  <c r="E1393" i="3"/>
  <c r="E1389" i="3"/>
  <c r="E1385" i="3"/>
  <c r="E1381" i="3"/>
  <c r="E1377" i="3"/>
  <c r="E1373" i="3"/>
  <c r="E1369" i="3"/>
  <c r="E1365" i="3"/>
  <c r="E1361" i="3"/>
  <c r="E1357" i="3"/>
  <c r="E1353" i="3"/>
  <c r="E1349" i="3"/>
  <c r="E1345" i="3"/>
  <c r="E1341" i="3"/>
  <c r="E1337" i="3"/>
  <c r="E1333" i="3"/>
  <c r="E1329" i="3"/>
  <c r="E1325" i="3"/>
  <c r="E1321" i="3"/>
  <c r="E1317" i="3"/>
  <c r="E1313" i="3"/>
  <c r="E1309" i="3"/>
  <c r="E1305" i="3"/>
  <c r="E1301" i="3"/>
  <c r="E1297" i="3"/>
  <c r="E1293" i="3"/>
  <c r="E1289" i="3"/>
  <c r="E1285" i="3"/>
  <c r="E1281" i="3"/>
  <c r="E1277" i="3"/>
  <c r="E1273" i="3"/>
  <c r="E1269" i="3"/>
  <c r="E1265" i="3"/>
  <c r="E1261" i="3"/>
  <c r="E1257" i="3"/>
  <c r="E1253" i="3"/>
  <c r="E1249" i="3"/>
  <c r="E1245" i="3"/>
  <c r="E1241" i="3"/>
  <c r="E1237" i="3"/>
  <c r="E1233" i="3"/>
  <c r="E1229" i="3"/>
  <c r="E1225" i="3"/>
  <c r="E1221" i="3"/>
  <c r="E1217" i="3"/>
  <c r="E1213" i="3"/>
  <c r="E1209" i="3"/>
  <c r="E1205" i="3"/>
  <c r="E1201" i="3"/>
  <c r="E1197" i="3"/>
  <c r="E1193" i="3"/>
  <c r="E1189" i="3"/>
  <c r="E1185" i="3"/>
  <c r="E1181" i="3"/>
  <c r="E1177" i="3"/>
  <c r="E1173" i="3"/>
  <c r="E1169" i="3"/>
  <c r="E1165" i="3"/>
  <c r="E1161" i="3"/>
  <c r="E1157" i="3"/>
  <c r="E1153" i="3"/>
  <c r="E1149" i="3"/>
  <c r="E1145" i="3"/>
  <c r="E1141" i="3"/>
  <c r="E1137" i="3"/>
  <c r="E1133" i="3"/>
  <c r="E1129" i="3"/>
  <c r="E1125" i="3"/>
  <c r="E1121" i="3"/>
  <c r="E1117" i="3"/>
  <c r="E1113" i="3"/>
  <c r="E1109" i="3"/>
  <c r="E1105" i="3"/>
  <c r="E1101" i="3"/>
  <c r="E1097" i="3"/>
  <c r="E1582" i="3"/>
  <c r="E1578" i="3"/>
  <c r="E1574" i="3"/>
  <c r="E1570" i="3"/>
  <c r="E1566" i="3"/>
  <c r="E1562" i="3"/>
  <c r="E1558" i="3"/>
  <c r="E1554" i="3"/>
  <c r="E1550" i="3"/>
  <c r="E1546" i="3"/>
  <c r="E1542" i="3"/>
  <c r="E1538" i="3"/>
  <c r="E1534" i="3"/>
  <c r="E1530" i="3"/>
  <c r="E1526" i="3"/>
  <c r="E1522" i="3"/>
  <c r="E1518" i="3"/>
  <c r="E1514" i="3"/>
  <c r="E1510" i="3"/>
  <c r="E1506" i="3"/>
  <c r="E1502" i="3"/>
  <c r="E1498" i="3"/>
  <c r="E1494" i="3"/>
  <c r="E1490" i="3"/>
  <c r="E1486" i="3"/>
  <c r="E1482" i="3"/>
  <c r="E1478" i="3"/>
  <c r="E1474" i="3"/>
  <c r="E1470" i="3"/>
  <c r="E1466" i="3"/>
  <c r="E1462" i="3"/>
  <c r="E1458" i="3"/>
  <c r="E1454" i="3"/>
  <c r="E1450" i="3"/>
  <c r="E1446" i="3"/>
  <c r="E1442" i="3"/>
  <c r="E1438" i="3"/>
  <c r="E1434" i="3"/>
  <c r="E1430" i="3"/>
  <c r="E1426" i="3"/>
  <c r="E1422" i="3"/>
  <c r="E1418" i="3"/>
  <c r="E1414" i="3"/>
  <c r="E1410" i="3"/>
  <c r="E1406" i="3"/>
  <c r="E1402" i="3"/>
  <c r="E1398" i="3"/>
  <c r="E1394" i="3"/>
  <c r="E1390" i="3"/>
  <c r="E1386" i="3"/>
  <c r="E1382" i="3"/>
  <c r="E1378" i="3"/>
  <c r="E1374" i="3"/>
  <c r="E1370" i="3"/>
  <c r="E1366" i="3"/>
  <c r="E1362" i="3"/>
  <c r="E1358" i="3"/>
  <c r="E1354" i="3"/>
  <c r="E1350" i="3"/>
  <c r="E1346" i="3"/>
  <c r="E1342" i="3"/>
  <c r="E1338" i="3"/>
  <c r="E1334" i="3"/>
  <c r="E1330" i="3"/>
  <c r="E1326" i="3"/>
  <c r="E1322" i="3"/>
  <c r="E1318" i="3"/>
  <c r="E1314" i="3"/>
  <c r="E1310" i="3"/>
  <c r="E1306" i="3"/>
  <c r="E1302" i="3"/>
  <c r="E1298" i="3"/>
  <c r="E1294" i="3"/>
  <c r="E1290" i="3"/>
  <c r="E1286" i="3"/>
  <c r="E1282" i="3"/>
  <c r="E1278" i="3"/>
  <c r="E1274" i="3"/>
  <c r="E1270" i="3"/>
  <c r="E1266" i="3"/>
  <c r="E1262" i="3"/>
  <c r="E1258" i="3"/>
  <c r="E1254" i="3"/>
  <c r="E1250" i="3"/>
  <c r="E1246" i="3"/>
  <c r="E1242" i="3"/>
  <c r="E1238" i="3"/>
  <c r="E1234" i="3"/>
  <c r="E1230" i="3"/>
  <c r="E1226" i="3"/>
  <c r="E1222" i="3"/>
  <c r="E1218" i="3"/>
  <c r="E1214" i="3"/>
  <c r="E1210" i="3"/>
  <c r="E1206" i="3"/>
  <c r="E1202" i="3"/>
  <c r="E1198" i="3"/>
  <c r="E1194" i="3"/>
  <c r="E1190" i="3"/>
  <c r="E1186" i="3"/>
  <c r="E1182" i="3"/>
  <c r="E1178" i="3"/>
  <c r="E1174" i="3"/>
  <c r="E1170" i="3"/>
  <c r="E1166" i="3"/>
  <c r="E1162" i="3"/>
  <c r="E1158" i="3"/>
  <c r="E1154" i="3"/>
  <c r="E1150" i="3"/>
  <c r="E1146" i="3"/>
  <c r="E1142" i="3"/>
  <c r="E1138" i="3"/>
  <c r="E1134" i="3"/>
  <c r="E1130" i="3"/>
  <c r="E1126" i="3"/>
  <c r="E1122" i="3"/>
  <c r="E1118" i="3"/>
  <c r="E1114" i="3"/>
  <c r="E1110" i="3"/>
  <c r="E1106" i="3"/>
  <c r="E1102" i="3"/>
  <c r="E1098" i="3"/>
  <c r="E1094" i="3"/>
  <c r="E1090" i="3"/>
  <c r="E1583" i="3"/>
  <c r="E1579" i="3"/>
  <c r="E1575" i="3"/>
  <c r="E1571" i="3"/>
  <c r="E1567" i="3"/>
  <c r="E1563" i="3"/>
  <c r="E1559" i="3"/>
  <c r="E1555" i="3"/>
  <c r="E1551" i="3"/>
  <c r="E1547" i="3"/>
  <c r="E1543" i="3"/>
  <c r="E1539" i="3"/>
  <c r="E1535" i="3"/>
  <c r="E1531" i="3"/>
  <c r="E1527" i="3"/>
  <c r="E1523" i="3"/>
  <c r="E1519" i="3"/>
  <c r="E1515" i="3"/>
  <c r="E1511" i="3"/>
  <c r="E1507" i="3"/>
  <c r="E1503" i="3"/>
  <c r="E1499" i="3"/>
  <c r="E1495" i="3"/>
  <c r="E1491" i="3"/>
  <c r="E1487" i="3"/>
  <c r="E1483" i="3"/>
  <c r="E1479" i="3"/>
  <c r="E1475" i="3"/>
  <c r="E1471" i="3"/>
  <c r="E1467" i="3"/>
  <c r="E1463" i="3"/>
  <c r="E1459" i="3"/>
  <c r="E1455" i="3"/>
  <c r="E1451" i="3"/>
  <c r="E1447" i="3"/>
  <c r="E1443" i="3"/>
  <c r="E1439" i="3"/>
  <c r="E1435" i="3"/>
  <c r="E1431" i="3"/>
  <c r="E1427" i="3"/>
  <c r="E1423" i="3"/>
  <c r="E1419" i="3"/>
  <c r="E1415" i="3"/>
  <c r="E1411" i="3"/>
  <c r="E1407" i="3"/>
  <c r="E1403" i="3"/>
  <c r="E1399" i="3"/>
  <c r="E1395" i="3"/>
  <c r="E1391" i="3"/>
  <c r="E1387" i="3"/>
  <c r="E1383" i="3"/>
  <c r="E1379" i="3"/>
  <c r="E1375" i="3"/>
  <c r="E1371" i="3"/>
  <c r="E1367" i="3"/>
  <c r="E1363" i="3"/>
  <c r="E1359" i="3"/>
  <c r="E1355" i="3"/>
  <c r="E1351" i="3"/>
  <c r="E1347" i="3"/>
  <c r="E1343" i="3"/>
  <c r="E1339" i="3"/>
  <c r="E1335" i="3"/>
  <c r="E1331" i="3"/>
  <c r="E1327" i="3"/>
  <c r="E1323" i="3"/>
  <c r="E1319" i="3"/>
  <c r="E1315" i="3"/>
  <c r="E1311" i="3"/>
  <c r="E1307" i="3"/>
  <c r="E1303" i="3"/>
  <c r="E1299" i="3"/>
  <c r="E1295" i="3"/>
  <c r="E1291" i="3"/>
  <c r="E1287" i="3"/>
  <c r="E1283" i="3"/>
  <c r="E1279" i="3"/>
  <c r="E1275" i="3"/>
  <c r="E1271" i="3"/>
  <c r="E1267" i="3"/>
  <c r="E1263" i="3"/>
  <c r="E1259" i="3"/>
  <c r="E1255" i="3"/>
  <c r="E1251" i="3"/>
  <c r="E1247" i="3"/>
  <c r="E1243" i="3"/>
  <c r="E1239" i="3"/>
  <c r="E1235" i="3"/>
  <c r="E1231" i="3"/>
  <c r="E1227" i="3"/>
  <c r="E1223" i="3"/>
  <c r="E1219" i="3"/>
  <c r="E1215" i="3"/>
  <c r="E1211" i="3"/>
  <c r="E1207" i="3"/>
  <c r="E1203" i="3"/>
  <c r="E1199" i="3"/>
  <c r="E1195" i="3"/>
  <c r="E1191" i="3"/>
  <c r="E1187" i="3"/>
  <c r="E1183" i="3"/>
  <c r="E1179" i="3"/>
  <c r="E1175" i="3"/>
  <c r="E1171" i="3"/>
  <c r="E1167" i="3"/>
  <c r="E1163" i="3"/>
  <c r="E1159" i="3"/>
  <c r="E1155" i="3"/>
  <c r="E1151" i="3"/>
  <c r="E1147" i="3"/>
  <c r="E1143" i="3"/>
  <c r="E1139" i="3"/>
  <c r="E1135" i="3"/>
  <c r="E1131" i="3"/>
  <c r="E1127" i="3"/>
  <c r="E1123" i="3"/>
  <c r="E1119" i="3"/>
  <c r="E1115" i="3"/>
  <c r="E1111" i="3"/>
  <c r="E1107" i="3"/>
  <c r="E1103" i="3"/>
  <c r="E1099" i="3"/>
  <c r="E1095" i="3"/>
  <c r="E1091" i="3"/>
  <c r="E1085" i="3"/>
  <c r="E1082" i="3"/>
  <c r="E1079" i="3"/>
  <c r="E1075" i="3"/>
  <c r="E1071" i="3"/>
  <c r="E1067" i="3"/>
  <c r="E1063" i="3"/>
  <c r="E1059" i="3"/>
  <c r="E1055" i="3"/>
  <c r="E1051" i="3"/>
  <c r="E1047" i="3"/>
  <c r="E1043" i="3"/>
  <c r="E1039" i="3"/>
  <c r="E1035" i="3"/>
  <c r="E1031" i="3"/>
  <c r="E1027" i="3"/>
  <c r="E1023" i="3"/>
  <c r="E1019" i="3"/>
  <c r="E1015" i="3"/>
  <c r="E1011" i="3"/>
  <c r="E1007" i="3"/>
  <c r="E1003" i="3"/>
  <c r="E999" i="3"/>
  <c r="E995" i="3"/>
  <c r="E991" i="3"/>
  <c r="E987" i="3"/>
  <c r="E983" i="3"/>
  <c r="E979" i="3"/>
  <c r="E975" i="3"/>
  <c r="E971" i="3"/>
  <c r="E967" i="3"/>
  <c r="E963" i="3"/>
  <c r="E959" i="3"/>
  <c r="E955" i="3"/>
  <c r="E951" i="3"/>
  <c r="E947" i="3"/>
  <c r="E943" i="3"/>
  <c r="E939" i="3"/>
  <c r="E935" i="3"/>
  <c r="E931" i="3"/>
  <c r="E927" i="3"/>
  <c r="E923" i="3"/>
  <c r="E919" i="3"/>
  <c r="E915" i="3"/>
  <c r="E911" i="3"/>
  <c r="E907" i="3"/>
  <c r="E903" i="3"/>
  <c r="E899" i="3"/>
  <c r="E895" i="3"/>
  <c r="E891" i="3"/>
  <c r="E887" i="3"/>
  <c r="E883" i="3"/>
  <c r="E879" i="3"/>
  <c r="E875" i="3"/>
  <c r="E871" i="3"/>
  <c r="E867" i="3"/>
  <c r="E863" i="3"/>
  <c r="E859" i="3"/>
  <c r="E855" i="3"/>
  <c r="E851" i="3"/>
  <c r="E847" i="3"/>
  <c r="E843" i="3"/>
  <c r="E839" i="3"/>
  <c r="E835" i="3"/>
  <c r="E831" i="3"/>
  <c r="E827" i="3"/>
  <c r="E823" i="3"/>
  <c r="E819" i="3"/>
  <c r="E815" i="3"/>
  <c r="E811" i="3"/>
  <c r="E807" i="3"/>
  <c r="E803" i="3"/>
  <c r="E799" i="3"/>
  <c r="E795" i="3"/>
  <c r="E791" i="3"/>
  <c r="E787" i="3"/>
  <c r="E783" i="3"/>
  <c r="E779" i="3"/>
  <c r="E775" i="3"/>
  <c r="E771" i="3"/>
  <c r="E767" i="3"/>
  <c r="E763" i="3"/>
  <c r="E759" i="3"/>
  <c r="E755" i="3"/>
  <c r="E751" i="3"/>
  <c r="E747" i="3"/>
  <c r="E743" i="3"/>
  <c r="E739" i="3"/>
  <c r="E735" i="3"/>
  <c r="E731" i="3"/>
  <c r="E727" i="3"/>
  <c r="E723" i="3"/>
  <c r="E719" i="3"/>
  <c r="E715" i="3"/>
  <c r="E711" i="3"/>
  <c r="E707" i="3"/>
  <c r="E703" i="3"/>
  <c r="E699" i="3"/>
  <c r="E695" i="3"/>
  <c r="E691" i="3"/>
  <c r="E687" i="3"/>
  <c r="E683" i="3"/>
  <c r="E679" i="3"/>
  <c r="E675" i="3"/>
  <c r="E671" i="3"/>
  <c r="E667" i="3"/>
  <c r="E663" i="3"/>
  <c r="E659" i="3"/>
  <c r="E655" i="3"/>
  <c r="E651" i="3"/>
  <c r="E647" i="3"/>
  <c r="E643" i="3"/>
  <c r="E639" i="3"/>
  <c r="E635" i="3"/>
  <c r="E631" i="3"/>
  <c r="E627" i="3"/>
  <c r="E623" i="3"/>
  <c r="E619" i="3"/>
  <c r="E615" i="3"/>
  <c r="E611" i="3"/>
  <c r="E607" i="3"/>
  <c r="E603" i="3"/>
  <c r="E599" i="3"/>
  <c r="E595" i="3"/>
  <c r="E591" i="3"/>
  <c r="E587" i="3"/>
  <c r="E583" i="3"/>
  <c r="E1089" i="3"/>
  <c r="E1086" i="3"/>
  <c r="E1083" i="3"/>
  <c r="E1076" i="3"/>
  <c r="E1072" i="3"/>
  <c r="E1068" i="3"/>
  <c r="E1064" i="3"/>
  <c r="E1060" i="3"/>
  <c r="E1056" i="3"/>
  <c r="E1052" i="3"/>
  <c r="E1048" i="3"/>
  <c r="E1044" i="3"/>
  <c r="E1040" i="3"/>
  <c r="E1036" i="3"/>
  <c r="E1032" i="3"/>
  <c r="E1028" i="3"/>
  <c r="E1024" i="3"/>
  <c r="E1020" i="3"/>
  <c r="E1016" i="3"/>
  <c r="E1012" i="3"/>
  <c r="E1008" i="3"/>
  <c r="E1004" i="3"/>
  <c r="E1000" i="3"/>
  <c r="E996" i="3"/>
  <c r="E992" i="3"/>
  <c r="E988" i="3"/>
  <c r="E984" i="3"/>
  <c r="E980" i="3"/>
  <c r="E976" i="3"/>
  <c r="E972" i="3"/>
  <c r="E968" i="3"/>
  <c r="E964" i="3"/>
  <c r="E960" i="3"/>
  <c r="E956" i="3"/>
  <c r="E952" i="3"/>
  <c r="E948" i="3"/>
  <c r="E944" i="3"/>
  <c r="E940" i="3"/>
  <c r="E936" i="3"/>
  <c r="E932" i="3"/>
  <c r="E928" i="3"/>
  <c r="E924" i="3"/>
  <c r="E920" i="3"/>
  <c r="E916" i="3"/>
  <c r="E912" i="3"/>
  <c r="E908" i="3"/>
  <c r="E904" i="3"/>
  <c r="E900" i="3"/>
  <c r="E896" i="3"/>
  <c r="E892" i="3"/>
  <c r="E888" i="3"/>
  <c r="E884" i="3"/>
  <c r="E880" i="3"/>
  <c r="E876" i="3"/>
  <c r="E872" i="3"/>
  <c r="E868" i="3"/>
  <c r="E864" i="3"/>
  <c r="E860" i="3"/>
  <c r="E856" i="3"/>
  <c r="E852" i="3"/>
  <c r="E848" i="3"/>
  <c r="E844" i="3"/>
  <c r="E840" i="3"/>
  <c r="E836" i="3"/>
  <c r="E832" i="3"/>
  <c r="E828" i="3"/>
  <c r="E824" i="3"/>
  <c r="E820" i="3"/>
  <c r="E816" i="3"/>
  <c r="E812" i="3"/>
  <c r="E808" i="3"/>
  <c r="E804" i="3"/>
  <c r="E800" i="3"/>
  <c r="E796" i="3"/>
  <c r="E792" i="3"/>
  <c r="E788" i="3"/>
  <c r="E784" i="3"/>
  <c r="E780" i="3"/>
  <c r="E776" i="3"/>
  <c r="E772" i="3"/>
  <c r="E768" i="3"/>
  <c r="E764" i="3"/>
  <c r="E760" i="3"/>
  <c r="E756" i="3"/>
  <c r="E752" i="3"/>
  <c r="E748" i="3"/>
  <c r="E744" i="3"/>
  <c r="E740" i="3"/>
  <c r="E736" i="3"/>
  <c r="E732" i="3"/>
  <c r="E728" i="3"/>
  <c r="E724" i="3"/>
  <c r="E720" i="3"/>
  <c r="E716" i="3"/>
  <c r="E712" i="3"/>
  <c r="E708" i="3"/>
  <c r="E704" i="3"/>
  <c r="E700" i="3"/>
  <c r="E696" i="3"/>
  <c r="E692" i="3"/>
  <c r="E688" i="3"/>
  <c r="E684" i="3"/>
  <c r="E680" i="3"/>
  <c r="E676" i="3"/>
  <c r="E672" i="3"/>
  <c r="E668" i="3"/>
  <c r="E664" i="3"/>
  <c r="E660" i="3"/>
  <c r="E656" i="3"/>
  <c r="E652" i="3"/>
  <c r="E648" i="3"/>
  <c r="E644" i="3"/>
  <c r="E640" i="3"/>
  <c r="E636" i="3"/>
  <c r="E632" i="3"/>
  <c r="E628" i="3"/>
  <c r="E624" i="3"/>
  <c r="E620" i="3"/>
  <c r="E616" i="3"/>
  <c r="E612" i="3"/>
  <c r="E608" i="3"/>
  <c r="E604" i="3"/>
  <c r="E600" i="3"/>
  <c r="E596" i="3"/>
  <c r="E592" i="3"/>
  <c r="E1087" i="3"/>
  <c r="E1077" i="3"/>
  <c r="E1073" i="3"/>
  <c r="E1069" i="3"/>
  <c r="E1065" i="3"/>
  <c r="E1061" i="3"/>
  <c r="E1057" i="3"/>
  <c r="E1053" i="3"/>
  <c r="E1049" i="3"/>
  <c r="E1045" i="3"/>
  <c r="E1041" i="3"/>
  <c r="E1037" i="3"/>
  <c r="E1033" i="3"/>
  <c r="E1029" i="3"/>
  <c r="E1025" i="3"/>
  <c r="E1021" i="3"/>
  <c r="E1017" i="3"/>
  <c r="E1013" i="3"/>
  <c r="E1009" i="3"/>
  <c r="E1005" i="3"/>
  <c r="E1001" i="3"/>
  <c r="E997" i="3"/>
  <c r="E993" i="3"/>
  <c r="E989" i="3"/>
  <c r="E985" i="3"/>
  <c r="E981" i="3"/>
  <c r="E977" i="3"/>
  <c r="E973" i="3"/>
  <c r="E969" i="3"/>
  <c r="E965" i="3"/>
  <c r="E961" i="3"/>
  <c r="E957" i="3"/>
  <c r="E953" i="3"/>
  <c r="E949" i="3"/>
  <c r="E945" i="3"/>
  <c r="E941" i="3"/>
  <c r="E937" i="3"/>
  <c r="E933" i="3"/>
  <c r="E929" i="3"/>
  <c r="E925" i="3"/>
  <c r="E921" i="3"/>
  <c r="E917" i="3"/>
  <c r="E913" i="3"/>
  <c r="E909" i="3"/>
  <c r="E905" i="3"/>
  <c r="E901" i="3"/>
  <c r="E897" i="3"/>
  <c r="E893" i="3"/>
  <c r="E889" i="3"/>
  <c r="E885" i="3"/>
  <c r="E881" i="3"/>
  <c r="E877" i="3"/>
  <c r="E873" i="3"/>
  <c r="E869" i="3"/>
  <c r="E865" i="3"/>
  <c r="E861" i="3"/>
  <c r="E857" i="3"/>
  <c r="E853" i="3"/>
  <c r="E849" i="3"/>
  <c r="E845" i="3"/>
  <c r="E841" i="3"/>
  <c r="E837" i="3"/>
  <c r="E833" i="3"/>
  <c r="E829" i="3"/>
  <c r="E825" i="3"/>
  <c r="E821" i="3"/>
  <c r="E817" i="3"/>
  <c r="E813" i="3"/>
  <c r="E809" i="3"/>
  <c r="E805" i="3"/>
  <c r="E801" i="3"/>
  <c r="E797" i="3"/>
  <c r="E793" i="3"/>
  <c r="E789" i="3"/>
  <c r="E785" i="3"/>
  <c r="E781" i="3"/>
  <c r="E777" i="3"/>
  <c r="E773" i="3"/>
  <c r="E769" i="3"/>
  <c r="E765" i="3"/>
  <c r="E761" i="3"/>
  <c r="E757" i="3"/>
  <c r="E753" i="3"/>
  <c r="E749" i="3"/>
  <c r="E745" i="3"/>
  <c r="E741" i="3"/>
  <c r="E737" i="3"/>
  <c r="E733" i="3"/>
  <c r="E729" i="3"/>
  <c r="E725" i="3"/>
  <c r="E721" i="3"/>
  <c r="E717" i="3"/>
  <c r="E713" i="3"/>
  <c r="E709" i="3"/>
  <c r="E705" i="3"/>
  <c r="E701" i="3"/>
  <c r="E697" i="3"/>
  <c r="E693" i="3"/>
  <c r="E689" i="3"/>
  <c r="E685" i="3"/>
  <c r="E681" i="3"/>
  <c r="E677" i="3"/>
  <c r="E673" i="3"/>
  <c r="E669" i="3"/>
  <c r="E665" i="3"/>
  <c r="E661" i="3"/>
  <c r="E657" i="3"/>
  <c r="E653" i="3"/>
  <c r="E649" i="3"/>
  <c r="E645" i="3"/>
  <c r="E641" i="3"/>
  <c r="E637" i="3"/>
  <c r="E633" i="3"/>
  <c r="E629" i="3"/>
  <c r="E625" i="3"/>
  <c r="E621" i="3"/>
  <c r="E617" i="3"/>
  <c r="E613" i="3"/>
  <c r="E609" i="3"/>
  <c r="E605" i="3"/>
  <c r="E601" i="3"/>
  <c r="E597" i="3"/>
  <c r="E593" i="3"/>
  <c r="E589" i="3"/>
  <c r="E585" i="3"/>
  <c r="E581" i="3"/>
  <c r="E1093" i="3"/>
  <c r="E1081" i="3"/>
  <c r="E1078" i="3"/>
  <c r="E1074" i="3"/>
  <c r="E1070" i="3"/>
  <c r="E1066" i="3"/>
  <c r="E1062" i="3"/>
  <c r="E1058" i="3"/>
  <c r="E1054" i="3"/>
  <c r="E1050" i="3"/>
  <c r="E1046" i="3"/>
  <c r="E1042" i="3"/>
  <c r="E1038" i="3"/>
  <c r="E1034" i="3"/>
  <c r="E1030" i="3"/>
  <c r="E1026" i="3"/>
  <c r="E1022" i="3"/>
  <c r="E1018" i="3"/>
  <c r="E1014" i="3"/>
  <c r="E1010" i="3"/>
  <c r="E1006" i="3"/>
  <c r="E1002" i="3"/>
  <c r="E998" i="3"/>
  <c r="E994" i="3"/>
  <c r="E990" i="3"/>
  <c r="E986" i="3"/>
  <c r="E982" i="3"/>
  <c r="E978" i="3"/>
  <c r="E974" i="3"/>
  <c r="E970" i="3"/>
  <c r="E966" i="3"/>
  <c r="E962" i="3"/>
  <c r="E958" i="3"/>
  <c r="E954" i="3"/>
  <c r="E950" i="3"/>
  <c r="E946" i="3"/>
  <c r="E942" i="3"/>
  <c r="E938" i="3"/>
  <c r="E934" i="3"/>
  <c r="E930" i="3"/>
  <c r="E926" i="3"/>
  <c r="E922" i="3"/>
  <c r="E918" i="3"/>
  <c r="E914" i="3"/>
  <c r="E910" i="3"/>
  <c r="E906" i="3"/>
  <c r="E902" i="3"/>
  <c r="E898" i="3"/>
  <c r="E894" i="3"/>
  <c r="E890" i="3"/>
  <c r="E886" i="3"/>
  <c r="E882" i="3"/>
  <c r="E878" i="3"/>
  <c r="E874" i="3"/>
  <c r="E870" i="3"/>
  <c r="E866" i="3"/>
  <c r="E862" i="3"/>
  <c r="E858" i="3"/>
  <c r="E854" i="3"/>
  <c r="E850" i="3"/>
  <c r="E846" i="3"/>
  <c r="E842" i="3"/>
  <c r="E838" i="3"/>
  <c r="E834" i="3"/>
  <c r="E830" i="3"/>
  <c r="E826" i="3"/>
  <c r="E822" i="3"/>
  <c r="E818" i="3"/>
  <c r="E814" i="3"/>
  <c r="E810" i="3"/>
  <c r="E806" i="3"/>
  <c r="E802" i="3"/>
  <c r="E798" i="3"/>
  <c r="E794" i="3"/>
  <c r="E790" i="3"/>
  <c r="E786" i="3"/>
  <c r="E782" i="3"/>
  <c r="E778" i="3"/>
  <c r="E774" i="3"/>
  <c r="E770" i="3"/>
  <c r="E766" i="3"/>
  <c r="E762" i="3"/>
  <c r="E758" i="3"/>
  <c r="E754" i="3"/>
  <c r="E750" i="3"/>
  <c r="E746" i="3"/>
  <c r="E742" i="3"/>
  <c r="E738" i="3"/>
  <c r="E734" i="3"/>
  <c r="E730" i="3"/>
  <c r="E726" i="3"/>
  <c r="E722" i="3"/>
  <c r="E718" i="3"/>
  <c r="E714" i="3"/>
  <c r="E710" i="3"/>
  <c r="E706" i="3"/>
  <c r="E702" i="3"/>
  <c r="E698" i="3"/>
  <c r="E694" i="3"/>
  <c r="E690" i="3"/>
  <c r="E686" i="3"/>
  <c r="E682" i="3"/>
  <c r="E678" i="3"/>
  <c r="E674" i="3"/>
  <c r="E670" i="3"/>
  <c r="E666" i="3"/>
  <c r="E662" i="3"/>
  <c r="E658" i="3"/>
  <c r="E654" i="3"/>
  <c r="E650" i="3"/>
  <c r="E646" i="3"/>
  <c r="E642" i="3"/>
  <c r="E638" i="3"/>
  <c r="E634" i="3"/>
  <c r="E630" i="3"/>
  <c r="E626" i="3"/>
  <c r="E622" i="3"/>
  <c r="E618" i="3"/>
  <c r="E614" i="3"/>
  <c r="E610" i="3"/>
  <c r="E606" i="3"/>
  <c r="E602" i="3"/>
  <c r="E598" i="3"/>
  <c r="E594" i="3"/>
  <c r="E590" i="3"/>
  <c r="E586" i="3"/>
  <c r="E582" i="3"/>
  <c r="E584" i="3"/>
  <c r="E579" i="3"/>
  <c r="E575" i="3"/>
  <c r="E571" i="3"/>
  <c r="E567" i="3"/>
  <c r="E563" i="3"/>
  <c r="E559" i="3"/>
  <c r="E555" i="3"/>
  <c r="E551" i="3"/>
  <c r="E547" i="3"/>
  <c r="E543" i="3"/>
  <c r="E539" i="3"/>
  <c r="E535" i="3"/>
  <c r="E531" i="3"/>
  <c r="E527" i="3"/>
  <c r="E523" i="3"/>
  <c r="E519" i="3"/>
  <c r="E515" i="3"/>
  <c r="E511" i="3"/>
  <c r="E507" i="3"/>
  <c r="E503" i="3"/>
  <c r="E499" i="3"/>
  <c r="E495" i="3"/>
  <c r="E491" i="3"/>
  <c r="E487" i="3"/>
  <c r="E483" i="3"/>
  <c r="E479" i="3"/>
  <c r="E475" i="3"/>
  <c r="E471" i="3"/>
  <c r="E467" i="3"/>
  <c r="E463" i="3"/>
  <c r="E459" i="3"/>
  <c r="E455" i="3"/>
  <c r="E451" i="3"/>
  <c r="E447" i="3"/>
  <c r="E443" i="3"/>
  <c r="E439" i="3"/>
  <c r="E435" i="3"/>
  <c r="E431" i="3"/>
  <c r="E427" i="3"/>
  <c r="E423" i="3"/>
  <c r="E419" i="3"/>
  <c r="E415" i="3"/>
  <c r="E411" i="3"/>
  <c r="E407" i="3"/>
  <c r="E403" i="3"/>
  <c r="E399" i="3"/>
  <c r="E395" i="3"/>
  <c r="E391" i="3"/>
  <c r="E387" i="3"/>
  <c r="E383" i="3"/>
  <c r="E379" i="3"/>
  <c r="E375" i="3"/>
  <c r="E371" i="3"/>
  <c r="E367" i="3"/>
  <c r="E363" i="3"/>
  <c r="E359" i="3"/>
  <c r="E355" i="3"/>
  <c r="E351" i="3"/>
  <c r="E347" i="3"/>
  <c r="E343" i="3"/>
  <c r="E339" i="3"/>
  <c r="E335" i="3"/>
  <c r="E331" i="3"/>
  <c r="E327" i="3"/>
  <c r="E323" i="3"/>
  <c r="E319" i="3"/>
  <c r="E315" i="3"/>
  <c r="E311" i="3"/>
  <c r="E307" i="3"/>
  <c r="E303" i="3"/>
  <c r="E299" i="3"/>
  <c r="E295" i="3"/>
  <c r="E291" i="3"/>
  <c r="E287" i="3"/>
  <c r="E283" i="3"/>
  <c r="E279" i="3"/>
  <c r="E275" i="3"/>
  <c r="E271" i="3"/>
  <c r="E267" i="3"/>
  <c r="E263" i="3"/>
  <c r="E259" i="3"/>
  <c r="E255" i="3"/>
  <c r="E251" i="3"/>
  <c r="E247" i="3"/>
  <c r="E243" i="3"/>
  <c r="E239" i="3"/>
  <c r="E235" i="3"/>
  <c r="E231" i="3"/>
  <c r="E227" i="3"/>
  <c r="E223" i="3"/>
  <c r="E219" i="3"/>
  <c r="E215" i="3"/>
  <c r="E211" i="3"/>
  <c r="E207" i="3"/>
  <c r="E580" i="3"/>
  <c r="E576" i="3"/>
  <c r="E572" i="3"/>
  <c r="E568" i="3"/>
  <c r="E564" i="3"/>
  <c r="E560" i="3"/>
  <c r="E556" i="3"/>
  <c r="E552" i="3"/>
  <c r="E548" i="3"/>
  <c r="E544" i="3"/>
  <c r="E540" i="3"/>
  <c r="E536" i="3"/>
  <c r="E532" i="3"/>
  <c r="E528" i="3"/>
  <c r="E524" i="3"/>
  <c r="E520" i="3"/>
  <c r="E516" i="3"/>
  <c r="E512" i="3"/>
  <c r="E508" i="3"/>
  <c r="E504" i="3"/>
  <c r="E500" i="3"/>
  <c r="E496" i="3"/>
  <c r="E492" i="3"/>
  <c r="E488" i="3"/>
  <c r="E484" i="3"/>
  <c r="E480" i="3"/>
  <c r="E476" i="3"/>
  <c r="E472" i="3"/>
  <c r="E468" i="3"/>
  <c r="E464" i="3"/>
  <c r="E460" i="3"/>
  <c r="E456" i="3"/>
  <c r="E452" i="3"/>
  <c r="E448" i="3"/>
  <c r="E444" i="3"/>
  <c r="E440" i="3"/>
  <c r="E436" i="3"/>
  <c r="E432" i="3"/>
  <c r="E428" i="3"/>
  <c r="E424" i="3"/>
  <c r="E420" i="3"/>
  <c r="E416" i="3"/>
  <c r="E412" i="3"/>
  <c r="E408" i="3"/>
  <c r="E404" i="3"/>
  <c r="E400" i="3"/>
  <c r="E396" i="3"/>
  <c r="E392" i="3"/>
  <c r="E388" i="3"/>
  <c r="E384" i="3"/>
  <c r="E380" i="3"/>
  <c r="E376" i="3"/>
  <c r="E372" i="3"/>
  <c r="E368" i="3"/>
  <c r="E364" i="3"/>
  <c r="E360" i="3"/>
  <c r="E356" i="3"/>
  <c r="E352" i="3"/>
  <c r="E348" i="3"/>
  <c r="E344" i="3"/>
  <c r="E340" i="3"/>
  <c r="E336" i="3"/>
  <c r="E332" i="3"/>
  <c r="E328" i="3"/>
  <c r="E324" i="3"/>
  <c r="E320" i="3"/>
  <c r="E316" i="3"/>
  <c r="E312" i="3"/>
  <c r="E308" i="3"/>
  <c r="E304" i="3"/>
  <c r="E300" i="3"/>
  <c r="E296" i="3"/>
  <c r="E292" i="3"/>
  <c r="E288" i="3"/>
  <c r="E284" i="3"/>
  <c r="E280" i="3"/>
  <c r="E276" i="3"/>
  <c r="E272" i="3"/>
  <c r="E268" i="3"/>
  <c r="E264" i="3"/>
  <c r="E260" i="3"/>
  <c r="E256" i="3"/>
  <c r="E252" i="3"/>
  <c r="E248" i="3"/>
  <c r="E244" i="3"/>
  <c r="E240" i="3"/>
  <c r="E236" i="3"/>
  <c r="E232" i="3"/>
  <c r="E228" i="3"/>
  <c r="E224" i="3"/>
  <c r="E220" i="3"/>
  <c r="E216" i="3"/>
  <c r="E212" i="3"/>
  <c r="E208" i="3"/>
  <c r="E577" i="3"/>
  <c r="E573" i="3"/>
  <c r="E569" i="3"/>
  <c r="E565" i="3"/>
  <c r="E561" i="3"/>
  <c r="E557" i="3"/>
  <c r="E553" i="3"/>
  <c r="E549" i="3"/>
  <c r="E545" i="3"/>
  <c r="E541" i="3"/>
  <c r="E537" i="3"/>
  <c r="E533" i="3"/>
  <c r="E529" i="3"/>
  <c r="E525" i="3"/>
  <c r="E521" i="3"/>
  <c r="E517" i="3"/>
  <c r="E513" i="3"/>
  <c r="E509" i="3"/>
  <c r="E505" i="3"/>
  <c r="E501" i="3"/>
  <c r="E497" i="3"/>
  <c r="E493" i="3"/>
  <c r="E489" i="3"/>
  <c r="E485" i="3"/>
  <c r="E481" i="3"/>
  <c r="E477" i="3"/>
  <c r="E473" i="3"/>
  <c r="E469" i="3"/>
  <c r="E465" i="3"/>
  <c r="E461" i="3"/>
  <c r="E457" i="3"/>
  <c r="E453" i="3"/>
  <c r="E449" i="3"/>
  <c r="E445" i="3"/>
  <c r="E441" i="3"/>
  <c r="E437" i="3"/>
  <c r="E433" i="3"/>
  <c r="E429" i="3"/>
  <c r="E425" i="3"/>
  <c r="E421" i="3"/>
  <c r="E417" i="3"/>
  <c r="E413" i="3"/>
  <c r="E409" i="3"/>
  <c r="E405" i="3"/>
  <c r="E401" i="3"/>
  <c r="E397" i="3"/>
  <c r="E393" i="3"/>
  <c r="E389" i="3"/>
  <c r="E385" i="3"/>
  <c r="E381" i="3"/>
  <c r="E377" i="3"/>
  <c r="E373" i="3"/>
  <c r="E369" i="3"/>
  <c r="E365" i="3"/>
  <c r="E361" i="3"/>
  <c r="E357" i="3"/>
  <c r="E353" i="3"/>
  <c r="E349" i="3"/>
  <c r="E345" i="3"/>
  <c r="E341" i="3"/>
  <c r="E337" i="3"/>
  <c r="E333" i="3"/>
  <c r="E329" i="3"/>
  <c r="E325" i="3"/>
  <c r="E321" i="3"/>
  <c r="E317" i="3"/>
  <c r="E313" i="3"/>
  <c r="E309" i="3"/>
  <c r="E305" i="3"/>
  <c r="E301" i="3"/>
  <c r="E297" i="3"/>
  <c r="E293" i="3"/>
  <c r="E289" i="3"/>
  <c r="E285" i="3"/>
  <c r="E281" i="3"/>
  <c r="E277" i="3"/>
  <c r="E273" i="3"/>
  <c r="E269" i="3"/>
  <c r="E265" i="3"/>
  <c r="E261" i="3"/>
  <c r="E257" i="3"/>
  <c r="E253" i="3"/>
  <c r="E249" i="3"/>
  <c r="E245" i="3"/>
  <c r="E241" i="3"/>
  <c r="E237" i="3"/>
  <c r="E233" i="3"/>
  <c r="E229" i="3"/>
  <c r="E225" i="3"/>
  <c r="E221" i="3"/>
  <c r="E217" i="3"/>
  <c r="E213" i="3"/>
  <c r="E209" i="3"/>
  <c r="E205" i="3"/>
  <c r="E588" i="3"/>
  <c r="E578" i="3"/>
  <c r="E574" i="3"/>
  <c r="E570" i="3"/>
  <c r="E566" i="3"/>
  <c r="E562" i="3"/>
  <c r="E558" i="3"/>
  <c r="E554" i="3"/>
  <c r="E550" i="3"/>
  <c r="E546" i="3"/>
  <c r="E542" i="3"/>
  <c r="E538" i="3"/>
  <c r="E534" i="3"/>
  <c r="E530" i="3"/>
  <c r="E526" i="3"/>
  <c r="E522" i="3"/>
  <c r="E518" i="3"/>
  <c r="E514" i="3"/>
  <c r="E510" i="3"/>
  <c r="E506" i="3"/>
  <c r="E502" i="3"/>
  <c r="E498" i="3"/>
  <c r="E494" i="3"/>
  <c r="E490" i="3"/>
  <c r="E486" i="3"/>
  <c r="E482" i="3"/>
  <c r="E478" i="3"/>
  <c r="E474" i="3"/>
  <c r="E470" i="3"/>
  <c r="E466" i="3"/>
  <c r="E462" i="3"/>
  <c r="E458" i="3"/>
  <c r="E454" i="3"/>
  <c r="E450" i="3"/>
  <c r="E446" i="3"/>
  <c r="E442" i="3"/>
  <c r="E438" i="3"/>
  <c r="E434" i="3"/>
  <c r="E430" i="3"/>
  <c r="E426" i="3"/>
  <c r="E422" i="3"/>
  <c r="E418" i="3"/>
  <c r="E414" i="3"/>
  <c r="E410" i="3"/>
  <c r="E406" i="3"/>
  <c r="E402" i="3"/>
  <c r="E398" i="3"/>
  <c r="E394" i="3"/>
  <c r="E390" i="3"/>
  <c r="E386" i="3"/>
  <c r="E382" i="3"/>
  <c r="E378" i="3"/>
  <c r="E374" i="3"/>
  <c r="E370" i="3"/>
  <c r="E366" i="3"/>
  <c r="E362" i="3"/>
  <c r="E358" i="3"/>
  <c r="E354" i="3"/>
  <c r="E350" i="3"/>
  <c r="E346" i="3"/>
  <c r="E342" i="3"/>
  <c r="E338" i="3"/>
  <c r="E334" i="3"/>
  <c r="E330" i="3"/>
  <c r="E326" i="3"/>
  <c r="E322" i="3"/>
  <c r="E318" i="3"/>
  <c r="E314" i="3"/>
  <c r="E310" i="3"/>
  <c r="E306" i="3"/>
  <c r="E302" i="3"/>
  <c r="E298" i="3"/>
  <c r="E294" i="3"/>
  <c r="E290" i="3"/>
  <c r="E286" i="3"/>
  <c r="E282" i="3"/>
  <c r="E278" i="3"/>
  <c r="E274" i="3"/>
  <c r="E270" i="3"/>
  <c r="E266" i="3"/>
  <c r="E262" i="3"/>
  <c r="E258" i="3"/>
  <c r="E254" i="3"/>
  <c r="E250" i="3"/>
  <c r="E246" i="3"/>
  <c r="E242" i="3"/>
  <c r="E238" i="3"/>
  <c r="E234" i="3"/>
  <c r="E230" i="3"/>
  <c r="E226" i="3"/>
  <c r="E222" i="3"/>
  <c r="E218" i="3"/>
  <c r="E214" i="3"/>
  <c r="E210" i="3"/>
  <c r="E206" i="3"/>
  <c r="E202" i="3"/>
  <c r="E198" i="3"/>
  <c r="E194" i="3"/>
  <c r="E190" i="3"/>
  <c r="E186" i="3"/>
  <c r="E182" i="3"/>
  <c r="E178" i="3"/>
  <c r="E174" i="3"/>
  <c r="E170" i="3"/>
  <c r="E166" i="3"/>
  <c r="E162" i="3"/>
  <c r="E158" i="3"/>
  <c r="E154" i="3"/>
  <c r="E150" i="3"/>
  <c r="E146" i="3"/>
  <c r="E142" i="3"/>
  <c r="E138" i="3"/>
  <c r="E204" i="3"/>
  <c r="E200" i="3"/>
  <c r="E196" i="3"/>
  <c r="E192" i="3"/>
  <c r="E188" i="3"/>
  <c r="E184" i="3"/>
  <c r="E180" i="3"/>
  <c r="E176" i="3"/>
  <c r="E172" i="3"/>
  <c r="E168" i="3"/>
  <c r="E164" i="3"/>
  <c r="E160" i="3"/>
  <c r="E156" i="3"/>
  <c r="E152" i="3"/>
  <c r="E148" i="3"/>
  <c r="E144" i="3"/>
  <c r="E140" i="3"/>
  <c r="E136" i="3"/>
  <c r="E132" i="3"/>
  <c r="E128" i="3"/>
  <c r="E124" i="3"/>
  <c r="E120" i="3"/>
  <c r="E116" i="3"/>
  <c r="E112" i="3"/>
  <c r="E108" i="3"/>
  <c r="E104" i="3"/>
  <c r="E100" i="3"/>
  <c r="E96" i="3"/>
  <c r="E92" i="3"/>
  <c r="E88" i="3"/>
  <c r="E84" i="3"/>
  <c r="E80" i="3"/>
  <c r="E76" i="3"/>
  <c r="E72" i="3"/>
  <c r="E68" i="3"/>
  <c r="E64" i="3"/>
  <c r="E60" i="3"/>
  <c r="E56" i="3"/>
  <c r="E52" i="3"/>
  <c r="E48" i="3"/>
  <c r="E44" i="3"/>
  <c r="E40" i="3"/>
  <c r="E36" i="3"/>
  <c r="E32" i="3"/>
  <c r="E28" i="3"/>
  <c r="E24" i="3"/>
  <c r="E20" i="3"/>
  <c r="E16" i="3"/>
  <c r="E12" i="3"/>
  <c r="E8" i="3"/>
  <c r="E203" i="3"/>
  <c r="E199" i="3"/>
  <c r="E195" i="3"/>
  <c r="E191" i="3"/>
  <c r="E187" i="3"/>
  <c r="E183" i="3"/>
  <c r="E179" i="3"/>
  <c r="E175" i="3"/>
  <c r="E171" i="3"/>
  <c r="E167" i="3"/>
  <c r="E163" i="3"/>
  <c r="E159" i="3"/>
  <c r="E155" i="3"/>
  <c r="E151" i="3"/>
  <c r="E147" i="3"/>
  <c r="E143" i="3"/>
  <c r="E139" i="3"/>
  <c r="E135" i="3"/>
  <c r="E131" i="3"/>
  <c r="E127" i="3"/>
  <c r="E123" i="3"/>
  <c r="E119" i="3"/>
  <c r="E115" i="3"/>
  <c r="E111" i="3"/>
  <c r="E107" i="3"/>
  <c r="E103" i="3"/>
  <c r="E99" i="3"/>
  <c r="E95" i="3"/>
  <c r="E91" i="3"/>
  <c r="E87" i="3"/>
  <c r="E83" i="3"/>
  <c r="E79" i="3"/>
  <c r="E75" i="3"/>
  <c r="E71" i="3"/>
  <c r="E67" i="3"/>
  <c r="E63" i="3"/>
  <c r="E59" i="3"/>
  <c r="E55" i="3"/>
  <c r="E51" i="3"/>
  <c r="E47" i="3"/>
  <c r="E43" i="3"/>
  <c r="E39" i="3"/>
  <c r="E35" i="3"/>
  <c r="E31" i="3"/>
  <c r="E27" i="3"/>
  <c r="E23" i="3"/>
  <c r="E19" i="3"/>
  <c r="E15" i="3"/>
  <c r="E11" i="3"/>
  <c r="E7" i="3"/>
  <c r="E134" i="3"/>
  <c r="E130" i="3"/>
  <c r="E126" i="3"/>
  <c r="E122" i="3"/>
  <c r="E118" i="3"/>
  <c r="E114" i="3"/>
  <c r="E110" i="3"/>
  <c r="E106" i="3"/>
  <c r="E102" i="3"/>
  <c r="E98" i="3"/>
  <c r="E94" i="3"/>
  <c r="E90" i="3"/>
  <c r="E86" i="3"/>
  <c r="E82" i="3"/>
  <c r="E78" i="3"/>
  <c r="E74" i="3"/>
  <c r="E70" i="3"/>
  <c r="E66" i="3"/>
  <c r="E62" i="3"/>
  <c r="E58" i="3"/>
  <c r="E54" i="3"/>
  <c r="E50" i="3"/>
  <c r="E46" i="3"/>
  <c r="E42" i="3"/>
  <c r="E38" i="3"/>
  <c r="E34" i="3"/>
  <c r="E30" i="3"/>
  <c r="E26" i="3"/>
  <c r="E22" i="3"/>
  <c r="E18" i="3"/>
  <c r="E14" i="3"/>
  <c r="E10" i="3"/>
  <c r="E201" i="3"/>
  <c r="E197" i="3"/>
  <c r="E193" i="3"/>
  <c r="E189" i="3"/>
  <c r="E185" i="3"/>
  <c r="E181" i="3"/>
  <c r="E177" i="3"/>
  <c r="E173" i="3"/>
  <c r="E169" i="3"/>
  <c r="E165" i="3"/>
  <c r="E161" i="3"/>
  <c r="E157" i="3"/>
  <c r="E153" i="3"/>
  <c r="E149" i="3"/>
  <c r="E145" i="3"/>
  <c r="E141" i="3"/>
  <c r="E137" i="3"/>
  <c r="E133" i="3"/>
  <c r="E129" i="3"/>
  <c r="E125" i="3"/>
  <c r="E121" i="3"/>
  <c r="E117" i="3"/>
  <c r="E113" i="3"/>
  <c r="E109" i="3"/>
  <c r="E105" i="3"/>
  <c r="E101" i="3"/>
  <c r="E97" i="3"/>
  <c r="E93" i="3"/>
  <c r="E89" i="3"/>
  <c r="E85" i="3"/>
  <c r="E81" i="3"/>
  <c r="E77" i="3"/>
  <c r="E73" i="3"/>
  <c r="E69" i="3"/>
  <c r="E65" i="3"/>
  <c r="E61" i="3"/>
  <c r="E57" i="3"/>
  <c r="E53" i="3"/>
  <c r="E49" i="3"/>
  <c r="E45" i="3"/>
  <c r="E41" i="3"/>
  <c r="E37" i="3"/>
  <c r="E33" i="3"/>
  <c r="E29" i="3"/>
  <c r="E25" i="3"/>
  <c r="E21" i="3"/>
  <c r="E17" i="3"/>
  <c r="E13" i="3"/>
  <c r="E9" i="3"/>
</calcChain>
</file>

<file path=xl/sharedStrings.xml><?xml version="1.0" encoding="utf-8"?>
<sst xmlns="http://schemas.openxmlformats.org/spreadsheetml/2006/main" count="6395" uniqueCount="3160">
  <si>
    <t>LABORATORY INVENTORY REORDER TRACKER</t>
  </si>
  <si>
    <t>Item ID</t>
  </si>
  <si>
    <t>Description</t>
  </si>
  <si>
    <t>Current Qty</t>
  </si>
  <si>
    <t>Reorder Level</t>
  </si>
  <si>
    <t>Status</t>
  </si>
  <si>
    <t>Last Updated</t>
  </si>
  <si>
    <t>Notes</t>
  </si>
  <si>
    <t>Avg Monthly Usage</t>
  </si>
  <si>
    <t>Months of Stock</t>
  </si>
  <si>
    <t>LAB-00001</t>
  </si>
  <si>
    <t>COTTONWOOL BALL MEDIUM (BOX/500G)</t>
  </si>
  <si>
    <t>LAB-00002</t>
  </si>
  <si>
    <t>FORCEPS PLAIN 13CM</t>
  </si>
  <si>
    <t>LAB-00003</t>
  </si>
  <si>
    <t>WATER STERILE FOR IRRIGATION</t>
  </si>
  <si>
    <t>LAB-00004</t>
  </si>
  <si>
    <t>INFRARED THERMOMETER DIGITAL</t>
  </si>
  <si>
    <t>LAB-00005</t>
  </si>
  <si>
    <t>NITRILE GLOVES POWDER-FREE MEDIUM (BOX/100)</t>
  </si>
  <si>
    <t>LAB-00006</t>
  </si>
  <si>
    <t>NITRILE GLOVES POWDER-FREE LARGE (BOX/100)</t>
  </si>
  <si>
    <t>LAB-00007</t>
  </si>
  <si>
    <t>LAB-00008</t>
  </si>
  <si>
    <t>FACE MASK N95 (BOX/50EA)</t>
  </si>
  <si>
    <t>LAB-00009</t>
  </si>
  <si>
    <t>BAG PLASTIC REPORT LANCET A4 (BOX/500EA)</t>
  </si>
  <si>
    <t>LAB-00010</t>
  </si>
  <si>
    <t>BAG - SPECIMEN - ZIPLOCK</t>
  </si>
  <si>
    <t>LAB-00011</t>
  </si>
  <si>
    <t>BAG - SPECIMEN - LANCET GREEN</t>
  </si>
  <si>
    <t>LAB-00012</t>
  </si>
  <si>
    <t>BAG - SPECIMEN - LANCET RED</t>
  </si>
  <si>
    <t>LAB-00013</t>
  </si>
  <si>
    <t>BOTTLE URINE 28ML OR 60ML (BOX/125 BTL)</t>
  </si>
  <si>
    <t>LAB-00014</t>
  </si>
  <si>
    <t>BOTTLES - WITH CAP URINE 24H</t>
  </si>
  <si>
    <t>LAB-00015</t>
  </si>
  <si>
    <t>BARCODE LABELS 9-UP</t>
  </si>
  <si>
    <t>LAB-00016</t>
  </si>
  <si>
    <t>URGENT LABELS 30x10MM (BOX/1000)</t>
  </si>
  <si>
    <t>LAB-00017</t>
  </si>
  <si>
    <t>VACUTAINER NEEDLES 21G (BOX/100)</t>
  </si>
  <si>
    <t>LAB-00018</t>
  </si>
  <si>
    <t>ADJUSTABLE MICROPIPETTE 100-1000µL</t>
  </si>
  <si>
    <t>LAB-00019</t>
  </si>
  <si>
    <t>PASTEUR PIPETTES GRADUATED 3ML - STERILE (BOX/500)</t>
  </si>
  <si>
    <t>LAB-00020</t>
  </si>
  <si>
    <t>PIPETTE TIPS UNIVERSAL BLUE (BOX/1000)</t>
  </si>
  <si>
    <t>LAB-00021</t>
  </si>
  <si>
    <t>PIPETTE TIPS UNIVERSAL YELLOW (BOX/1000)</t>
  </si>
  <si>
    <t>LAB-00022</t>
  </si>
  <si>
    <t>ALCOHOL SWABS (BOX/200 EACH)</t>
  </si>
  <si>
    <t>LAB-00023</t>
  </si>
  <si>
    <t>SWAB PLAIN PLASTIC STERILE</t>
  </si>
  <si>
    <t>LAB-00024</t>
  </si>
  <si>
    <t>TOURNIQUET STRAP + BUCKLE</t>
  </si>
  <si>
    <t>LAB-00025</t>
  </si>
  <si>
    <t>CITRATE COLLECTION TUBES 4.5ML (BOX/100)</t>
  </si>
  <si>
    <t>LAB-00026</t>
  </si>
  <si>
    <t>TUBES+CAP BLUE 5ML - TUBES WHITE (BOX/1000 EACH)</t>
  </si>
  <si>
    <t>LAB-00027</t>
  </si>
  <si>
    <t>EDTA K3 COLLECTION TUBES 4ML (BOX/100)</t>
  </si>
  <si>
    <t>LAB-00028</t>
  </si>
  <si>
    <t>FLUORIDE GLUCOSE COLLECTION TUBES 4ML (BOX/100)</t>
  </si>
  <si>
    <t>LAB-00029</t>
  </si>
  <si>
    <t>HEPARIN COLLECTION TUBES 4ML (BOX/100)</t>
  </si>
  <si>
    <t>LAB-00030</t>
  </si>
  <si>
    <t>HOLDER VACUTAINER BULLDOG</t>
  </si>
  <si>
    <t>LAB-00031</t>
  </si>
  <si>
    <t>MICRO EDTA K2 COLLECTION TUBES (BOX/100)</t>
  </si>
  <si>
    <t>LAB-00032</t>
  </si>
  <si>
    <t>MICRO SST GOLD COLLECTION TUBES (BOX/100)</t>
  </si>
  <si>
    <t>LAB-00033</t>
  </si>
  <si>
    <t>CAP PLUG TITE SMALL</t>
  </si>
  <si>
    <t>LAB-00034</t>
  </si>
  <si>
    <t>GLASS TUBES 12X75MM</t>
  </si>
  <si>
    <t>LAB-00035</t>
  </si>
  <si>
    <t>SST GOLD COLLECTION TUBES 5ML (BOX/100)</t>
  </si>
  <si>
    <t>LAB-00036</t>
  </si>
  <si>
    <t>SST GOLD TUBES 5ML (BOX/100)</t>
  </si>
  <si>
    <t>LAB-00037</t>
  </si>
  <si>
    <t>ALBUMIN REAGENT - BCG METHOD</t>
  </si>
  <si>
    <t>LAB-00038</t>
  </si>
  <si>
    <t>MULTI-ANALYSER CALIBRATOR - CFAS PUC</t>
  </si>
  <si>
    <t>LAB-00039</t>
  </si>
  <si>
    <t>ALBUMIN REAGENT</t>
  </si>
  <si>
    <t>LAB-00040</t>
  </si>
  <si>
    <t>ALKALINE PHOSPHATASE REAGENT - IFCC METHOD</t>
  </si>
  <si>
    <t>LAB-00041</t>
  </si>
  <si>
    <t>ALANINE AMINOTRANSFERASE (ALT) REAGENT</t>
  </si>
  <si>
    <t>LAB-00042</t>
  </si>
  <si>
    <t>AMYLASE REAGENT</t>
  </si>
  <si>
    <t>LAB-00043</t>
  </si>
  <si>
    <t>ASPARTATE AMINOTRANSFERASE (AST) REAGENT</t>
  </si>
  <si>
    <t>LAB-00044</t>
  </si>
  <si>
    <t>BICARBONATE REAGENT</t>
  </si>
  <si>
    <t>LAB-00045</t>
  </si>
  <si>
    <t>DIRECT BILIRUBIN REAGENT</t>
  </si>
  <si>
    <t>LAB-00046</t>
  </si>
  <si>
    <t>TOTAL BILIRUBIN REAGENT</t>
  </si>
  <si>
    <t>LAB-00047</t>
  </si>
  <si>
    <t>LAB-00048</t>
  </si>
  <si>
    <t>CALCIUM REAGENT</t>
  </si>
  <si>
    <t>LAB-00049</t>
  </si>
  <si>
    <t>CHOLESTEROL REAGENT</t>
  </si>
  <si>
    <t>LAB-00050</t>
  </si>
  <si>
    <t>HDL CHOLESTEROL REAGENT</t>
  </si>
  <si>
    <t>LAB-00051</t>
  </si>
  <si>
    <t>GASPAK CO2 INDICATOR</t>
  </si>
  <si>
    <t>LAB-00052</t>
  </si>
  <si>
    <t>BICARBONATE/CO2 REAGENT</t>
  </si>
  <si>
    <t>LAB-00053</t>
  </si>
  <si>
    <t>CREATININE REAGENT - JAFFE METHOD</t>
  </si>
  <si>
    <t>LAB-00054</t>
  </si>
  <si>
    <t>CREATININE REAGENT</t>
  </si>
  <si>
    <t>LAB-00055</t>
  </si>
  <si>
    <t>C-REACTIVE PROTEIN (CRP) REAGENT</t>
  </si>
  <si>
    <t>LAB-00056</t>
  </si>
  <si>
    <t>QUALITY CONTROL MATERIAL - ELEVATED CRP CNT L2</t>
  </si>
  <si>
    <t>LAB-00057</t>
  </si>
  <si>
    <t>DEPROTEINIZER SOLUTION</t>
  </si>
  <si>
    <t>LAB-00058</t>
  </si>
  <si>
    <t>ISE CALIBRATOR SOLUTION</t>
  </si>
  <si>
    <t>LAB-00059</t>
  </si>
  <si>
    <t>LAB-00060</t>
  </si>
  <si>
    <t>ISE POTASSIUM ELECTRODE</t>
  </si>
  <si>
    <t>LAB-00061</t>
  </si>
  <si>
    <t>ISE ETCHER SOLUTION</t>
  </si>
  <si>
    <t>LAB-00062</t>
  </si>
  <si>
    <t>ISE REFERENCE ELECTRODE</t>
  </si>
  <si>
    <t>LAB-00063</t>
  </si>
  <si>
    <t>ISE REFERENCE SOLUTION</t>
  </si>
  <si>
    <t>LAB-00064</t>
  </si>
  <si>
    <t>ISE SODIUM ELECTRODE</t>
  </si>
  <si>
    <t>LAB-00065</t>
  </si>
  <si>
    <t>LAB-00066</t>
  </si>
  <si>
    <t>LAB-00067</t>
  </si>
  <si>
    <t>GAMMA-GT REAGENT</t>
  </si>
  <si>
    <t>LAB-00068</t>
  </si>
  <si>
    <t>GLUCOSE REAGENT - HEXOKINASE METHOD</t>
  </si>
  <si>
    <t>LAB-00069</t>
  </si>
  <si>
    <t>LAB-00070</t>
  </si>
  <si>
    <t>LAB-00071</t>
  </si>
  <si>
    <t>MULTI-ANALYSER CALIBRATOR - CFAS LIPIDS</t>
  </si>
  <si>
    <t>LAB-00072</t>
  </si>
  <si>
    <t>MAGNESIUM REAGENT</t>
  </si>
  <si>
    <t>LAB-00073</t>
  </si>
  <si>
    <t>ANALYSER HALOGEN LAMP 12V/20W</t>
  </si>
  <si>
    <t>LAB-00074</t>
  </si>
  <si>
    <t>ANALYSER MICROCUVETTES</t>
  </si>
  <si>
    <t>LAB-00075</t>
  </si>
  <si>
    <t>ANALYSER PROBE SET</t>
  </si>
  <si>
    <t>LAB-00076</t>
  </si>
  <si>
    <t>MULTI-ANALYSER ACTIVATOR</t>
  </si>
  <si>
    <t>LAB-00077</t>
  </si>
  <si>
    <t>MULTI-ANALYSER CALIBRATOR - CFAS</t>
  </si>
  <si>
    <t>LAB-00078</t>
  </si>
  <si>
    <t>MULTI-ANALYSER CALIBRATOR - CFAS PROTEINS</t>
  </si>
  <si>
    <t>LAB-00079</t>
  </si>
  <si>
    <t>MULTI-ANALYSER CLEANER 1L</t>
  </si>
  <si>
    <t>LAB-00080</t>
  </si>
  <si>
    <t>ANALYSER SAMPLE CUPS</t>
  </si>
  <si>
    <t>LAB-00081</t>
  </si>
  <si>
    <t>ISE CLEANING SOLUTION</t>
  </si>
  <si>
    <t>LAB-00082</t>
  </si>
  <si>
    <t>ANALYSER ACTIVATOR BOTTLE SET</t>
  </si>
  <si>
    <t>LAB-00083</t>
  </si>
  <si>
    <t>ANALYSER CUP WITH HOLE</t>
  </si>
  <si>
    <t>LAB-00084</t>
  </si>
  <si>
    <t>ANALYSER HALOGEN LAMP 12V/100W</t>
  </si>
  <si>
    <t>LAB-00085</t>
  </si>
  <si>
    <t>LAB-00086</t>
  </si>
  <si>
    <t>PHOSPHORUS REAGENT</t>
  </si>
  <si>
    <t>LAB-00087</t>
  </si>
  <si>
    <t>TOTAL PROTEIN REAGENT</t>
  </si>
  <si>
    <t>LAB-00088</t>
  </si>
  <si>
    <t>TRIGLYCERIDES REAGENT</t>
  </si>
  <si>
    <t>LAB-00089</t>
  </si>
  <si>
    <t>UREA REAGENT</t>
  </si>
  <si>
    <t>LAB-00090</t>
  </si>
  <si>
    <t>URIC ACID REAGENT</t>
  </si>
  <si>
    <t>LAB-00091</t>
  </si>
  <si>
    <t>96 WELL PLATE WHITE WELL (BOX/50EACH)</t>
  </si>
  <si>
    <t>LAB-00092</t>
  </si>
  <si>
    <t>QUICK RNA VIRAL KIT (200 PREP)</t>
  </si>
  <si>
    <t>LAB-00093</t>
  </si>
  <si>
    <t>SWAB IN TRANSPORT MEDIA</t>
  </si>
  <si>
    <t>LAB-00094</t>
  </si>
  <si>
    <t>LBC AUTOPREP BRUSH ROVERTS (BOX/25)</t>
  </si>
  <si>
    <t>LAB-00095</t>
  </si>
  <si>
    <t>LBC GYNAECOLOGY PRESERVATIVE</t>
  </si>
  <si>
    <t>LAB-00096</t>
  </si>
  <si>
    <t>COUNTING CHAMBER URINE</t>
  </si>
  <si>
    <t>LAB-00097</t>
  </si>
  <si>
    <t>BUCKET PLASTIC HISTO 1L</t>
  </si>
  <si>
    <t>LAB-00098</t>
  </si>
  <si>
    <t>BUCKET PLASTIC HISTO 2.5L</t>
  </si>
  <si>
    <t>LAB-00099</t>
  </si>
  <si>
    <t>BUCKET PLASTIC HISTO 500ML</t>
  </si>
  <si>
    <t>LAB-00100</t>
  </si>
  <si>
    <t>BUCKET PLASTIC HISTO 5L</t>
  </si>
  <si>
    <t>LAB-00101</t>
  </si>
  <si>
    <t>CRYOTUBE 1.8ML SELF STANDING (500)</t>
  </si>
  <si>
    <t>LAB-00102</t>
  </si>
  <si>
    <t>MICROSCOPE IMMERSION OIL 500ML</t>
  </si>
  <si>
    <t>LAB-00103</t>
  </si>
  <si>
    <t>PARAFILM 38M X 4 INCH</t>
  </si>
  <si>
    <t>LAB-00104</t>
  </si>
  <si>
    <t>STICK WOODEN APPLICATOR (1000)</t>
  </si>
  <si>
    <t>LAB-00105</t>
  </si>
  <si>
    <t>VAGINAL SPECULUM DISPOSABLE M</t>
  </si>
  <si>
    <t>LAB-00106</t>
  </si>
  <si>
    <t>COVERSLIPS 20X26MM (100)</t>
  </si>
  <si>
    <t>LAB-00107</t>
  </si>
  <si>
    <t>CARBOL FUCHSIN STAIN 1L</t>
  </si>
  <si>
    <t>LAB-00108</t>
  </si>
  <si>
    <t>CRYSTAL VIOLET - GRAM STAIN 1L</t>
  </si>
  <si>
    <t>LAB-00109</t>
  </si>
  <si>
    <t>CRYSTAL VIOLET - CSF STAIN - 100ML</t>
  </si>
  <si>
    <t>LAB-00110</t>
  </si>
  <si>
    <t>FIELDS STAIN SOLUTION 1 1L</t>
  </si>
  <si>
    <t>LAB-00111</t>
  </si>
  <si>
    <t>FIELDS STAIN SOLUTION 2 1L</t>
  </si>
  <si>
    <t>LAB-00112</t>
  </si>
  <si>
    <t>METHYLENE BLUE 1L</t>
  </si>
  <si>
    <t>LAB-00113</t>
  </si>
  <si>
    <t>NIGROSIN SOLUTION 10% 100ML</t>
  </si>
  <si>
    <t>LAB-00114</t>
  </si>
  <si>
    <t>RAPIDIFF 1 1L</t>
  </si>
  <si>
    <t>LAB-00115</t>
  </si>
  <si>
    <t>RAPIDIFF 2 1L</t>
  </si>
  <si>
    <t>LAB-00116</t>
  </si>
  <si>
    <t>HAEMATOLOGY ANALYSER CONSUMABLE - DILUENT 10L</t>
  </si>
  <si>
    <t>LAB-00117</t>
  </si>
  <si>
    <t>HAEMATOLOGY ANALYSER CONSUMABLE - CLEANSER (1L)</t>
  </si>
  <si>
    <t>LAB-00118</t>
  </si>
  <si>
    <t>HAEMATOLOGY ANALYSER CONSUMABLE - DILUENT 20L</t>
  </si>
  <si>
    <t>LAB-00119</t>
  </si>
  <si>
    <t>HAEMATOLOGY ANALYSER CONSUMABLE - LEO(I) LYSE 4X1L</t>
  </si>
  <si>
    <t>LAB-00120</t>
  </si>
  <si>
    <t>HAEMATOLOGY ANALYSER CONSUMABLE - LEO(II) LYSE 4X200ML</t>
  </si>
  <si>
    <t>LAB-00121</t>
  </si>
  <si>
    <t>HAEMATOLOGY ANALYSER CONSUMABLE - LH LYSE</t>
  </si>
  <si>
    <t>LAB-00122</t>
  </si>
  <si>
    <t>HAEMATOLOGY ANALYSER CONSUMABLE - PROBE CLEANSER</t>
  </si>
  <si>
    <t>LAB-00123</t>
  </si>
  <si>
    <t>HAEMATOLOGY ANALYSER CONSUMABLE - CONTROL TRI-PACK 6X3.5ML</t>
  </si>
  <si>
    <t>LAB-00124</t>
  </si>
  <si>
    <t>HAEMATOLOGY ANALYSER CONSUMABLE - CALIBRATORS 2X2ML</t>
  </si>
  <si>
    <t>LAB-00125</t>
  </si>
  <si>
    <t>HAEMATOLOGY ANALYSER CONSUMABLE - CLEANER 0.5L</t>
  </si>
  <si>
    <t>LAB-00126</t>
  </si>
  <si>
    <t>HAEMATOLOGY ANALYSER CONSUMABLE - CONTROL (6X2.3ML)</t>
  </si>
  <si>
    <t>LAB-00127</t>
  </si>
  <si>
    <t>HAEMATOLOGY ANALYSER CONSUMABLE - LYSE 0.5L</t>
  </si>
  <si>
    <t>LAB-00128</t>
  </si>
  <si>
    <t>ACL - APPT RGT SYNTHASIL PHOSPHO</t>
  </si>
  <si>
    <t>LAB-00129</t>
  </si>
  <si>
    <t>COAG CITROL 1E (20X1ML)</t>
  </si>
  <si>
    <t>LAB-00130</t>
  </si>
  <si>
    <t>COAG CITROL 2E (20X1ML)</t>
  </si>
  <si>
    <t>LAB-00131</t>
  </si>
  <si>
    <t>COAGULATION ANALYSER CONSUMABLE - DADE INNOVIN (10X10ML)</t>
  </si>
  <si>
    <t>LAB-00132</t>
  </si>
  <si>
    <t>RAPID TEST - PASTOREX STAPH (100T)</t>
  </si>
  <si>
    <t>LAB-00133</t>
  </si>
  <si>
    <t>FT4 (200T) - IMMUNOASSAY REAGENT</t>
  </si>
  <si>
    <t>LAB-00134</t>
  </si>
  <si>
    <t>FSH - IMMUNOASSAY REAGENT</t>
  </si>
  <si>
    <t>LAB-00135</t>
  </si>
  <si>
    <t>FSH CALIBRATOR - IMMUNOASSAY REAGENT</t>
  </si>
  <si>
    <t>LAB-00136</t>
  </si>
  <si>
    <t>LH - IMMUNOASSAY REAGENT</t>
  </si>
  <si>
    <t>LAB-00137</t>
  </si>
  <si>
    <t>LH CALIBRATOR - IMMUNOASSAY REAGENT</t>
  </si>
  <si>
    <t>LAB-00138</t>
  </si>
  <si>
    <t>CLEANCELL (6X380ML) - IMMUNOASSAY REAGENT</t>
  </si>
  <si>
    <t>LAB-00139</t>
  </si>
  <si>
    <t>PROCELL (6X380ML) - IMMUNOASSAY REAGENT</t>
  </si>
  <si>
    <t>LAB-00140</t>
  </si>
  <si>
    <t>SYSTEM WASH - IMMUNOASSAY REAGENT</t>
  </si>
  <si>
    <t>LAB-00141</t>
  </si>
  <si>
    <t>QUALITY CONTROL MATERIAL - IMMUNOASSAY PLUS CTL L1</t>
  </si>
  <si>
    <t>LAB-00142</t>
  </si>
  <si>
    <t>QUALITY CONTROL MATERIAL - IMMUNOASSAY PLUS CTL L3</t>
  </si>
  <si>
    <t>LAB-00143</t>
  </si>
  <si>
    <t>PROGESTERONE - IMMUNOASSAY REAGENT</t>
  </si>
  <si>
    <t>LAB-00144</t>
  </si>
  <si>
    <t>PROLACTIN CALIBRATOR - IMMUNOASSAY REAGENT</t>
  </si>
  <si>
    <t>LAB-00145</t>
  </si>
  <si>
    <t>TOTAL PSA (100T) - IMMUNOASSAY REAGENT</t>
  </si>
  <si>
    <t>LAB-00146</t>
  </si>
  <si>
    <t>TOTAL PSA CALIBRATOR - IMMUNOASSAY REAGENT</t>
  </si>
  <si>
    <t>LAB-00147</t>
  </si>
  <si>
    <t>TSH (200T) - IMMUNOASSAY REAGENT</t>
  </si>
  <si>
    <t>LAB-00148</t>
  </si>
  <si>
    <t>TSH CALIBRATOR - IMMUNOASSAY REAGENT</t>
  </si>
  <si>
    <t>LAB-00149</t>
  </si>
  <si>
    <t>API 20E</t>
  </si>
  <si>
    <t>LAB-00150</t>
  </si>
  <si>
    <t>API 20NE</t>
  </si>
  <si>
    <t>LAB-00151</t>
  </si>
  <si>
    <t>API GNB REAGENT KIT</t>
  </si>
  <si>
    <t>LAB-00152</t>
  </si>
  <si>
    <t>API NH 10T</t>
  </si>
  <si>
    <t>LAB-00153</t>
  </si>
  <si>
    <t>BACTEC PEDS PLUS (PINK)</t>
  </si>
  <si>
    <t>LAB-00154</t>
  </si>
  <si>
    <t>BACTEC STANDARD ANAEROBIC/F (YELLOW)</t>
  </si>
  <si>
    <t>LAB-00155</t>
  </si>
  <si>
    <t>BACTEC AEROBIC (BLUE)</t>
  </si>
  <si>
    <t>LAB-00156</t>
  </si>
  <si>
    <t>MICROBIOLOGICAL REFERENCE STRAIN - LYFO+S. PYOGENES 19615 (PACK/2 EACH)</t>
  </si>
  <si>
    <t>LAB-00157</t>
  </si>
  <si>
    <t>MICROBIOLOGICAL REFERENCE STRAIN - STAPHYLOCOCCUS AUREUS 25923 (PACK/2 EACH)</t>
  </si>
  <si>
    <t>LAB-00158</t>
  </si>
  <si>
    <t>ANTIBIOTIC SENSITIVITY DISC - AMIKACIN 30UG</t>
  </si>
  <si>
    <t>LAB-00159</t>
  </si>
  <si>
    <t>ANTIBIOTIC SENSITIVITY DISC - AMPICILLIN 25MG</t>
  </si>
  <si>
    <t>LAB-00160</t>
  </si>
  <si>
    <t>ANTIBIOTIC SENSITIVITY DISC - AUGMENTIN 30UG</t>
  </si>
  <si>
    <t>LAB-00161</t>
  </si>
  <si>
    <t>ANTIBIOTIC SENSITIVITY DISC - AZITHROMYCIN 15UG</t>
  </si>
  <si>
    <t>LAB-00162</t>
  </si>
  <si>
    <t>ANTIBIOTIC SENSITIVITY DISC - CEFEPIME 30UG</t>
  </si>
  <si>
    <t>LAB-00163</t>
  </si>
  <si>
    <t>ANTIBIOTIC SENSITIVITY DISC - CEFIXIME 30UG</t>
  </si>
  <si>
    <t>LAB-00164</t>
  </si>
  <si>
    <t>ANTIBIOTIC SENSITIVITY DISC - CEFOXITIN 30UG</t>
  </si>
  <si>
    <t>LAB-00165</t>
  </si>
  <si>
    <t>ANTIBIOTIC SENSITIVITY DISC - CEFTAZIDIME 30UG</t>
  </si>
  <si>
    <t>LAB-00166</t>
  </si>
  <si>
    <t>ANTIBIOTIC SENSITIVITY DISC - CEFTRIAXONE 30UG</t>
  </si>
  <si>
    <t>LAB-00167</t>
  </si>
  <si>
    <t>ANTIBIOTIC SENSITIVITY DISC - CEFUROXIME 30UG</t>
  </si>
  <si>
    <t>LAB-00168</t>
  </si>
  <si>
    <t>ANTIBIOTIC SENSITIVITY DISC - CLINDAMYCIN 2UG</t>
  </si>
  <si>
    <t>LAB-00169</t>
  </si>
  <si>
    <t>ANTIBIOTIC SENSITIVITY DISC - FOSFOMYCIN 200UG</t>
  </si>
  <si>
    <t>LAB-00170</t>
  </si>
  <si>
    <t>ANTIBIOTIC SENSITIVITY DISC - FUCIDIN 10UG</t>
  </si>
  <si>
    <t>LAB-00171</t>
  </si>
  <si>
    <t>ANTIBIOTIC SENSITIVITY DISC - GENTAMYCIN 10UG</t>
  </si>
  <si>
    <t>LAB-00172</t>
  </si>
  <si>
    <t>ANTIBIOTIC SENSITIVITY DISC - IMIPENEM 10UG</t>
  </si>
  <si>
    <t>LAB-00173</t>
  </si>
  <si>
    <t>ANTIBIOTIC SENSITIVITY DISC - LEVOFLOXACIN 5UG</t>
  </si>
  <si>
    <t>LAB-00174</t>
  </si>
  <si>
    <t>ANTIBIOTIC SENSITIVITY DISC - LINEZOLID 30UG</t>
  </si>
  <si>
    <t>LAB-00175</t>
  </si>
  <si>
    <t>ANTIBIOTIC SENSITIVITY DISC - MEROPENEM 10UG</t>
  </si>
  <si>
    <t>LAB-00176</t>
  </si>
  <si>
    <t>ANTIBIOTIC SENSITIVITY DISC - MUPIROCIN 5UG</t>
  </si>
  <si>
    <t>LAB-00177</t>
  </si>
  <si>
    <t>ANTIBIOTIC SENSITIVITY DISC - NITROFURANTOIN 300MG</t>
  </si>
  <si>
    <t>LAB-00178</t>
  </si>
  <si>
    <t>ANTIBIOTIC SENSITIVITY DISC - OPTOCHIN 5UG</t>
  </si>
  <si>
    <t>LAB-00179</t>
  </si>
  <si>
    <t>ANTIBIOTIC SENSITIVITY DISC - PENICILIN 10UG</t>
  </si>
  <si>
    <t>LAB-00180</t>
  </si>
  <si>
    <t>ANTIBIOTIC SENSITIVITY DISC - PIPERACILIN PIPTAZ 30UG</t>
  </si>
  <si>
    <t>LAB-00181</t>
  </si>
  <si>
    <t>ANTIBIOTIC SENSITIVITY DISC - RIFAMPICIN 5UG</t>
  </si>
  <si>
    <t>LAB-00182</t>
  </si>
  <si>
    <t>ANTIBIOTIC SENSITIVITY DISC - TETRACYCLINE 30UG</t>
  </si>
  <si>
    <t>LAB-00183</t>
  </si>
  <si>
    <t>ANTIBIOTIC SENSITIVITY DISC - TIGECYCLINE 15UG</t>
  </si>
  <si>
    <t>LAB-00184</t>
  </si>
  <si>
    <t>ANTIBIOTIC SENSITIVITY DISC - VANCOMYCIN 30UG</t>
  </si>
  <si>
    <t>LAB-00185</t>
  </si>
  <si>
    <t>MIC E-TEST STRIP - ERTAPENEM 32 WW B30 (BOX/30 EACH)</t>
  </si>
  <si>
    <t>LAB-00186</t>
  </si>
  <si>
    <t>MIC E-TEST STRIP - IMIPENEM IP 32 WW S30 (BOX/30 EACH)</t>
  </si>
  <si>
    <t>LAB-00187</t>
  </si>
  <si>
    <t>MIC E-TEST STRIP - VANCOMYCIN (BOX/30 EACH)</t>
  </si>
  <si>
    <t>LAB-00188</t>
  </si>
  <si>
    <t>BROTH CSF (BOX/64 EACH)</t>
  </si>
  <si>
    <t>LAB-00189</t>
  </si>
  <si>
    <t>BROTH PYRUVATE FOR STREP</t>
  </si>
  <si>
    <t>LAB-00190</t>
  </si>
  <si>
    <t>BROTH SALT 6.5%</t>
  </si>
  <si>
    <t>LAB-00191</t>
  </si>
  <si>
    <t>BROTH SELENITE F MEDIUM</t>
  </si>
  <si>
    <t>LAB-00192</t>
  </si>
  <si>
    <t>BROTH THIOGLYCOLLATE USP</t>
  </si>
  <si>
    <t>LAB-00193</t>
  </si>
  <si>
    <t>AGAR PLATE - 1/2 SHEEP BL/SOR/MACCONKEY</t>
  </si>
  <si>
    <t>LAB-00194</t>
  </si>
  <si>
    <t>AGAR PLATE - BILE AESCULIN</t>
  </si>
  <si>
    <t>LAB-00195</t>
  </si>
  <si>
    <t>AGAR PLATE - BLOOD GENTAMYCIN</t>
  </si>
  <si>
    <t>LAB-00196</t>
  </si>
  <si>
    <t>AGAR PLATE - CAMPYLOBACTER</t>
  </si>
  <si>
    <t>LAB-00197</t>
  </si>
  <si>
    <t>AGAR PLATE - CHOCOLATE BACITRACIN</t>
  </si>
  <si>
    <t>LAB-00198</t>
  </si>
  <si>
    <t>AGAR PLATE - CHOCOLATE BLOOD</t>
  </si>
  <si>
    <t>LAB-00199</t>
  </si>
  <si>
    <t>AGAR PLATE - CLED</t>
  </si>
  <si>
    <t>LAB-00200</t>
  </si>
  <si>
    <t>AGAR PLATE - COLUMBIA BLOOD</t>
  </si>
  <si>
    <t>LAB-00201</t>
  </si>
  <si>
    <t>AGAR PLATE - DEX CHLOR</t>
  </si>
  <si>
    <t>LAB-00202</t>
  </si>
  <si>
    <t>AGAR POWDER - DNASE MEDIA</t>
  </si>
  <si>
    <t>LAB-00203</t>
  </si>
  <si>
    <t>AGAR PLATE - MACCONKEY W/O CV</t>
  </si>
  <si>
    <t>LAB-00204</t>
  </si>
  <si>
    <t>AGAR PLATE - MACCONKEY WITH CV</t>
  </si>
  <si>
    <t>LAB-00205</t>
  </si>
  <si>
    <t>AGAR PLATE - MUELLER HINTON</t>
  </si>
  <si>
    <t>LAB-00206</t>
  </si>
  <si>
    <t>AGAR PLATE - MUELLER HINTON+5% SHEEP BLOOD</t>
  </si>
  <si>
    <t>LAB-00207</t>
  </si>
  <si>
    <t>AGAR PLATE - SHEEP BLOOD</t>
  </si>
  <si>
    <t>LAB-00208</t>
  </si>
  <si>
    <t>AGAR PLATE - SORBITOL MACCONKEY</t>
  </si>
  <si>
    <t>LAB-00209</t>
  </si>
  <si>
    <t>AGAR PLATE - WCA /10% BLOOD</t>
  </si>
  <si>
    <t>LAB-00210</t>
  </si>
  <si>
    <t>AGAR PLATE - XLD</t>
  </si>
  <si>
    <t>LAB-00211</t>
  </si>
  <si>
    <t>GASPAK - ANAEROBIC INDICATOR</t>
  </si>
  <si>
    <t>LAB-00212</t>
  </si>
  <si>
    <t>BACTERURITEST BTRL</t>
  </si>
  <si>
    <t>LAB-00213</t>
  </si>
  <si>
    <t>DENSICHEK PLUS STANDARDS KIT</t>
  </si>
  <si>
    <t>LAB-00214</t>
  </si>
  <si>
    <t>GAS GENERATING KIT CAMPYLOBACTER</t>
  </si>
  <si>
    <t>LAB-00215</t>
  </si>
  <si>
    <t>GENBOX ANAEROBIC SACHET</t>
  </si>
  <si>
    <t>LAB-00216</t>
  </si>
  <si>
    <t>GLUCOSE DEXTROSE POWDER 25G</t>
  </si>
  <si>
    <t>LAB-00217</t>
  </si>
  <si>
    <t>HEP B VACCINE ADULT</t>
  </si>
  <si>
    <t>LAB-00218</t>
  </si>
  <si>
    <t>ANTI A 10ML</t>
  </si>
  <si>
    <t>LAB-00219</t>
  </si>
  <si>
    <t>ANTI A+B 10ML</t>
  </si>
  <si>
    <t>LAB-00220</t>
  </si>
  <si>
    <t>ANTI B 10ML</t>
  </si>
  <si>
    <t>LAB-00221</t>
  </si>
  <si>
    <t>ANTI D IGG+IGM</t>
  </si>
  <si>
    <t>LAB-00222</t>
  </si>
  <si>
    <t>QUALITY CONTROL MATERIAL - SEDIM RATE CONTROL L1 (BTL/9 ML)</t>
  </si>
  <si>
    <t>LAB-00223</t>
  </si>
  <si>
    <t>QUALITY CONTROL MATERIAL - SEDIM RATE CONTROL L2 (BTL/9 ML)</t>
  </si>
  <si>
    <t>LAB-00224</t>
  </si>
  <si>
    <t>ESR COLLECTION TUBES + PIPETTE (BOX/500)</t>
  </si>
  <si>
    <t>LAB-00225</t>
  </si>
  <si>
    <t>POC ANALYSER CONSUMABLE - CK-MB CONTROL</t>
  </si>
  <si>
    <t>LAB-00226</t>
  </si>
  <si>
    <t>POC ANALYSER CONSUMABLE - CK-MB STRIP 10T</t>
  </si>
  <si>
    <t>LAB-00227</t>
  </si>
  <si>
    <t>POC ANALYSER CONSUMABLE - D-DIMER LIQ CONTROL</t>
  </si>
  <si>
    <t>LAB-00228</t>
  </si>
  <si>
    <t>POC ANALYSER CONSUMABLE - D-DIMER STRIP 10T</t>
  </si>
  <si>
    <t>LAB-00229</t>
  </si>
  <si>
    <t>POC ANALYSER CONSUMABLE - IQC CONTROL</t>
  </si>
  <si>
    <t>LAB-00230</t>
  </si>
  <si>
    <t>POC ANALYSER CONSUMABLE - TROPONIN T 10T</t>
  </si>
  <si>
    <t>LAB-00231</t>
  </si>
  <si>
    <t>POC ANALYSER CONSUMABLE - TROPONIN T CONTROL</t>
  </si>
  <si>
    <t>LAB-00232</t>
  </si>
  <si>
    <t>LATERAL FLOW ASSAY - CRYPTOCOCCAL ANTIGEN LFA (50T)</t>
  </si>
  <si>
    <t>LAB-00233</t>
  </si>
  <si>
    <t>RAPID TEST - HBSAG - DETERMINE</t>
  </si>
  <si>
    <t>LAB-00234</t>
  </si>
  <si>
    <t>FTA MINI KITS CARD</t>
  </si>
  <si>
    <t>LAB-00235</t>
  </si>
  <si>
    <t>OXIDASE STRIPS (50T)</t>
  </si>
  <si>
    <t>LAB-00236</t>
  </si>
  <si>
    <t>RAPID INDOLE 10ML</t>
  </si>
  <si>
    <t>LAB-00237</t>
  </si>
  <si>
    <t>STRIP INDICATOR PH 6.5 - 10</t>
  </si>
  <si>
    <t>LAB-00238</t>
  </si>
  <si>
    <t>SHIGELLA - WELLCOLEX COLOUR</t>
  </si>
  <si>
    <t>LAB-00239</t>
  </si>
  <si>
    <t>STREPTEX ANTIGEN 200T</t>
  </si>
  <si>
    <t>LAB-00240</t>
  </si>
  <si>
    <t>WELLCOGEN FULL CSF ZL26 KIT (30T)</t>
  </si>
  <si>
    <t>LAB-00241</t>
  </si>
  <si>
    <t>TB INTERFERON-GAMMA RELEASE ASSAY - LOW ALT PLUS</t>
  </si>
  <si>
    <t>LAB-00242</t>
  </si>
  <si>
    <t>STRIP URINE COMBUR 10M</t>
  </si>
  <si>
    <t>LAB-00243</t>
  </si>
  <si>
    <t>WASTE BAGS (BLACK)</t>
  </si>
  <si>
    <t>LAB-00244</t>
  </si>
  <si>
    <t>WASTE BAGS 60X60 (RED)</t>
  </si>
  <si>
    <t>LAB-00245</t>
  </si>
  <si>
    <t>BOOK - DAILY CASHUP SUMMARY</t>
  </si>
  <si>
    <t>LAB-00246</t>
  </si>
  <si>
    <t>COURIER LOG BOOKS</t>
  </si>
  <si>
    <t>LAB-00247</t>
  </si>
  <si>
    <t>BOOK - MANUAL RECEIPT</t>
  </si>
  <si>
    <t>LAB-00248</t>
  </si>
  <si>
    <t>TONER HP - 05A</t>
  </si>
  <si>
    <t>LAB-00249</t>
  </si>
  <si>
    <t>TONER HP - 17A</t>
  </si>
  <si>
    <t>LAB-00250</t>
  </si>
  <si>
    <t>TONER TK - 1170</t>
  </si>
  <si>
    <t>LAB-00251</t>
  </si>
  <si>
    <t>TONER TK - 340</t>
  </si>
  <si>
    <t>LAB-00252</t>
  </si>
  <si>
    <t>APRON PLASTIC DISPOSABLE</t>
  </si>
  <si>
    <t>LAB-00253</t>
  </si>
  <si>
    <t>FROSTED SLIDES</t>
  </si>
  <si>
    <t>LAB-00254</t>
  </si>
  <si>
    <t>JAR+LID COPLIN - FOR 10 SLIDES</t>
  </si>
  <si>
    <t>LAB-00255</t>
  </si>
  <si>
    <t>SPLIT LABELS 30MM ROLL/1000</t>
  </si>
  <si>
    <t>LAB-00256</t>
  </si>
  <si>
    <t>RAPID TEST - HIV - DETERMINE (100T)</t>
  </si>
  <si>
    <t>LAB-00257</t>
  </si>
  <si>
    <t>PIPETTE BULB 1ML (A - GRADE)</t>
  </si>
  <si>
    <t>LAB-00258</t>
  </si>
  <si>
    <t>ANTIBIOTIC SENSITIVITY DISC - ERTAPENEM 10UG</t>
  </si>
  <si>
    <t>LAB-00259</t>
  </si>
  <si>
    <t>ELECTROPHORESIS ANALYSER CONSUMABLE - PISTON - M100CP100</t>
  </si>
  <si>
    <t>LAB-00260</t>
  </si>
  <si>
    <t>ANALYSER THERMAL PAPER</t>
  </si>
  <si>
    <t>LAB-00261</t>
  </si>
  <si>
    <t>WATER PURIFICATION SYSTEM CONSUMABLE - LC105 UV LAMP</t>
  </si>
  <si>
    <t>LAB-00262</t>
  </si>
  <si>
    <t>DISCMASTER 6 PLACE</t>
  </si>
  <si>
    <t>LAB-00263</t>
  </si>
  <si>
    <t>FT3 G3 (200T) - IMMUNOASSAY REAGENT</t>
  </si>
  <si>
    <t>LAB-00264</t>
  </si>
  <si>
    <t>PROLACTIN - IMMUNOASSAY REAGENT</t>
  </si>
  <si>
    <t>LAB-00265</t>
  </si>
  <si>
    <t>ASSAY CUP 2010 - IMMUNOASSAY REAGENT</t>
  </si>
  <si>
    <t>LAB-00266</t>
  </si>
  <si>
    <t>PIPETTE BULB 5ML (A - GRADE)</t>
  </si>
  <si>
    <t>LAB-00267</t>
  </si>
  <si>
    <t>ANTIBIOTIC SENSITIVITY DISC - COTRIMOXAZOLE/SULPH</t>
  </si>
  <si>
    <t>LAB-00268</t>
  </si>
  <si>
    <t>ANTIBIOTIC SENSITIVITY DISC - ERYTHROMYCIN 15U</t>
  </si>
  <si>
    <t>LAB-00269</t>
  </si>
  <si>
    <t>ANTIBIOTIC SENSITIVITY DISC - TOBRAMYCIN 30UG</t>
  </si>
  <si>
    <t>LAB-00270</t>
  </si>
  <si>
    <t>ANTIBIOTIC SENSITIVITY DISC - GENTAMYCIN 120UG</t>
  </si>
  <si>
    <t>LAB-00271</t>
  </si>
  <si>
    <t>ANTIBIOTIC SENSITIVITY DISC - METRONIDAZOLE 5MG</t>
  </si>
  <si>
    <t>LAB-00272</t>
  </si>
  <si>
    <t>ANTIBIOTIC SENSITIVITY DISC - TEICOPLANIN 30UG</t>
  </si>
  <si>
    <t>LAB-00273</t>
  </si>
  <si>
    <t>MIC E-TEST STRIP - MEROPENEM MP 32 WW S30</t>
  </si>
  <si>
    <t>LAB-00274</t>
  </si>
  <si>
    <t>CELL-FREE DNA BACT KIT</t>
  </si>
  <si>
    <t>LAB-00275</t>
  </si>
  <si>
    <t>ASO LATEX KIT (100T)</t>
  </si>
  <si>
    <t>LAB-00276</t>
  </si>
  <si>
    <t>RAPID TEST - RF LATEX KIT (25T)</t>
  </si>
  <si>
    <t>LAB-00277</t>
  </si>
  <si>
    <t>BOTTLE+CAP PLASTIC STOOL 24HRS</t>
  </si>
  <si>
    <t>LAB-00278</t>
  </si>
  <si>
    <t>STOPWATCH</t>
  </si>
  <si>
    <t>LAB-00279</t>
  </si>
  <si>
    <t>SYRINGE INSULIN/TB 1ML 29G</t>
  </si>
  <si>
    <t>LAB-00280</t>
  </si>
  <si>
    <t>BAG PLASTIC REPORT LANCET A5</t>
  </si>
  <si>
    <t>LAB-00281</t>
  </si>
  <si>
    <t>PIPETTE BULB 10ML (A - GRADE)</t>
  </si>
  <si>
    <t>LAB-00282</t>
  </si>
  <si>
    <t>BORIC ACID 10G</t>
  </si>
  <si>
    <t>LAB-00283</t>
  </si>
  <si>
    <t>THERMOMETER DIGITAL ROOM MIN/MAX 0/50</t>
  </si>
  <si>
    <t>LAB-00284</t>
  </si>
  <si>
    <t>FORMALDEHYDE 38% - 2.5L</t>
  </si>
  <si>
    <t>LAB-00285</t>
  </si>
  <si>
    <t>RACK ESR SEDIPLAST 10HL</t>
  </si>
  <si>
    <t>LAB-00286</t>
  </si>
  <si>
    <t>THERMOMETER DIGIT FREEZER/FRIDGE</t>
  </si>
  <si>
    <t>LAB-00287</t>
  </si>
  <si>
    <t>LASER LABELS WHITE A4</t>
  </si>
  <si>
    <t>LAB-00288</t>
  </si>
  <si>
    <t>ANTIBIOTIC SENSITIVITY DISC - CEFTAZIDIME/AVIBACTUM 20UG</t>
  </si>
  <si>
    <t>LAB-00289</t>
  </si>
  <si>
    <t>ISE CHLORIDE ELECTRODE</t>
  </si>
  <si>
    <t>LAB-00290</t>
  </si>
  <si>
    <t>EXTERNAL QC PANEL - SARS-COV-2 ANTIGEN (3X5)</t>
  </si>
  <si>
    <t>LAB-00291</t>
  </si>
  <si>
    <t>EXTERNAL QC PANEL - BASIC HEMATOLOGY (12X1)</t>
  </si>
  <si>
    <t>LAB-00292</t>
  </si>
  <si>
    <t>EXTERNAL QC PANEL - CARDIAC MARKERS (12X1)</t>
  </si>
  <si>
    <t>LAB-00293</t>
  </si>
  <si>
    <t>EXTERNAL QC PANEL - CHEMISTRY/IMMUNOASSAY (12X1)</t>
  </si>
  <si>
    <t>LAB-00294</t>
  </si>
  <si>
    <t>EXTERNAL QC PANEL - BACTERIAL IDENTIFICATION (3X5)</t>
  </si>
  <si>
    <t>LAB-00295</t>
  </si>
  <si>
    <t>EXTERNAL QC PANEL - COAGULATION (12X1)</t>
  </si>
  <si>
    <t>LAB-00296</t>
  </si>
  <si>
    <t>EXTERNAL QC PANEL - SARS-COV-2 MOLECULAR (3X2)</t>
  </si>
  <si>
    <t>LAB-00297</t>
  </si>
  <si>
    <t>EXTERNAL QC PANEL - BASIC GLYCATED HEMOGLOBIN (3X2)</t>
  </si>
  <si>
    <t>LAB-00298</t>
  </si>
  <si>
    <t>EXTERNAL QC PANEL - WET MOUNT (3X2)</t>
  </si>
  <si>
    <t>LAB-00299</t>
  </si>
  <si>
    <t>EXTERNAL QC PANEL - TUMOR MARKERS (3X2)</t>
  </si>
  <si>
    <t>LAB-00300</t>
  </si>
  <si>
    <t>EXTERNAL QC PANEL - CLINICAL CHEMISTRY (12X1)</t>
  </si>
  <si>
    <t>LAB-00301</t>
  </si>
  <si>
    <t>EXTERNAL QC PANEL - HEMATOLOGY 5-PART DIFFERENTIAL (3X5)</t>
  </si>
  <si>
    <t>LAB-00302</t>
  </si>
  <si>
    <t>8 STRIP TUBE 120</t>
  </si>
  <si>
    <t>LAB-00303</t>
  </si>
  <si>
    <t>A4 ADHOC PRINT</t>
  </si>
  <si>
    <t>LAB-00304</t>
  </si>
  <si>
    <t>ABSOLUTE ETHANOL</t>
  </si>
  <si>
    <t>LAB-00305</t>
  </si>
  <si>
    <t>AFP + CALIBRATOR (6X50T) - IMMUNOASSAY REAGENT</t>
  </si>
  <si>
    <t>LAB-00306</t>
  </si>
  <si>
    <t>AMH (100 TESTS) - IMMUNOASSAY REAGENT</t>
  </si>
  <si>
    <t>LAB-00307</t>
  </si>
  <si>
    <t>AMH CALIBRATOR - IMMUNOASSAY REAGENT</t>
  </si>
  <si>
    <t>LAB-00308</t>
  </si>
  <si>
    <t>AMH QC (C1 - C3) - IMMUNOASSAY REAGENT</t>
  </si>
  <si>
    <t>LAB-00309</t>
  </si>
  <si>
    <t>B12 (2X50T) - IMMUNOASSAY REAGENT</t>
  </si>
  <si>
    <t>LAB-00310</t>
  </si>
  <si>
    <t>B12 CALIBRATOR - IMMUNOASSAY REAGENT</t>
  </si>
  <si>
    <t>LAB-00311</t>
  </si>
  <si>
    <t>BR MONITOR (2X50T) - IMMUNOASSAY REAGENT</t>
  </si>
  <si>
    <t>LAB-00312</t>
  </si>
  <si>
    <t>BR MONITOR CALIBRATOR - IMMUNOASSAY REAGENT</t>
  </si>
  <si>
    <t>LAB-00313</t>
  </si>
  <si>
    <t>OVARIAN MONITOR CALIBRATOR - IMMUNOASSAY REAGENT</t>
  </si>
  <si>
    <t>LAB-00314</t>
  </si>
  <si>
    <t>CA 19-9 - IMMUNOASSAY REAGENT</t>
  </si>
  <si>
    <t>LAB-00315</t>
  </si>
  <si>
    <t>CA 19-9 CALIBRATOR - IMMUNOASSAY REAGENT</t>
  </si>
  <si>
    <t>LAB-00316</t>
  </si>
  <si>
    <t>CEA (2X50T) - IMMUNOASSAY REAGENT</t>
  </si>
  <si>
    <t>LAB-00317</t>
  </si>
  <si>
    <t>CEA CALIBRATORS - IMMUNOASSAY REAGENT</t>
  </si>
  <si>
    <t>LAB-00318</t>
  </si>
  <si>
    <t>CORTISOL (2X50T) - IMMUNOASSAY REAGENT</t>
  </si>
  <si>
    <t>LAB-00319</t>
  </si>
  <si>
    <t>FERRITIN (2X50T) - IMMUNOASSAY REAGENT</t>
  </si>
  <si>
    <t>LAB-00320</t>
  </si>
  <si>
    <t>FERRITIN CALIBRATOR - IMMUNOASSAY REAGENT</t>
  </si>
  <si>
    <t>LAB-00321</t>
  </si>
  <si>
    <t>FREE T3 (2X50T) - IMMUNOASSAY REAGENT</t>
  </si>
  <si>
    <t>LAB-00322</t>
  </si>
  <si>
    <t>FREE T3 CALIBRATOR - IMMUNOASSAY REAGENT</t>
  </si>
  <si>
    <t>LAB-00323</t>
  </si>
  <si>
    <t>FREE T4 (2X50T) - IMMUNOASSAY REAGENT</t>
  </si>
  <si>
    <t>LAB-00324</t>
  </si>
  <si>
    <t>FREE T4 CALIBRATOR - IMMUNOASSAY REAGENT</t>
  </si>
  <si>
    <t>LAB-00325</t>
  </si>
  <si>
    <t>FSH (100 TESTS) - IMMUNOASSAY REAGENT</t>
  </si>
  <si>
    <t>LAB-00326</t>
  </si>
  <si>
    <t>FSH CALIBRATORS - IMMUNOASSAY REAGENT</t>
  </si>
  <si>
    <t>LAB-00327</t>
  </si>
  <si>
    <t>HBSAB CALIBRATOR - IMMUNOASSAY REAGENT</t>
  </si>
  <si>
    <t>LAB-00328</t>
  </si>
  <si>
    <t>HBSAB QC - IMMUNOASSAY REAGENT</t>
  </si>
  <si>
    <t>LAB-00329</t>
  </si>
  <si>
    <t>HBSAG CALIBRATOR KIT - IMMUNOASSAY REAGENT</t>
  </si>
  <si>
    <t>LAB-00330</t>
  </si>
  <si>
    <t>HBSAG REAGENT (100T) - IMMUNOASSAY REAGENT</t>
  </si>
  <si>
    <t>LAB-00331</t>
  </si>
  <si>
    <t>HBSAG QC KIT - IMMUNOASSAY REAGENT</t>
  </si>
  <si>
    <t>LAB-00332</t>
  </si>
  <si>
    <t>HCV AB V3 QC - IMMUNOASSAY REAGENT</t>
  </si>
  <si>
    <t>LAB-00333</t>
  </si>
  <si>
    <t>HFSH (2X50T) - IMMUNOASSAY REAGENT</t>
  </si>
  <si>
    <t>LAB-00334</t>
  </si>
  <si>
    <t>HIV COMBO CALIBRATORS - IMMUNOASSAY REAGENT</t>
  </si>
  <si>
    <t>LAB-00335</t>
  </si>
  <si>
    <t>HIV COMBO KIT - IMMUNOASSAY REAGENT</t>
  </si>
  <si>
    <t>LAB-00336</t>
  </si>
  <si>
    <t>HIV COMBO QC - IMMUNOASSAY REAGENT</t>
  </si>
  <si>
    <t>LAB-00337</t>
  </si>
  <si>
    <t>HLH (2X50T) - IMMUNOASSAY REAGENT</t>
  </si>
  <si>
    <t>LAB-00338</t>
  </si>
  <si>
    <t>HYBRITECH FREE PSA RGT (100 TESTS) - IMMUNOASSAY REAGENT</t>
  </si>
  <si>
    <t>LAB-00339</t>
  </si>
  <si>
    <t>HYBRITECH PSA CAL KIT - IMMUNOASSAY REAGENT</t>
  </si>
  <si>
    <t>LAB-00340</t>
  </si>
  <si>
    <t>HYBRITECH PSA RGT KIT (100 TESTS) - IMMUNOASSAY REAGENT</t>
  </si>
  <si>
    <t>LAB-00341</t>
  </si>
  <si>
    <t>LH (100 TESTS) - IMMUNOASSAY REAGENT</t>
  </si>
  <si>
    <t>LAB-00342</t>
  </si>
  <si>
    <t>LAB-00343</t>
  </si>
  <si>
    <t>OVARIAN MONITOR (2X50T) - IMMUNOASSAY REAGENT</t>
  </si>
  <si>
    <t>LAB-00344</t>
  </si>
  <si>
    <t>PROCALCITONIN (100 TESTS) - IMMUNOASSAY REAGENT</t>
  </si>
  <si>
    <t>LAB-00345</t>
  </si>
  <si>
    <t>PROGESTERONE (2X50T) - IMMUNOASSAY REAGENT</t>
  </si>
  <si>
    <t>LAB-00346</t>
  </si>
  <si>
    <t>PROGESTERONE CAL - IMMUNOASSAY REAGENT</t>
  </si>
  <si>
    <t>LAB-00347</t>
  </si>
  <si>
    <t>PROLACTIN (2X50T) - IMMUNOASSAY REAGENT</t>
  </si>
  <si>
    <t>LAB-00348</t>
  </si>
  <si>
    <t>LAB-00349</t>
  </si>
  <si>
    <t>REACTION VESSELS 16X98 - IMMUNOASSAY REAGENT</t>
  </si>
  <si>
    <t>LAB-00350</t>
  </si>
  <si>
    <t>RUBELLA IGG (2X50T) - IMMUNOASSAY REAGENT</t>
  </si>
  <si>
    <t>LAB-00351</t>
  </si>
  <si>
    <t>RUBELLA IGG CALIBRATOR - IMMUNOASSAY REAGENT</t>
  </si>
  <si>
    <t>LAB-00352</t>
  </si>
  <si>
    <t>RUBELLA IGG CONTROL - IMMUNOASSAY REAGENT</t>
  </si>
  <si>
    <t>LAB-00353</t>
  </si>
  <si>
    <t>SAMPLE CUPS 2ML - IMMUNOASSAY REAGENT</t>
  </si>
  <si>
    <t>LAB-00354</t>
  </si>
  <si>
    <t>SENSITIVE ESTRADIOL - IMMUNOASSAY REAGENT</t>
  </si>
  <si>
    <t>LAB-00355</t>
  </si>
  <si>
    <t>SENSITIVE ESTRADIOL CALIBRATOR - IMMUNOASSAY REAGENT</t>
  </si>
  <si>
    <t>LAB-00356</t>
  </si>
  <si>
    <t>SUBSTRATE (4X130ML) - IMMUNOASSAY REAGENT</t>
  </si>
  <si>
    <t>LAB-00357</t>
  </si>
  <si>
    <t>SYSTEM CHECK SOLUTION (6X4) - IMMUNOASSAY REAGENT</t>
  </si>
  <si>
    <t>LAB-00358</t>
  </si>
  <si>
    <t>T BHCG CALIBRATORS - IMMUNOASSAY REAGENT</t>
  </si>
  <si>
    <t>LAB-00359</t>
  </si>
  <si>
    <t>TESTOSTERONE (2X50T) - IMMUNOASSAY REAGENT</t>
  </si>
  <si>
    <t>LAB-00360</t>
  </si>
  <si>
    <t>TESTOSTERONE CALIBRATOR - IMMUNOASSAY REAGENT</t>
  </si>
  <si>
    <t>LAB-00361</t>
  </si>
  <si>
    <t>TOTAL BHCG (2X50T) - IMMUNOASSAY REAGENT</t>
  </si>
  <si>
    <t>LAB-00362</t>
  </si>
  <si>
    <t>TSH (2X100T) - IMMUNOASSAY REAGENT</t>
  </si>
  <si>
    <t>LAB-00363</t>
  </si>
  <si>
    <t>LAB-00364</t>
  </si>
  <si>
    <t>VIT D25 OH (100 TESTS) - IMMUNOASSAY REAGENT</t>
  </si>
  <si>
    <t>LAB-00365</t>
  </si>
  <si>
    <t>VIT D25 OH CALIBRATOR - IMMUNOASSAY REAGENT</t>
  </si>
  <si>
    <t>LAB-00366</t>
  </si>
  <si>
    <t>WASH BUFFER - IMMUNOASSAY REAGENT</t>
  </si>
  <si>
    <t>LAB-00367</t>
  </si>
  <si>
    <t>WASTE BAGS (20/BOX) - IMMUNOASSAY REAGENT</t>
  </si>
  <si>
    <t>LAB-00368</t>
  </si>
  <si>
    <t>ACCUCHEK ACTIVE STRIPS (50T)</t>
  </si>
  <si>
    <t>LAB-00369</t>
  </si>
  <si>
    <t>ACETIC ACID</t>
  </si>
  <si>
    <t>LAB-00370</t>
  </si>
  <si>
    <t>ACETONE PUR FL 2.5L</t>
  </si>
  <si>
    <t>LAB-00371</t>
  </si>
  <si>
    <t>BLOOD AGAR BASE - HIMEDIA</t>
  </si>
  <si>
    <t>LAB-00372</t>
  </si>
  <si>
    <t>BLOOD AGAR BASE - MAST</t>
  </si>
  <si>
    <t>LAB-00373</t>
  </si>
  <si>
    <t>BLOOD AGAR BASE - OXOID</t>
  </si>
  <si>
    <t>LAB-00374</t>
  </si>
  <si>
    <t>AGAR PLATE - BLOOD GENTAMYCIN - MRC</t>
  </si>
  <si>
    <t>LAB-00375</t>
  </si>
  <si>
    <t>AGAR PLATE - CAMPYLOBACTER - MRC</t>
  </si>
  <si>
    <t>LAB-00376</t>
  </si>
  <si>
    <t>AGAR PLATE - CHROME 9 - MAST</t>
  </si>
  <si>
    <t>LAB-00377</t>
  </si>
  <si>
    <t>AGAR PLATE - CLED - MAST</t>
  </si>
  <si>
    <t>LAB-00378</t>
  </si>
  <si>
    <t>AGAR PLATE - CNA + AZTREONAM</t>
  </si>
  <si>
    <t>LAB-00379</t>
  </si>
  <si>
    <t>AGAR PLATE - COLUMBIA BLOOD - OXOID</t>
  </si>
  <si>
    <t>LAB-00380</t>
  </si>
  <si>
    <t>AGAR PLATE - MACCONKEY W/O CV - MAST</t>
  </si>
  <si>
    <t>LAB-00381</t>
  </si>
  <si>
    <t>AGAR PLATE - MACCONKEY WITHOUT SALT - MAST</t>
  </si>
  <si>
    <t>LAB-00382</t>
  </si>
  <si>
    <t>AGAR PLATE - MUELLER HINTON - MAST</t>
  </si>
  <si>
    <t>LAB-00383</t>
  </si>
  <si>
    <t>AGAR PLATE - NEW YORK CITY</t>
  </si>
  <si>
    <t>LAB-00384</t>
  </si>
  <si>
    <t>AGAR PLATE - PLT HAEMOPHILUS SENS HTM</t>
  </si>
  <si>
    <t>LAB-00385</t>
  </si>
  <si>
    <t>AGAR PLATE - SABOURAUD - MAST</t>
  </si>
  <si>
    <t>LAB-00386</t>
  </si>
  <si>
    <t>AGAR PLATE - SUCROSE XV</t>
  </si>
  <si>
    <t>LAB-00387</t>
  </si>
  <si>
    <t>AGAR PLATE - WCA</t>
  </si>
  <si>
    <t>LAB-00388</t>
  </si>
  <si>
    <t>AGAR PLATE - WCA (ANO2)</t>
  </si>
  <si>
    <t>LAB-00389</t>
  </si>
  <si>
    <t>AGAR PLATE - XLD - MAST</t>
  </si>
  <si>
    <t>LAB-00390</t>
  </si>
  <si>
    <t>AGAR POWDER - CLED MEDIUM AG (W/BROMOTHYMOL) HIMEDIA</t>
  </si>
  <si>
    <t>LAB-00391</t>
  </si>
  <si>
    <t>AGAR POWDER - COLUMBIA - BASE 500G</t>
  </si>
  <si>
    <t>LAB-00392</t>
  </si>
  <si>
    <t>AGAR POWDER - MACCONKEY WITH CV - 500G</t>
  </si>
  <si>
    <t>LAB-00393</t>
  </si>
  <si>
    <t>AGAR POWDER - MACCONKEY WITHOUT SALT - 500G</t>
  </si>
  <si>
    <t>LAB-00394</t>
  </si>
  <si>
    <t>AGAR POWDER - MUELLER HINTON - 500G HIMEDIA</t>
  </si>
  <si>
    <t>LAB-00395</t>
  </si>
  <si>
    <t>AGAR POWDER - SABAURANDS - 500G</t>
  </si>
  <si>
    <t>LAB-00396</t>
  </si>
  <si>
    <t>AGAR POWDER - SABOURAUD DEXTROSE - 500G</t>
  </si>
  <si>
    <t>LAB-00397</t>
  </si>
  <si>
    <t>AGAR POWDER - SABOURAUD CHLORAMPHENICOL DEXTROSE HIMEDIA</t>
  </si>
  <si>
    <t>LAB-00398</t>
  </si>
  <si>
    <t>AGAR URISELECT</t>
  </si>
  <si>
    <t>LAB-00399</t>
  </si>
  <si>
    <t>AGFA FILM DRYSTAR (10X12)</t>
  </si>
  <si>
    <t>LAB-00400</t>
  </si>
  <si>
    <t>AIM TAB REAGENT TABS 36'S</t>
  </si>
  <si>
    <t>LAB-00401</t>
  </si>
  <si>
    <t>ANAEROBIC JAR</t>
  </si>
  <si>
    <t>LAB-00402</t>
  </si>
  <si>
    <t>ANAEROPACK - CO2</t>
  </si>
  <si>
    <t>LAB-00403</t>
  </si>
  <si>
    <t>ANTI HUMAN GLOBULIN (AHG)</t>
  </si>
  <si>
    <t>LAB-00404</t>
  </si>
  <si>
    <t>ANTIGEN SALM TYPHI H 5ML</t>
  </si>
  <si>
    <t>LAB-00405</t>
  </si>
  <si>
    <t>ANTIGEN SALM TYPHI O 5ML</t>
  </si>
  <si>
    <t>LAB-00406</t>
  </si>
  <si>
    <t>ANTI-HUMAN GLOBULIN</t>
  </si>
  <si>
    <t>LAB-00407</t>
  </si>
  <si>
    <t>APTT RGT SYNTHAFAX HEMO</t>
  </si>
  <si>
    <t>LAB-00408</t>
  </si>
  <si>
    <t>ACID WASH SOLUTION (BTL/500ML) - IMMUNOASSAY REAGENT</t>
  </si>
  <si>
    <t>LAB-00409</t>
  </si>
  <si>
    <t>PRE-TRIGGER SOLUTION (BTL/975ML) - IMMUNOASSAY REAGENT</t>
  </si>
  <si>
    <t>LAB-00410</t>
  </si>
  <si>
    <t>SAMPLE CUPS (PACK/250 EACH) - IMMUNOASSAY REAGENT</t>
  </si>
  <si>
    <t>LAB-00411</t>
  </si>
  <si>
    <t>SEPTUMS - IMMUNOASSAY REAGENT</t>
  </si>
  <si>
    <t>LAB-00412</t>
  </si>
  <si>
    <t>TRIGGER SOLUTION (BTL/975 ML) - IMMUNOASSAY REAGENT</t>
  </si>
  <si>
    <t>LAB-00413</t>
  </si>
  <si>
    <t>ACTIVE VITAMIN B12 CALIBRATOR - IMMUNOASSAY REAGENT</t>
  </si>
  <si>
    <t>LAB-00414</t>
  </si>
  <si>
    <t>AFP CALIBRATOR - IMMUNOASSAY REAGENT</t>
  </si>
  <si>
    <t>LAB-00415</t>
  </si>
  <si>
    <t>AFP REAGENT (100T) - IMMUNOASSAY REAGENT</t>
  </si>
  <si>
    <t>LAB-00416</t>
  </si>
  <si>
    <t>BHCG CALIBRATOR - IMMUNOASSAY REAGENT</t>
  </si>
  <si>
    <t>LAB-00417</t>
  </si>
  <si>
    <t>BHCG REAGENT - IMMUNOASSAY REAGENT</t>
  </si>
  <si>
    <t>LAB-00418</t>
  </si>
  <si>
    <t>CA125 CALIBRATOR - IMMUNOASSAY REAGENT</t>
  </si>
  <si>
    <t>LAB-00419</t>
  </si>
  <si>
    <t>CA125 REAGENT - IMMUNOASSAY REAGENT</t>
  </si>
  <si>
    <t>LAB-00420</t>
  </si>
  <si>
    <t>CA15-3 CALIBRATOR - IMMUNOASSAY REAGENT</t>
  </si>
  <si>
    <t>LAB-00421</t>
  </si>
  <si>
    <t>CA15-3 REAGENT (100T) - IMMUNOASSAY REAGENT</t>
  </si>
  <si>
    <t>LAB-00422</t>
  </si>
  <si>
    <t>CA19-9 CALIBRATOR - IMMUNOASSAY REAGENT</t>
  </si>
  <si>
    <t>LAB-00423</t>
  </si>
  <si>
    <t>CA19-9 REAGENT - IMMUNOASSAY REAGENT</t>
  </si>
  <si>
    <t>LAB-00424</t>
  </si>
  <si>
    <t>CEA CALIBRATOR - IMMUNOASSAY REAGENT</t>
  </si>
  <si>
    <t>LAB-00425</t>
  </si>
  <si>
    <t>CEA REAGENT - IMMUNOASSAY REAGENT</t>
  </si>
  <si>
    <t>LAB-00426</t>
  </si>
  <si>
    <t>CONC WASH BUFFER (BTL) - IMMUNOASSAY REAGENT</t>
  </si>
  <si>
    <t>LAB-00427</t>
  </si>
  <si>
    <t>ESTRADIOL CALIBRATOR - IMMUNOASSAY REAGENT</t>
  </si>
  <si>
    <t>LAB-00428</t>
  </si>
  <si>
    <t>ESTRADIOL REAGENT - IMMUNOASSAY REAGENT</t>
  </si>
  <si>
    <t>LAB-00429</t>
  </si>
  <si>
    <t>FREE PSA CALIBRATOR - IMMUNOASSAY REAGENT</t>
  </si>
  <si>
    <t>LAB-00430</t>
  </si>
  <si>
    <t>FREE PSA REAGENT - IMMUNOASSAY REAGENT</t>
  </si>
  <si>
    <t>LAB-00431</t>
  </si>
  <si>
    <t>LAB-00432</t>
  </si>
  <si>
    <t>FREE T3 REAGENT - IMMUNOASSAY REAGENT</t>
  </si>
  <si>
    <t>LAB-00433</t>
  </si>
  <si>
    <t>LAB-00434</t>
  </si>
  <si>
    <t>FREE T4 REAGENT - IMMUNOASSAY REAGENT</t>
  </si>
  <si>
    <t>LAB-00435</t>
  </si>
  <si>
    <t>LAB-00436</t>
  </si>
  <si>
    <t>FSH REAGENT - IMMUNOASSAY REAGENT</t>
  </si>
  <si>
    <t>LAB-00437</t>
  </si>
  <si>
    <t>HBSAG CONTROL - IMMUNOASSAY REAGENT</t>
  </si>
  <si>
    <t>LAB-00438</t>
  </si>
  <si>
    <t>HBSAG QUANTITATIVE REAGENT - IMMUNOASSAY REAGENT</t>
  </si>
  <si>
    <t>LAB-00439</t>
  </si>
  <si>
    <t>HIV AG/AB QUALITATIVE CONTROL - IMMUNOASSAY REAGENT</t>
  </si>
  <si>
    <t>LAB-00440</t>
  </si>
  <si>
    <t>HIV AG/AB QUANTITATIVE CALIBRATOR - IMMUNOASSAY REAGENT</t>
  </si>
  <si>
    <t>LAB-00441</t>
  </si>
  <si>
    <t>HIV AG/AB QUANTITATIVE REAGENT - IMMUNOASSAY REAGENT</t>
  </si>
  <si>
    <t>LAB-00442</t>
  </si>
  <si>
    <t>HIV AG/AB QUALITATIVE REAGENT - IMMUNOASSAY REAGENT</t>
  </si>
  <si>
    <t>LAB-00443</t>
  </si>
  <si>
    <t>LAB-00444</t>
  </si>
  <si>
    <t>LH REAGENT - IMMUNOASSAY REAGENT</t>
  </si>
  <si>
    <t>LAB-00445</t>
  </si>
  <si>
    <t>MULTICHEM IA PLUS TRI LVL - IMMUNOASSAY REAGENT</t>
  </si>
  <si>
    <t>LAB-00446</t>
  </si>
  <si>
    <t>PROBE CONDITIONING SOLUTION (BTL/25ML) - IMMUNOASSAY REAGENT</t>
  </si>
  <si>
    <t>LAB-00447</t>
  </si>
  <si>
    <t>PROGESTERONE CALIBRATOR - IMMUNOASSAY REAGENT</t>
  </si>
  <si>
    <t>LAB-00448</t>
  </si>
  <si>
    <t>PROGESTERONE REAGENT - IMMUNOASSAY REAGENT</t>
  </si>
  <si>
    <t>LAB-00449</t>
  </si>
  <si>
    <t>LAB-00450</t>
  </si>
  <si>
    <t>PROLACTIN REAGENT - IMMUNOASSAY REAGENT</t>
  </si>
  <si>
    <t>LAB-00451</t>
  </si>
  <si>
    <t>REACTION VESSELS - IMMUNOASSAY REAGENT</t>
  </si>
  <si>
    <t>LAB-00452</t>
  </si>
  <si>
    <t>LAB-00453</t>
  </si>
  <si>
    <t>TESTOSTERONE REAGENT - IMMUNOASSAY REAGENT</t>
  </si>
  <si>
    <t>LAB-00454</t>
  </si>
  <si>
    <t>LAB-00455</t>
  </si>
  <si>
    <t>TOTAL PSA REAGENT - IMMUNOASSAY REAGENT</t>
  </si>
  <si>
    <t>LAB-00456</t>
  </si>
  <si>
    <t>LAB-00457</t>
  </si>
  <si>
    <t>TSH REAGENT - IMMUNOASSAY REAGENT</t>
  </si>
  <si>
    <t>LAB-00458</t>
  </si>
  <si>
    <t>VITAMIN B12 CALIBRATOR - IMMUNOASSAY REAGENT</t>
  </si>
  <si>
    <t>LAB-00459</t>
  </si>
  <si>
    <t>VITAMIN B12 REAGENT - IMMUNOASSAY REAGENT</t>
  </si>
  <si>
    <t>LAB-00460</t>
  </si>
  <si>
    <t>VITAMIN D CALIBRATOR - IMMUNOASSAY REAGENT</t>
  </si>
  <si>
    <t>LAB-00461</t>
  </si>
  <si>
    <t>VITAMIN D REAGENT (CART/100T) - IMMUNOASSAY REAGENT</t>
  </si>
  <si>
    <t>LAB-00462</t>
  </si>
  <si>
    <t>WASH BUFFER PREP CONTAINER - IMMUNOASSAY REAGENT</t>
  </si>
  <si>
    <t>LAB-00463</t>
  </si>
  <si>
    <t>ASO KIT</t>
  </si>
  <si>
    <t>LAB-00464</t>
  </si>
  <si>
    <t>ASPIRATE PROBES - IMMUNOASSAY REAGENT</t>
  </si>
  <si>
    <t>LAB-00465</t>
  </si>
  <si>
    <t>AT2 ESR PIPETTE STAND</t>
  </si>
  <si>
    <t>LAB-00466</t>
  </si>
  <si>
    <t>MICROBIOLOGICAL REFERENCE STRAIN - BACTEROIDES FRAGILI (25285)</t>
  </si>
  <si>
    <t>LAB-00467</t>
  </si>
  <si>
    <t>MICROBIOLOGICAL REFERENCE STRAIN - CAMPLY.JEJUNI SUBSP JEJ 3</t>
  </si>
  <si>
    <t>LAB-00468</t>
  </si>
  <si>
    <t>MICROBIOLOGICAL REFERENCE STRAIN - CANDIDA ABLICANS 66027</t>
  </si>
  <si>
    <t>LAB-00469</t>
  </si>
  <si>
    <t>MICROBIOLOGICAL REFERENCE STRAIN - CANDIDA TROPICALIS 66029</t>
  </si>
  <si>
    <t>LAB-00470</t>
  </si>
  <si>
    <t>MICROBIOLOGICAL REFERENCE STRAIN - E COLI (25922) 2PK</t>
  </si>
  <si>
    <t>LAB-00471</t>
  </si>
  <si>
    <t>MICROBIOLOGICAL REFERENCE STRAIN - E COLI (35218) 2PK</t>
  </si>
  <si>
    <t>LAB-00472</t>
  </si>
  <si>
    <t>MICROBIOLOGICAL REFERENCE STRAIN - E FAECALIS (29212) 2PK</t>
  </si>
  <si>
    <t>LAB-00473</t>
  </si>
  <si>
    <t>MICROBIOLOGICAL REFERENCE STRAIN - H INFLUENZAE (49247) 2PK</t>
  </si>
  <si>
    <t>LAB-00474</t>
  </si>
  <si>
    <t>MICROBIOLOGICAL REFERENCE STRAIN - LYFO+B.SUBTILIS (6633)2PK</t>
  </si>
  <si>
    <t>LAB-00475</t>
  </si>
  <si>
    <t>MICROBIOLOGICAL REFERENCE STRAIN - LYFO+S. PYOGENES 19615 2PK</t>
  </si>
  <si>
    <t>LAB-00476</t>
  </si>
  <si>
    <t>MICROBIOLOGICAL REFERENCE STRAIN - LYFO+S.AGALACTIAE 12386 2PK</t>
  </si>
  <si>
    <t>LAB-00477</t>
  </si>
  <si>
    <t>MICROBIOLOGICAL REFERENCE STRAIN - NEISSERIA GONORRHOE (49226)</t>
  </si>
  <si>
    <t>LAB-00478</t>
  </si>
  <si>
    <t>MICROBIOLOGICAL REFERENCE STRAIN - P AERUGINOSA (27853) 2PK</t>
  </si>
  <si>
    <t>LAB-00479</t>
  </si>
  <si>
    <t>MICROBIOLOGICAL REFERENCE STRAIN - PROTEUS MIRABILLS 35659</t>
  </si>
  <si>
    <t>LAB-00480</t>
  </si>
  <si>
    <t>MICROBIOLOGICAL REFERENCE STRAIN - S PNEUMONIAE (49619) 2PK</t>
  </si>
  <si>
    <t>LAB-00481</t>
  </si>
  <si>
    <t>MICROBIOLOGICAL REFERENCE STRAIN - STAPHYLOCOCCUS AUREUS 25923</t>
  </si>
  <si>
    <t>LAB-00482</t>
  </si>
  <si>
    <t>AUTO EXTRACTION KIT</t>
  </si>
  <si>
    <t>LAB-00483</t>
  </si>
  <si>
    <t>AUTOCLAVE - 1000ML BOTTLE</t>
  </si>
  <si>
    <t>LAB-00484</t>
  </si>
  <si>
    <t>AUTOCLAVE - 500ML BOTTLE</t>
  </si>
  <si>
    <t>LAB-00485</t>
  </si>
  <si>
    <t>AUTOCLAVE - TAPE BROWN</t>
  </si>
  <si>
    <t>LAB-00486</t>
  </si>
  <si>
    <t>BAGS - COURIER - ZIPLOCK</t>
  </si>
  <si>
    <t>LAB-00487</t>
  </si>
  <si>
    <t>BAGS - REPORT - LANCET</t>
  </si>
  <si>
    <t>LAB-00488</t>
  </si>
  <si>
    <t>BARCODE PRINTER RIBBON</t>
  </si>
  <si>
    <t>LAB-00489</t>
  </si>
  <si>
    <t>BASE MOULD T/TEK 15X15X5MM</t>
  </si>
  <si>
    <t>LAB-00490</t>
  </si>
  <si>
    <t>BASE MOULD T/TEK 30X24X5MM</t>
  </si>
  <si>
    <t>LAB-00491</t>
  </si>
  <si>
    <t>ALBUMIN R1 4X54 ML (2480 TESTS) - CHEMISTRY REAGENT</t>
  </si>
  <si>
    <t>LAB-00492</t>
  </si>
  <si>
    <t>ALP (3280 TESTS) - CHEMISTRY REAGENT</t>
  </si>
  <si>
    <t>LAB-00493</t>
  </si>
  <si>
    <t>ALPHA AMYLASE (1600 TESTS) - CHEMISTRY REAGENT</t>
  </si>
  <si>
    <t>LAB-00494</t>
  </si>
  <si>
    <t>AMYLASE (240 TESTS) - CHEMISTRY REAGENT</t>
  </si>
  <si>
    <t>LAB-00495</t>
  </si>
  <si>
    <t>AST (3920 TESTS) - CHEMISTRY REAGENT</t>
  </si>
  <si>
    <t>LAB-00496</t>
  </si>
  <si>
    <t>PM KITS - CHEMISTRY REAGENT</t>
  </si>
  <si>
    <t>LAB-00497</t>
  </si>
  <si>
    <t>BICARBONATE CALIBRATOR - CHEMISTRY REAGENT</t>
  </si>
  <si>
    <t>LAB-00498</t>
  </si>
  <si>
    <t>BICARBONATE R1 4X25 ML (2320 TESTS) - CHEMISTRY REAGENT</t>
  </si>
  <si>
    <t>LAB-00499</t>
  </si>
  <si>
    <t>CALCIUM (2800 TESTS) - CHEMISTRY REAGENT</t>
  </si>
  <si>
    <t>LAB-00500</t>
  </si>
  <si>
    <t>CALCIUM ARSENAZO (2800 TESTS) - CHEMISTRY REAGENT</t>
  </si>
  <si>
    <t>LAB-00501</t>
  </si>
  <si>
    <t>CHLORIDE ELECTRODE AT - CHEMISTRY REAGENT</t>
  </si>
  <si>
    <t>LAB-00502</t>
  </si>
  <si>
    <t>CHOLESTEROL (3640 TESTS) - CHEMISTRY REAGENT</t>
  </si>
  <si>
    <t>LAB-00503</t>
  </si>
  <si>
    <t>CK (NAC) - (920 TESTS) - CHEMISTRY REAGENT</t>
  </si>
  <si>
    <t>LAB-00504</t>
  </si>
  <si>
    <t>CLEANING SOLUTION - CHEMISTRY REAGENT</t>
  </si>
  <si>
    <t>LAB-00505</t>
  </si>
  <si>
    <t>CONTROL SERUM 1 - CHEMISTRY REAGENT</t>
  </si>
  <si>
    <t>LAB-00506</t>
  </si>
  <si>
    <t>CONTROL SERUM 2 - CHEMISTRY REAGENT</t>
  </si>
  <si>
    <t>LAB-00507</t>
  </si>
  <si>
    <t>CREATININE (3960 TESTS) - CHEMISTRY REAGENT</t>
  </si>
  <si>
    <t>LAB-00508</t>
  </si>
  <si>
    <t>CRP LATEX - CHEMISTRY REAGENT</t>
  </si>
  <si>
    <t>LAB-00509</t>
  </si>
  <si>
    <t>CRP LATEX CALIBRATOR NORMAL - CHEMISTRY REAGENT</t>
  </si>
  <si>
    <t>LAB-00510</t>
  </si>
  <si>
    <t>CRP LATEX CONTROL SERA - CHEMISTRY REAGENT</t>
  </si>
  <si>
    <t>LAB-00511</t>
  </si>
  <si>
    <t>CUVETTES 6X5MM - CHEMISTRY REAGENT</t>
  </si>
  <si>
    <t>LAB-00512</t>
  </si>
  <si>
    <t>CUVETTES 5X5MM - CHEMISTRY REAGENT</t>
  </si>
  <si>
    <t>LAB-00513</t>
  </si>
  <si>
    <t>D-DIMER CALIBRATOR (LEVEL 1-2) - CHEMISTRY REAGENT</t>
  </si>
  <si>
    <t>LAB-00514</t>
  </si>
  <si>
    <t>DI FILTER GAC CHARCOAL - CHEMISTRY REAGENT</t>
  </si>
  <si>
    <t>LAB-00515</t>
  </si>
  <si>
    <t>HAEMATOLOGY ANALYSER CONSUMABLE - CALIBRATORS</t>
  </si>
  <si>
    <t>LAB-00516</t>
  </si>
  <si>
    <t>HAEMATOLOGY ANALYSER CONSUMABLE - CELL LYSE 5L</t>
  </si>
  <si>
    <t>LAB-00517</t>
  </si>
  <si>
    <t>HAEMATOLOGY ANALYSER CONSUMABLE - CLEANER 5L</t>
  </si>
  <si>
    <t>LAB-00518</t>
  </si>
  <si>
    <t>HAEMATOLOGY ANALYSER CONSUMABLE - DIFF PACK</t>
  </si>
  <si>
    <t>LAB-00519</t>
  </si>
  <si>
    <t>LAB-00520</t>
  </si>
  <si>
    <t>HAEMATOLOGY ANALYSER CONSUMABLE - RETIC PACK</t>
  </si>
  <si>
    <t>LAB-00521</t>
  </si>
  <si>
    <t>HAEMATOLOGY ANALYSER CONSUMABLE - 6C CELL CONTROL</t>
  </si>
  <si>
    <t>LAB-00522</t>
  </si>
  <si>
    <t>HAEMATOLOGY ANALYSER CONSUMABLE - S-CAL</t>
  </si>
  <si>
    <t>LAB-00523</t>
  </si>
  <si>
    <t>HAEMATOLOGY ANALYSER CONSUMABLE - RETIC-X CELL CONTROL</t>
  </si>
  <si>
    <t>LAB-00524</t>
  </si>
  <si>
    <t>GGT - CHEMISTRY REAGENT</t>
  </si>
  <si>
    <t>LAB-00525</t>
  </si>
  <si>
    <t>GLUCOSE - CHEMISTRY REAGENT</t>
  </si>
  <si>
    <t>LAB-00526</t>
  </si>
  <si>
    <t>HDL CALIBRATOR - CHEMISTRY REAGENT</t>
  </si>
  <si>
    <t>LAB-00527</t>
  </si>
  <si>
    <t>HDL/LDL-C CONTROL SERUM - CHEMISTRY REAGENT</t>
  </si>
  <si>
    <t>LAB-00528</t>
  </si>
  <si>
    <t>HDL CHOLESTEROL - CHEMISTRY REAGENT</t>
  </si>
  <si>
    <t>LAB-00529</t>
  </si>
  <si>
    <t>ION-EXCHANGE CARTRIDGE - CHEMISTRY REAGENT</t>
  </si>
  <si>
    <t>LAB-00530</t>
  </si>
  <si>
    <t>IRON - CHEMISTRY REAGENT</t>
  </si>
  <si>
    <t>LAB-00531</t>
  </si>
  <si>
    <t>ISE BUFFER 4X2000 ML - CHEMISTRY REAGENT</t>
  </si>
  <si>
    <t>LAB-00532</t>
  </si>
  <si>
    <t>ISE HIGH SERUM STANDARD - CHEMISTRY REAGENT</t>
  </si>
  <si>
    <t>LAB-00533</t>
  </si>
  <si>
    <t>ISE INTERNAL REFERENCE - CHEMISTRY REAGENT</t>
  </si>
  <si>
    <t>LAB-00534</t>
  </si>
  <si>
    <t>ISE LOW SERUM STANDARD - CHEMISTRY REAGENT</t>
  </si>
  <si>
    <t>LAB-00535</t>
  </si>
  <si>
    <t>ISE REFERENCE 4X1000 ML - CHEMISTRY REAGENT</t>
  </si>
  <si>
    <t>LAB-00536</t>
  </si>
  <si>
    <t>ISE TUBE SET - CHEMISTRY REAGENT</t>
  </si>
  <si>
    <t>LAB-00537</t>
  </si>
  <si>
    <t>ANALYSER CONSUMABLE - LATRON CP-X</t>
  </si>
  <si>
    <t>LAB-00538</t>
  </si>
  <si>
    <t>LDH - CHEMISTRY REAGENT</t>
  </si>
  <si>
    <t>LAB-00539</t>
  </si>
  <si>
    <t>LIPASE - CALIBRATOR INCLUDED - CHEMISTRY REAGENT</t>
  </si>
  <si>
    <t>LAB-00540</t>
  </si>
  <si>
    <t>MAGNESIUM - CHEMISTRY REAGENT</t>
  </si>
  <si>
    <t>LAB-00541</t>
  </si>
  <si>
    <t>WATER PURIFICATION SYSTEM CONSUMABLE - MICRON FILTER 2X5/ANTI-BAC</t>
  </si>
  <si>
    <t>LAB-00542</t>
  </si>
  <si>
    <t>MIXING BAR SPIRAL - CHEMISTRY REAGENT</t>
  </si>
  <si>
    <t>LAB-00543</t>
  </si>
  <si>
    <t>MIXING ROD (3PCS/SET) L SHA - CHEMISTRY REAGENT</t>
  </si>
  <si>
    <t>LAB-00544</t>
  </si>
  <si>
    <t>OSR BOTTLE KIT - CHEMISTRY REAGENT</t>
  </si>
  <si>
    <t>LAB-00545</t>
  </si>
  <si>
    <t>PHOSPHORUS INORG - CHEMISTRY REAGENT</t>
  </si>
  <si>
    <t>LAB-00546</t>
  </si>
  <si>
    <t>PHOTOMETER LAMP 12V 20W - CHEMISTRY REAGENT</t>
  </si>
  <si>
    <t>LAB-00547</t>
  </si>
  <si>
    <t>PINBC AU480 - PINCH VALVE TUBING - CHEMISTRY REAGENT</t>
  </si>
  <si>
    <t>LAB-00548</t>
  </si>
  <si>
    <t>POTASSIUM ELECTRODE AT - CHEMISTRY REAGENT</t>
  </si>
  <si>
    <t>LAB-00549</t>
  </si>
  <si>
    <t>REAGENT PROBE - CHEMISTRY REAGENT</t>
  </si>
  <si>
    <t>LAB-00550</t>
  </si>
  <si>
    <t>REAGENT SYRINGE - CHEMISTRY REAGENT</t>
  </si>
  <si>
    <t>LAB-00551</t>
  </si>
  <si>
    <t>REFERENCE ELECTRODE - CHEMISTRY REAGENT</t>
  </si>
  <si>
    <t>LAB-00552</t>
  </si>
  <si>
    <t>ROLLER TUBE - CHEMISTRY REAGENT</t>
  </si>
  <si>
    <t>LAB-00553</t>
  </si>
  <si>
    <t>SAMPLE PROBE - CHEMISTRY REAGENT</t>
  </si>
  <si>
    <t>LAB-00554</t>
  </si>
  <si>
    <t>SAMPLE SYRINGE - CHEMISTRY REAGENT</t>
  </si>
  <si>
    <t>LAB-00555</t>
  </si>
  <si>
    <t>SERUM PROTEIN MULTI CALIBRATOR - CHEMISTRY REAGENT</t>
  </si>
  <si>
    <t>LAB-00556</t>
  </si>
  <si>
    <t>SODIUM ELECTRODE AT - CHEMISTRY REAGENT</t>
  </si>
  <si>
    <t>LAB-00557</t>
  </si>
  <si>
    <t>SYSTEM CALIBRATOR - CHEMISTRY REAGENT</t>
  </si>
  <si>
    <t>LAB-00558</t>
  </si>
  <si>
    <t>TOTAL BILIRUBIN - CHEMISTRY REAGENT</t>
  </si>
  <si>
    <t>LAB-00559</t>
  </si>
  <si>
    <t>TOTAL PROTEIN - CHEMISTRY REAGENT</t>
  </si>
  <si>
    <t>LAB-00560</t>
  </si>
  <si>
    <t>TRANSFERRIN - CHEMISTRY REAGENT</t>
  </si>
  <si>
    <t>LAB-00561</t>
  </si>
  <si>
    <t>TRIGLYCERIDE - CHEMISTRY REAGENT</t>
  </si>
  <si>
    <t>LAB-00562</t>
  </si>
  <si>
    <t>BC UNICEL DXI - WASH BUFFER II 1X10L</t>
  </si>
  <si>
    <t>LAB-00563</t>
  </si>
  <si>
    <t>UREA - CHEMISTRY REAGENT</t>
  </si>
  <si>
    <t>LAB-00564</t>
  </si>
  <si>
    <t>URIC ACID - CHEMISTRY REAGENT</t>
  </si>
  <si>
    <t>LAB-00565</t>
  </si>
  <si>
    <t>URINARY/CSF PROTEIN - CHEMISTRY REAGENT</t>
  </si>
  <si>
    <t>LAB-00566</t>
  </si>
  <si>
    <t>URINE/CSF ALBUMIN - CHEMISTRY REAGENT</t>
  </si>
  <si>
    <t>LAB-00567</t>
  </si>
  <si>
    <t>URINE/CSF ALBUMIN CALS - CHEMISTRY REAGENT</t>
  </si>
  <si>
    <t>LAB-00568</t>
  </si>
  <si>
    <t>WASH SOLUTION - CHEMISTRY REAGENT</t>
  </si>
  <si>
    <t>LAB-00569</t>
  </si>
  <si>
    <t>GASPAK EZ CO2 CONTAINER SYSTEM</t>
  </si>
  <si>
    <t>LAB-00570</t>
  </si>
  <si>
    <t>HYPODERMIC NEEDLES 21G</t>
  </si>
  <si>
    <t>LAB-00571</t>
  </si>
  <si>
    <t>HYPODERMIC NEEDLES 23G</t>
  </si>
  <si>
    <t>LAB-00572</t>
  </si>
  <si>
    <t>LAB-00573</t>
  </si>
  <si>
    <t>LAB-00574</t>
  </si>
  <si>
    <t>BUTTERFLY SAFETY NEEDLES 21G</t>
  </si>
  <si>
    <t>LAB-00575</t>
  </si>
  <si>
    <t>BUTTERFLY SAFETY NEEDLES 23G</t>
  </si>
  <si>
    <t>LAB-00576</t>
  </si>
  <si>
    <t>LAB-00577</t>
  </si>
  <si>
    <t>LAB-00578</t>
  </si>
  <si>
    <t>PREPMATE CONSUME KIT</t>
  </si>
  <si>
    <t>LAB-00579</t>
  </si>
  <si>
    <t>LIQUID BASED CYTOLOGY COLLECTION KIT</t>
  </si>
  <si>
    <t>LAB-00580</t>
  </si>
  <si>
    <t>TRIS BUFFER POWDER</t>
  </si>
  <si>
    <t>LAB-00581</t>
  </si>
  <si>
    <t>EDTA COLLECTION TUBE 4ML</t>
  </si>
  <si>
    <t>LAB-00582</t>
  </si>
  <si>
    <t>LAB-00583</t>
  </si>
  <si>
    <t>VACUTAINER NEEDLES 23G (BOX/100)</t>
  </si>
  <si>
    <t>LAB-00584</t>
  </si>
  <si>
    <t>LAB-00585</t>
  </si>
  <si>
    <t>LAB-00586</t>
  </si>
  <si>
    <t>LAB-00587</t>
  </si>
  <si>
    <t>PLAIN COLLECTION TUBES 5ML (BOX/100)</t>
  </si>
  <si>
    <t>LAB-00588</t>
  </si>
  <si>
    <t>LAB-00589</t>
  </si>
  <si>
    <t>BEAKER GLASS 1L</t>
  </si>
  <si>
    <t>LAB-00590</t>
  </si>
  <si>
    <t>BEAKER GLASS 2000ML</t>
  </si>
  <si>
    <t>LAB-00591</t>
  </si>
  <si>
    <t>BENEDICTS SOLUTION</t>
  </si>
  <si>
    <t>LAB-00592</t>
  </si>
  <si>
    <t>BLADE MICROTOME TYPE S35 BX/50</t>
  </si>
  <si>
    <t>LAB-00593</t>
  </si>
  <si>
    <t>BLADE SCALPEL</t>
  </si>
  <si>
    <t>LAB-00594</t>
  </si>
  <si>
    <t>BORIC ACID</t>
  </si>
  <si>
    <t>LAB-00595</t>
  </si>
  <si>
    <t>BOTTLES - BIJOU WITH CAP 7ML</t>
  </si>
  <si>
    <t>LAB-00596</t>
  </si>
  <si>
    <t>BOTTLES - EYE WASH SCREW TOP200M</t>
  </si>
  <si>
    <t>LAB-00597</t>
  </si>
  <si>
    <t>BOTTLES - PLASTIC WASH 500ML</t>
  </si>
  <si>
    <t>LAB-00598</t>
  </si>
  <si>
    <t>BOTTLES - SCHOTT SCREW CAP 500ML</t>
  </si>
  <si>
    <t>LAB-00599</t>
  </si>
  <si>
    <t>BOTTLES - SPECIMEN + SPOON 60ML</t>
  </si>
  <si>
    <t>LAB-00600</t>
  </si>
  <si>
    <t>BOTTLES - URINE</t>
  </si>
  <si>
    <t>LAB-00601</t>
  </si>
  <si>
    <t>BOTTLES - URINE 28ML OR 60ML</t>
  </si>
  <si>
    <t>LAB-00602</t>
  </si>
  <si>
    <t>BROTH CSF</t>
  </si>
  <si>
    <t>LAB-00603</t>
  </si>
  <si>
    <t>BUNSEN BURNER</t>
  </si>
  <si>
    <t>LAB-00604</t>
  </si>
  <si>
    <t>REAGENT DISK - ADDITIONAL</t>
  </si>
  <si>
    <t>LAB-00605</t>
  </si>
  <si>
    <t>ALKALINE PHOSPHATASE REAGENT - IFCC</t>
  </si>
  <si>
    <t>LAB-00606</t>
  </si>
  <si>
    <t>ANALYSER BASIC CLEANER</t>
  </si>
  <si>
    <t>LAB-00607</t>
  </si>
  <si>
    <t>ANALYSER FUSES</t>
  </si>
  <si>
    <t>LAB-00608</t>
  </si>
  <si>
    <t>HbA1c REAGENT</t>
  </si>
  <si>
    <t>LAB-00609</t>
  </si>
  <si>
    <t>LACTATE DEHYDROGENASE (LDH) REAGENT</t>
  </si>
  <si>
    <t>LAB-00610</t>
  </si>
  <si>
    <t>LIPASE REAGENT</t>
  </si>
  <si>
    <t>LAB-00611</t>
  </si>
  <si>
    <t>PHOSPHATE REAGENT</t>
  </si>
  <si>
    <t>LAB-00612</t>
  </si>
  <si>
    <t>LAB-00613</t>
  </si>
  <si>
    <t>CLINICAL CHEMISTRY QUALITY CONTROL LEVEL 1</t>
  </si>
  <si>
    <t>LAB-00614</t>
  </si>
  <si>
    <t>CLINICAL CHEMISTRY QUALITY CONTROL LEVEL 2</t>
  </si>
  <si>
    <t>LAB-00615</t>
  </si>
  <si>
    <t>LAB-00616</t>
  </si>
  <si>
    <t>LAB-00617</t>
  </si>
  <si>
    <t>LAB-00618</t>
  </si>
  <si>
    <t>LAB-00619</t>
  </si>
  <si>
    <t>CAMPY PACK DISPOSABLE ENVELOPE</t>
  </si>
  <si>
    <t>LAB-00620</t>
  </si>
  <si>
    <t>ELECTROPHORESIS ANALYSER CONSUMABLE - PLAIN</t>
  </si>
  <si>
    <t>LAB-00621</t>
  </si>
  <si>
    <t>ELECTROPHORESIS ANALYSER CONSUMABLE - TUBE VITREX</t>
  </si>
  <si>
    <t>LAB-00622</t>
  </si>
  <si>
    <t>CARBOARD STORAGE BOX-CASSETTE</t>
  </si>
  <si>
    <t>LAB-00623</t>
  </si>
  <si>
    <t>CASSETTE EMBEDDING BLUE</t>
  </si>
  <si>
    <t>LAB-00624</t>
  </si>
  <si>
    <t>CASSETTE EMBEDDING PINK</t>
  </si>
  <si>
    <t>LAB-00625</t>
  </si>
  <si>
    <t>CASSETTE EMBEDDING WHITE (1000)</t>
  </si>
  <si>
    <t>LAB-00626</t>
  </si>
  <si>
    <t>CITRANOX - IMMUNOASSAY REAGENT</t>
  </si>
  <si>
    <t>LAB-00627</t>
  </si>
  <si>
    <t>CLEANING SOLUTION - 4X54ML</t>
  </si>
  <si>
    <t>LAB-00628</t>
  </si>
  <si>
    <t>COMBI TEN RAPID LABS</t>
  </si>
  <si>
    <t>LAB-00629</t>
  </si>
  <si>
    <t>CONFIRM ANTI-ER (SP1) - IHC REAGENT</t>
  </si>
  <si>
    <t>LAB-00630</t>
  </si>
  <si>
    <t>CONFIRM ANTI-PR (1E2) - IHC REAGENT</t>
  </si>
  <si>
    <t>LAB-00631</t>
  </si>
  <si>
    <t>CONFIRM ANTI-S100 (4C4.9) PRI - IHC REAGENT</t>
  </si>
  <si>
    <t>LAB-00632</t>
  </si>
  <si>
    <t>CONTRAD 70 1L - IMMUNOASSAY REAGENT</t>
  </si>
  <si>
    <t>LAB-00633</t>
  </si>
  <si>
    <t>CORTISOL CALIBRATOR - IMMUNOASSAY REAGENT</t>
  </si>
  <si>
    <t>LAB-00634</t>
  </si>
  <si>
    <t>COTRIMOXAZOLE</t>
  </si>
  <si>
    <t>LAB-00635</t>
  </si>
  <si>
    <t>COTTONWOOL ROLL 500G</t>
  </si>
  <si>
    <t>LAB-00636</t>
  </si>
  <si>
    <t>COUCH ROLL 2PLY (HVS)</t>
  </si>
  <si>
    <t>LAB-00637</t>
  </si>
  <si>
    <t>COUNTING CHAMBER FUCHSIN - ROSEN</t>
  </si>
  <si>
    <t>LAB-00638</t>
  </si>
  <si>
    <t>COUNTING CHAMBER NEUBAUER</t>
  </si>
  <si>
    <t>LAB-00639</t>
  </si>
  <si>
    <t>CROCEIN SCARLET 5G</t>
  </si>
  <si>
    <t>LAB-00640</t>
  </si>
  <si>
    <t>CRYOVIAL RACKS</t>
  </si>
  <si>
    <t>LAB-00641</t>
  </si>
  <si>
    <t>SAMPLE CUPS 0.5ML - CHEMISTRY REAGENT</t>
  </si>
  <si>
    <t>LAB-00642</t>
  </si>
  <si>
    <t>CYLINDER MEASURING GLASS 100ML</t>
  </si>
  <si>
    <t>LAB-00643</t>
  </si>
  <si>
    <t>CYTO BRUSH</t>
  </si>
  <si>
    <t>LAB-00644</t>
  </si>
  <si>
    <t>HbA1c ANALYSER CONSUMABLE - DUAL PROGRAM</t>
  </si>
  <si>
    <t>LAB-00645</t>
  </si>
  <si>
    <t>HbA1c ANALYSER CONSUMABLE - LYPHOCHEK A2/F CONTROL</t>
  </si>
  <si>
    <t>LAB-00646</t>
  </si>
  <si>
    <t>HbA1c ANALYSER CONSUMABLE - MICROVIALS</t>
  </si>
  <si>
    <t>LAB-00647</t>
  </si>
  <si>
    <t>HbA1c ANALYSER CONSUMABLE - PRINTING PAPER</t>
  </si>
  <si>
    <t>LAB-00648</t>
  </si>
  <si>
    <t>DI SODIUM HYDROGEN PHOSPHATE</t>
  </si>
  <si>
    <t>LAB-00649</t>
  </si>
  <si>
    <t>DIRECT BILIRUBIN 4 X 60 ML - CHEMISTRY REAGENT</t>
  </si>
  <si>
    <t>LAB-00650</t>
  </si>
  <si>
    <t>ANTIBIOTIC SENSITIVITY DISC - AMOXICILLIN</t>
  </si>
  <si>
    <t>LAB-00651</t>
  </si>
  <si>
    <t>ANTIBIOTIC SENSITIVITY DISC - AMPICILIN 10UG</t>
  </si>
  <si>
    <t>LAB-00652</t>
  </si>
  <si>
    <t>ANTIBIOTIC SENSITIVITY DISC - BACITRACIN 10UG</t>
  </si>
  <si>
    <t>LAB-00653</t>
  </si>
  <si>
    <t>ANTIBIOTIC SENSITIVITY DISC - CHLORAMPHENICOL 30UG</t>
  </si>
  <si>
    <t>LAB-00654</t>
  </si>
  <si>
    <t>ANTIBIOTIC SENSITIVITY DISC - CIPROFLOXACIN 5MG</t>
  </si>
  <si>
    <t>LAB-00655</t>
  </si>
  <si>
    <t>ANTIBIOTIC SENSITIVITY DISC - COLISTIN 10UG</t>
  </si>
  <si>
    <t>LAB-00656</t>
  </si>
  <si>
    <t>ANTIBIOTIC SENSITIVITY DISC - MINOCYCLINE 30UG</t>
  </si>
  <si>
    <t>LAB-00657</t>
  </si>
  <si>
    <t>ANTIBIOTIC SENSITIVITY DISC - MOXIFLOXACIN 5UG</t>
  </si>
  <si>
    <t>LAB-00658</t>
  </si>
  <si>
    <t>ANTIBIOTIC SENSITIVITY DISC - NALIDIXIC ACID CART</t>
  </si>
  <si>
    <t>LAB-00659</t>
  </si>
  <si>
    <t>ANTIBIOTIC SENSITIVITY DISC - NOVOBIOCIN 5UG</t>
  </si>
  <si>
    <t>LAB-00660</t>
  </si>
  <si>
    <t>ANTIBIOTIC SENSITIVITY DISC - OFLOXACIN 5MG OFX - 5</t>
  </si>
  <si>
    <t>LAB-00661</t>
  </si>
  <si>
    <t>ANTIBIOTIC SENSITIVITY DISC - OXACILLIN 1UG</t>
  </si>
  <si>
    <t>LAB-00662</t>
  </si>
  <si>
    <t>ANTIBIOTIC SENSITIVITY DISC - TAZOCIN</t>
  </si>
  <si>
    <t>LAB-00663</t>
  </si>
  <si>
    <t>ANTIBIOTIC SENSITIVITY DISC - XV FACTOR 50</t>
  </si>
  <si>
    <t>LAB-00664</t>
  </si>
  <si>
    <t>DISPENSER REFILL WATER CWAY</t>
  </si>
  <si>
    <t>LAB-00665</t>
  </si>
  <si>
    <t>DISPOSABLE LAB COAT - LARGE</t>
  </si>
  <si>
    <t>LAB-00666</t>
  </si>
  <si>
    <t>DISPOSABLE LAB COAT - MEDIUM</t>
  </si>
  <si>
    <t>LAB-00667</t>
  </si>
  <si>
    <t>DISPOSABLE SPECULUM</t>
  </si>
  <si>
    <t>LAB-00668</t>
  </si>
  <si>
    <t>DISSECTION KIT</t>
  </si>
  <si>
    <t>LAB-00669</t>
  </si>
  <si>
    <t>DNS/RNA SHIELD</t>
  </si>
  <si>
    <t>LAB-00670</t>
  </si>
  <si>
    <t>DOC LAMINATE A4</t>
  </si>
  <si>
    <t>LAB-00671</t>
  </si>
  <si>
    <t>EA 50 1LTR</t>
  </si>
  <si>
    <t>LAB-00672</t>
  </si>
  <si>
    <t>EEQA HAEMATOLOGY SAMPLE</t>
  </si>
  <si>
    <t>LAB-00673</t>
  </si>
  <si>
    <t>ELEASTOPLAST PLASTER</t>
  </si>
  <si>
    <t>LAB-00674</t>
  </si>
  <si>
    <t>LAB-00675</t>
  </si>
  <si>
    <t>ASSAY TIP 2010 - IMMUNOASSAY REAGENT</t>
  </si>
  <si>
    <t>LAB-00676</t>
  </si>
  <si>
    <t>CEA - IMMUNOASSAY REAGENT</t>
  </si>
  <si>
    <t>LAB-00677</t>
  </si>
  <si>
    <t>LAB-00678</t>
  </si>
  <si>
    <t>LAB-00679</t>
  </si>
  <si>
    <t>FT4 CALIBRATOR - IMMUNOASSAY REAGENT</t>
  </si>
  <si>
    <t>LAB-00680</t>
  </si>
  <si>
    <t>IGE - IMMUNOASSAY REAGENT</t>
  </si>
  <si>
    <t>LAB-00681</t>
  </si>
  <si>
    <t>IGE CALIBRATOR - IMMUNOASSAY REAGENT</t>
  </si>
  <si>
    <t>LAB-00682</t>
  </si>
  <si>
    <t>PINCH TUBING - IMMUNOASSAY REAGENT</t>
  </si>
  <si>
    <t>LAB-00683</t>
  </si>
  <si>
    <t>LAB-00684</t>
  </si>
  <si>
    <t>SYSCLEAN ADAPTER M - IMMUNOASSAY REAGENT</t>
  </si>
  <si>
    <t>LAB-00685</t>
  </si>
  <si>
    <t>TESTOSTERONE (100T) - IMMUNOASSAY REAGENT</t>
  </si>
  <si>
    <t>LAB-00686</t>
  </si>
  <si>
    <t>LAB-00687</t>
  </si>
  <si>
    <t>VITAMIN B12 - IMMUNOASSAY REAGENT</t>
  </si>
  <si>
    <t>LAB-00688</t>
  </si>
  <si>
    <t>WATER PURIFICATION SYSTEM CONSUMABLE - DESINFECTION TABLETS CT1</t>
  </si>
  <si>
    <t>LAB-00689</t>
  </si>
  <si>
    <t>WATER PURIFICATION SYSTEM CONSUMABLE - LC136 M2 VENT FILTER</t>
  </si>
  <si>
    <t>LAB-00690</t>
  </si>
  <si>
    <t>ENTELLAN 500ML</t>
  </si>
  <si>
    <t>LAB-00691</t>
  </si>
  <si>
    <t>ENTELLAN RAPID MOUNTING MED</t>
  </si>
  <si>
    <t>LAB-00692</t>
  </si>
  <si>
    <t>ENVELOPES - C4 DO NOT OPEN</t>
  </si>
  <si>
    <t>LAB-00693</t>
  </si>
  <si>
    <t>EOSIN 5% 100ML</t>
  </si>
  <si>
    <t>LAB-00694</t>
  </si>
  <si>
    <t>EOSIN Y 1LTR</t>
  </si>
  <si>
    <t>LAB-00695</t>
  </si>
  <si>
    <t>EOSIN YELLOW 25G</t>
  </si>
  <si>
    <t>LAB-00696</t>
  </si>
  <si>
    <t>EPPENDORF TUBES</t>
  </si>
  <si>
    <t>LAB-00697</t>
  </si>
  <si>
    <t>EPPENDORF TUBES - 1.5 ML</t>
  </si>
  <si>
    <t>LAB-00698</t>
  </si>
  <si>
    <t>EQA - HIGH SENSITIVITY CRP</t>
  </si>
  <si>
    <t>LAB-00699</t>
  </si>
  <si>
    <t>ESR KIT BILBATE MICRO</t>
  </si>
  <si>
    <t>LAB-00700</t>
  </si>
  <si>
    <t>MIC E-TEST STRIP - BENZYLPENICILIN LOW</t>
  </si>
  <si>
    <t>LAB-00701</t>
  </si>
  <si>
    <t>MIC E-TEST STRIP - CEFTRIAXONE (LOW RANGE)</t>
  </si>
  <si>
    <t>LAB-00702</t>
  </si>
  <si>
    <t>MIC E-TEST STRIP - ERTAPENEM 32 WW B30</t>
  </si>
  <si>
    <t>LAB-00703</t>
  </si>
  <si>
    <t>MIC E-TEST STRIP - IMIPENEM IP 32 WW S30</t>
  </si>
  <si>
    <t>LAB-00704</t>
  </si>
  <si>
    <t>MIC E-TEST STRIP - TEICOPLANIN TP 256 WW</t>
  </si>
  <si>
    <t>LAB-00705</t>
  </si>
  <si>
    <t>MIC E-TEST STRIP - VANCOMYCIN</t>
  </si>
  <si>
    <t>LAB-00706</t>
  </si>
  <si>
    <t>ETHANOL 2.5L</t>
  </si>
  <si>
    <t>LAB-00707</t>
  </si>
  <si>
    <t>ETHANOL XXL</t>
  </si>
  <si>
    <t>LAB-00708</t>
  </si>
  <si>
    <t>FACE MASK 3 PLY</t>
  </si>
  <si>
    <t>LAB-00709</t>
  </si>
  <si>
    <t>FERRIC CHLORIDE 500G</t>
  </si>
  <si>
    <t>LAB-00710</t>
  </si>
  <si>
    <t>FILTER PAPER 11CM</t>
  </si>
  <si>
    <t>LAB-00711</t>
  </si>
  <si>
    <t>FILTER PIPETTE TIPS 5-200µL</t>
  </si>
  <si>
    <t>LAB-00712</t>
  </si>
  <si>
    <t>FILTER PIPETTE TIPS 50-1000µL</t>
  </si>
  <si>
    <t>LAB-00713</t>
  </si>
  <si>
    <t>FLOAT/HANDOVER CONTROL</t>
  </si>
  <si>
    <t>LAB-00714</t>
  </si>
  <si>
    <t>FOIL PAPER</t>
  </si>
  <si>
    <t>LAB-00715</t>
  </si>
  <si>
    <t>FORCEPS BLUNT EDGE 16CM</t>
  </si>
  <si>
    <t>LAB-00716</t>
  </si>
  <si>
    <t>FORCEPS SHARP END 15CM</t>
  </si>
  <si>
    <t>LAB-00717</t>
  </si>
  <si>
    <t>FORM - DOCTORS - PAD 100 SHEETS</t>
  </si>
  <si>
    <t>LAB-00718</t>
  </si>
  <si>
    <t>FORM - PATIENT REGISTER</t>
  </si>
  <si>
    <t>LAB-00719</t>
  </si>
  <si>
    <t>FORM - REPORT PAPER</t>
  </si>
  <si>
    <t>LAB-00720</t>
  </si>
  <si>
    <t>FORM - REQUEST</t>
  </si>
  <si>
    <t>LAB-00721</t>
  </si>
  <si>
    <t>FORM - REQUEST - COVID19</t>
  </si>
  <si>
    <t>LAB-00722</t>
  </si>
  <si>
    <t>FORM - REQUEST - DRUG TEST CUP</t>
  </si>
  <si>
    <t>LAB-00723</t>
  </si>
  <si>
    <t>FORMALDEHYDE FILTER (EACH)</t>
  </si>
  <si>
    <t>LAB-00724</t>
  </si>
  <si>
    <t>FORMALIN (FORMALDEHYDE 40%)</t>
  </si>
  <si>
    <t>LAB-00725</t>
  </si>
  <si>
    <t>FRIDGE GOODS STORE 2-8 LABEL</t>
  </si>
  <si>
    <t>LAB-00726</t>
  </si>
  <si>
    <t>FS KIT VALVE ROTOR</t>
  </si>
  <si>
    <t>LAB-00727</t>
  </si>
  <si>
    <t>DRY CHEMISTRY REAGENT - BUNPIIIS 24 1 JEX</t>
  </si>
  <si>
    <t>LAB-00728</t>
  </si>
  <si>
    <t>DRY CHEMISTRY REAGENT - CREPIIIS 24 1 JEX</t>
  </si>
  <si>
    <t>LAB-00729</t>
  </si>
  <si>
    <t>DRY CHEMISTRY REAGENT - DBILPIIIS 24 1 JEX</t>
  </si>
  <si>
    <t>LAB-00730</t>
  </si>
  <si>
    <t>DRY CHEMISTRY REAGENT - GLUPIIIS 24 1 JEX</t>
  </si>
  <si>
    <t>LAB-00731</t>
  </si>
  <si>
    <t>DRY CHEMISTRY REAGENT - MC S 100 1 EX (FDC NX500)</t>
  </si>
  <si>
    <t>LAB-00732</t>
  </si>
  <si>
    <t>DRY CHEMISTRY REAGENT - NAKCLPIIS 24 1 JEX</t>
  </si>
  <si>
    <t>LAB-00733</t>
  </si>
  <si>
    <t>DRY CHEMISTRY REAGENT - QE 10 1 EX</t>
  </si>
  <si>
    <t>LAB-00734</t>
  </si>
  <si>
    <t>DRY CHEMISTRY REAGENT - QPH (CONTROL)</t>
  </si>
  <si>
    <t>LAB-00735</t>
  </si>
  <si>
    <t>DRY CHEMISTRY REAGENT - QPL (CONTROL)</t>
  </si>
  <si>
    <t>LAB-00736</t>
  </si>
  <si>
    <t>DRY CHEMISTRY REAGENT - RE 6 1 EX</t>
  </si>
  <si>
    <t>LAB-00737</t>
  </si>
  <si>
    <t>DRY CHEMISTRY REAGENT - TIPS</t>
  </si>
  <si>
    <t>LAB-00738</t>
  </si>
  <si>
    <t>FUNGIXPERT CRYPTOCOCCUS ANTIGEN (50T)</t>
  </si>
  <si>
    <t>LAB-00739</t>
  </si>
  <si>
    <t>FUNNEL GLASS SMALL 35MM</t>
  </si>
  <si>
    <t>LAB-00740</t>
  </si>
  <si>
    <t>BLOOD GAS ANALYSER CARTRIDGE</t>
  </si>
  <si>
    <t>LAB-00741</t>
  </si>
  <si>
    <t>MOLECULAR PCR CARTRIDGE - CT/NG (10 TESTS)</t>
  </si>
  <si>
    <t>LAB-00742</t>
  </si>
  <si>
    <t>GENOTYPE APPLICATOR SET HELEN</t>
  </si>
  <si>
    <t>LAB-00743</t>
  </si>
  <si>
    <t>GENOTYPE BUFFER HELENA</t>
  </si>
  <si>
    <t>LAB-00744</t>
  </si>
  <si>
    <t>GENOTYPE PAPER HELENA TITAN II</t>
  </si>
  <si>
    <t>LAB-00745</t>
  </si>
  <si>
    <t>GIEMSA STAIN 500ML</t>
  </si>
  <si>
    <t>LAB-00746</t>
  </si>
  <si>
    <t>ADJUSTABLE MICROPIPETTE 10-100µL</t>
  </si>
  <si>
    <t>LAB-00747</t>
  </si>
  <si>
    <t>ADJUSTABLE MICROPIPETTE 5-50µL</t>
  </si>
  <si>
    <t>LAB-00748</t>
  </si>
  <si>
    <t>LAB-00749</t>
  </si>
  <si>
    <t>LAB-00750</t>
  </si>
  <si>
    <t>EXAMINATION GLOVES POWDERED MEDIUM</t>
  </si>
  <si>
    <t>LAB-00751</t>
  </si>
  <si>
    <t>GOLD CHLORIDE 5GM</t>
  </si>
  <si>
    <t>LAB-00752</t>
  </si>
  <si>
    <t>GRAM STAIN KIT</t>
  </si>
  <si>
    <t>LAB-00753</t>
  </si>
  <si>
    <t>LAB-00754</t>
  </si>
  <si>
    <t>HAND PAPER TOWELS</t>
  </si>
  <si>
    <t>LAB-00755</t>
  </si>
  <si>
    <t>HANDLE SCALPEL NO.4</t>
  </si>
  <si>
    <t>LAB-00756</t>
  </si>
  <si>
    <t>HBC AB (2X50T) - IMMUNOASSAY REAGENT</t>
  </si>
  <si>
    <t>LAB-00757</t>
  </si>
  <si>
    <t>HBC AB CALIBRATOR - IMMUNOASSAY REAGENT</t>
  </si>
  <si>
    <t>LAB-00758</t>
  </si>
  <si>
    <t>HBC AB QC - IMMUNOASSAY REAGENT</t>
  </si>
  <si>
    <t>LAB-00759</t>
  </si>
  <si>
    <t>HEMATOXYLIN - 5G</t>
  </si>
  <si>
    <t>LAB-00760</t>
  </si>
  <si>
    <t>HEMATOXYLIN - HARRIS - 1L</t>
  </si>
  <si>
    <t>LAB-00761</t>
  </si>
  <si>
    <t>HEXAMETHYLENETRAMINE</t>
  </si>
  <si>
    <t>LAB-00762</t>
  </si>
  <si>
    <t>HIGH VOLUME TIPS 1ML</t>
  </si>
  <si>
    <t>LAB-00763</t>
  </si>
  <si>
    <t>HISTO BTL 25 ML</t>
  </si>
  <si>
    <t>LAB-00764</t>
  </si>
  <si>
    <t>HOLDER LOOP 200MM</t>
  </si>
  <si>
    <t>LAB-00765</t>
  </si>
  <si>
    <t>HEPATITIS B VACCINE</t>
  </si>
  <si>
    <t>LAB-00766</t>
  </si>
  <si>
    <t>HYDROCHLORIC ACID 2.5L</t>
  </si>
  <si>
    <t>LAB-00767</t>
  </si>
  <si>
    <t>HYDROGEN PEROXIDE (2.5L)</t>
  </si>
  <si>
    <t>LAB-00768</t>
  </si>
  <si>
    <t>IMMERSION OIL</t>
  </si>
  <si>
    <t>LAB-00769</t>
  </si>
  <si>
    <t>ANALYSER CUVETTE WASTE CONTAINER</t>
  </si>
  <si>
    <t>LAB-00770</t>
  </si>
  <si>
    <t>HAEMOLYSING REAGENT</t>
  </si>
  <si>
    <t>LAB-00771</t>
  </si>
  <si>
    <t>LAB-00772</t>
  </si>
  <si>
    <t>LAB-00773</t>
  </si>
  <si>
    <t>ISE DEPROTEINIZER</t>
  </si>
  <si>
    <t>LAB-00774</t>
  </si>
  <si>
    <t>ISE ETCHER</t>
  </si>
  <si>
    <t>LAB-00775</t>
  </si>
  <si>
    <t>LAB-00776</t>
  </si>
  <si>
    <t>LAB-00777</t>
  </si>
  <si>
    <t>LAB-00778</t>
  </si>
  <si>
    <t>TRANSFERRIN REAGENT</t>
  </si>
  <si>
    <t>LAB-00779</t>
  </si>
  <si>
    <t>IODINE CRYSTAL</t>
  </si>
  <si>
    <t>LAB-00780</t>
  </si>
  <si>
    <t>ISE LOW/HIGH URINE STANDARD - CHEMISTRY REAGENT</t>
  </si>
  <si>
    <t>LAB-00781</t>
  </si>
  <si>
    <t>ISE MID STANDARD - CHEMISTRY REAGENT</t>
  </si>
  <si>
    <t>LAB-00782</t>
  </si>
  <si>
    <t>ISE NA+/K+ SELECTIVITY CHECK - CHEMISTRY REAGENT</t>
  </si>
  <si>
    <t>LAB-00783</t>
  </si>
  <si>
    <t>ISE REFERENCE - CHEMISTRY REAGENT</t>
  </si>
  <si>
    <t>LAB-00784</t>
  </si>
  <si>
    <t>ISE TUBING 4 - CHEMISTRY REAGENT</t>
  </si>
  <si>
    <t>LAB-00785</t>
  </si>
  <si>
    <t>ISOPROPYL ALCOHOL</t>
  </si>
  <si>
    <t>LAB-00786</t>
  </si>
  <si>
    <t>POC BLOOD GAS CARTRIDGE CG4+</t>
  </si>
  <si>
    <t>LAB-00787</t>
  </si>
  <si>
    <t>POC BLOOD GAS CARTRIDGE CG8+</t>
  </si>
  <si>
    <t>LAB-00788</t>
  </si>
  <si>
    <t>JAR COPLIN + S/C</t>
  </si>
  <si>
    <t>LAB-00789</t>
  </si>
  <si>
    <t>KIT MAJOR BC ACCESS 2 - IMMUNOASSAY REAGENT</t>
  </si>
  <si>
    <t>LAB-00790</t>
  </si>
  <si>
    <t>BARCODE LABELS 9-UP PLAIN</t>
  </si>
  <si>
    <t>LAB-00791</t>
  </si>
  <si>
    <t>LABEL CYTO STORAGE BARCODE</t>
  </si>
  <si>
    <t>LAB-00792</t>
  </si>
  <si>
    <t>LABEL EXEMPT HUMAN SPEC</t>
  </si>
  <si>
    <t>LAB-00793</t>
  </si>
  <si>
    <t>LABEL HISTO STORAGE BARCODE</t>
  </si>
  <si>
    <t>LAB-00794</t>
  </si>
  <si>
    <t>LAB-00795</t>
  </si>
  <si>
    <t>THERMAL LABELS WHITE 50MM x 20MM</t>
  </si>
  <si>
    <t>LAB-00796</t>
  </si>
  <si>
    <t>LAB-00797</t>
  </si>
  <si>
    <t>LAB-00798</t>
  </si>
  <si>
    <t>LIGHT GREEN 25GM</t>
  </si>
  <si>
    <t>LAB-00799</t>
  </si>
  <si>
    <t>LOOP SMALL 0.001ML</t>
  </si>
  <si>
    <t>LAB-00800</t>
  </si>
  <si>
    <t>QUALITY CONTROL MATERIAL - DIABETES CONTROL BILEVEL</t>
  </si>
  <si>
    <t>LAB-00801</t>
  </si>
  <si>
    <t>QUALITY CONTROL MATERIAL - TUMOR MARK P/C L1</t>
  </si>
  <si>
    <t>LAB-00802</t>
  </si>
  <si>
    <t>QUALITY CONTROL MATERIAL - TUMOR MARK P/C L3</t>
  </si>
  <si>
    <t>LAB-00803</t>
  </si>
  <si>
    <t>MAGNESIUM SULPHATE HEPTA 500G</t>
  </si>
  <si>
    <t>LAB-00804</t>
  </si>
  <si>
    <t>MAGNETIC STIRRER BAR 25MMX6MM</t>
  </si>
  <si>
    <t>LAB-00805</t>
  </si>
  <si>
    <t>MALE FACTOR PACK</t>
  </si>
  <si>
    <t>LAB-00806</t>
  </si>
  <si>
    <t>MARKING DYE BLUE 60ML</t>
  </si>
  <si>
    <t>LAB-00807</t>
  </si>
  <si>
    <t>MARKING DYE GREEN 237ML</t>
  </si>
  <si>
    <t>LAB-00808</t>
  </si>
  <si>
    <t>MARKING DYE RED 60ML</t>
  </si>
  <si>
    <t>LAB-00809</t>
  </si>
  <si>
    <t>MEASURING CYLINDER 1000ML</t>
  </si>
  <si>
    <t>LAB-00810</t>
  </si>
  <si>
    <t>BLOOD SAFETY LANCETS 23G</t>
  </si>
  <si>
    <t>LAB-00811</t>
  </si>
  <si>
    <t>SWAB GAUZE NAT 75X75MM (200)</t>
  </si>
  <si>
    <t>LAB-00812</t>
  </si>
  <si>
    <t>METHANOL</t>
  </si>
  <si>
    <t>LAB-00813</t>
  </si>
  <si>
    <t>MICROBANKS PKT/80</t>
  </si>
  <si>
    <t>LAB-00814</t>
  </si>
  <si>
    <t>MICROBIOLOGY PANEL CONSUMABLE - ALPHA - NAPHTHOL</t>
  </si>
  <si>
    <t>LAB-00815</t>
  </si>
  <si>
    <t>MICROBIOLOGY PANEL CONSUMABLE - FERRIC CHLORIDE</t>
  </si>
  <si>
    <t>LAB-00816</t>
  </si>
  <si>
    <t>MICROBIOLOGY PANEL CONSUMABLE - INOCULATORS - DRIED (240/BOX)</t>
  </si>
  <si>
    <t>LAB-00817</t>
  </si>
  <si>
    <t>MICROBIOLOGY PANEL CONSUMABLE - NEGATIVE BREAKPOINT COMBO 66</t>
  </si>
  <si>
    <t>LAB-00818</t>
  </si>
  <si>
    <t>MICROBIOLOGY PANEL CONSUMABLE - N-N-DIMETHYL-ALPHA</t>
  </si>
  <si>
    <t>LAB-00819</t>
  </si>
  <si>
    <t>MICROBIOLOGY PANEL CONSUMABLE - PEPTIDASE REAGENT</t>
  </si>
  <si>
    <t>LAB-00820</t>
  </si>
  <si>
    <t>MICROBIOLOGY PANEL CONSUMABLE - POSITIVE BREAKPOINT COMBO 29</t>
  </si>
  <si>
    <t>LAB-00821</t>
  </si>
  <si>
    <t>MICROBIOLOGY PANEL CONSUMABLE - POTASSIUM HYDROXIDE</t>
  </si>
  <si>
    <t>LAB-00822</t>
  </si>
  <si>
    <t>MICROBIOLOGY PANEL CONSUMABLE - PROMPT INOCULATION SYSTEM-D</t>
  </si>
  <si>
    <t>LAB-00823</t>
  </si>
  <si>
    <t>MICROBIOLOGY PANEL CONSUMABLE - SEAL STRIPS 96 WELL</t>
  </si>
  <si>
    <t>LAB-00824</t>
  </si>
  <si>
    <t>MICROBIOLOGY PANEL CONSUMABLE - SULFANILIC ACID</t>
  </si>
  <si>
    <t>LAB-00825</t>
  </si>
  <si>
    <t>HAEMATOLOGY ANALYSER CONSUMABLE - DIFF LYSE</t>
  </si>
  <si>
    <t>LAB-00826</t>
  </si>
  <si>
    <t>HAEMATOLOGY ANALYSER CONSUMABLE - DILUENT</t>
  </si>
  <si>
    <t>LAB-00827</t>
  </si>
  <si>
    <t>LAB-00828</t>
  </si>
  <si>
    <t>HAEMATOLOGY ANALYSER CONSUMABLE - LEO(I) LYSE</t>
  </si>
  <si>
    <t>LAB-00829</t>
  </si>
  <si>
    <t>HAEMATOLOGY ANALYSER CONSUMABLE - LEO(II) LYSE</t>
  </si>
  <si>
    <t>LAB-00830</t>
  </si>
  <si>
    <t>HAEMATOLOGY ANALYSER CONSUMABLE - LEO(II) LYSE (4X400ML)</t>
  </si>
  <si>
    <t>LAB-00831</t>
  </si>
  <si>
    <t>CAPILLARY ELECTROPHORESIS CONSUMABLE - TUBES FOR CONTROL - 500</t>
  </si>
  <si>
    <t>LAB-00832</t>
  </si>
  <si>
    <t>MULTISTIX 10SG</t>
  </si>
  <si>
    <t>LAB-00833</t>
  </si>
  <si>
    <t>LIQUID HANDLER CONSUMABLE - 96 DEEP WELL MICRO PLATES</t>
  </si>
  <si>
    <t>LAB-00834</t>
  </si>
  <si>
    <t>LIQUID HANDLER CONSUMABLE - WASTE BAG</t>
  </si>
  <si>
    <t>LAB-00835</t>
  </si>
  <si>
    <t>OPTICAL FLAT 8 - CAP STRIPS (120)</t>
  </si>
  <si>
    <t>LAB-00836</t>
  </si>
  <si>
    <t>NON-INVASIVE PRENATAL TESTING KIT</t>
  </si>
  <si>
    <t>LAB-00837</t>
  </si>
  <si>
    <t>PAPER CLIPS SMALL</t>
  </si>
  <si>
    <t>LAB-00838</t>
  </si>
  <si>
    <t>PATIENT CARE CARD LETTER</t>
  </si>
  <si>
    <t>LAB-00839</t>
  </si>
  <si>
    <t>PEPTONE WATER</t>
  </si>
  <si>
    <t>LAB-00840</t>
  </si>
  <si>
    <t>PERM PAPER</t>
  </si>
  <si>
    <t>LAB-00841</t>
  </si>
  <si>
    <t>PETRI DISH - GREINER</t>
  </si>
  <si>
    <t>LAB-00842</t>
  </si>
  <si>
    <t>PHLOXIN B 25G</t>
  </si>
  <si>
    <t>LAB-00843</t>
  </si>
  <si>
    <t>PHOSPHOTUNGSTIC ACID</t>
  </si>
  <si>
    <t>LAB-00844</t>
  </si>
  <si>
    <t>PINCH VALVE 2 ASSAY</t>
  </si>
  <si>
    <t>LAB-00845</t>
  </si>
  <si>
    <t>PIPETTE BALL</t>
  </si>
  <si>
    <t>LAB-00846</t>
  </si>
  <si>
    <t>PIPETTE BULB 10ML (B - GRADE)</t>
  </si>
  <si>
    <t>LAB-00847</t>
  </si>
  <si>
    <t>PIPETTE BULB 2ML (B - GRADE)</t>
  </si>
  <si>
    <t>LAB-00848</t>
  </si>
  <si>
    <t>PIPETTE BULB 5ML (B - GRADE)</t>
  </si>
  <si>
    <t>LAB-00849</t>
  </si>
  <si>
    <t>PIPETTE ESR GRADUATED</t>
  </si>
  <si>
    <t>LAB-00850</t>
  </si>
  <si>
    <t>PASTEUR PIPETTES GRADUATED 10ML - STERILE</t>
  </si>
  <si>
    <t>LAB-00851</t>
  </si>
  <si>
    <t>PASTEUR PIPETTES GRADUATED 2ML - STERILE</t>
  </si>
  <si>
    <t>LAB-00852</t>
  </si>
  <si>
    <t>PASTEUR PIPETTES GRADUATED 5ML - STERILE</t>
  </si>
  <si>
    <t>LAB-00853</t>
  </si>
  <si>
    <t>PLAIN TUBE PLASTIC - 6ML</t>
  </si>
  <si>
    <t>LAB-00854</t>
  </si>
  <si>
    <t>PLAIN TUBE RED - 4ML</t>
  </si>
  <si>
    <t>LAB-00855</t>
  </si>
  <si>
    <t>POTASSIUM CHLORIDE</t>
  </si>
  <si>
    <t>LAB-00856</t>
  </si>
  <si>
    <t>POTASSIUM IODIDE</t>
  </si>
  <si>
    <t>LAB-00857</t>
  </si>
  <si>
    <t>POTASSIUM PERMANGANATE AR 500G</t>
  </si>
  <si>
    <t>LAB-00858</t>
  </si>
  <si>
    <t>POTASSIUM PHOSPHATE (NON BASIC</t>
  </si>
  <si>
    <t>LAB-00859</t>
  </si>
  <si>
    <t>PROTECTIVE SLEEVE COVERS</t>
  </si>
  <si>
    <t>LAB-00860</t>
  </si>
  <si>
    <t>QANALYSER CONSUMABLE - MALARIA TUBES</t>
  </si>
  <si>
    <t>LAB-00861</t>
  </si>
  <si>
    <t>QUICK RNA VIRAL KIT (50 PREPS)</t>
  </si>
  <si>
    <t>LAB-00862</t>
  </si>
  <si>
    <t>R15 BOOST PUMP (9343037)</t>
  </si>
  <si>
    <t>LAB-00863</t>
  </si>
  <si>
    <t>R15 RECIRC PUMP (9343038)</t>
  </si>
  <si>
    <t>LAB-00864</t>
  </si>
  <si>
    <t>RAPID TEST - ADENO POS CONTROL - CORIS</t>
  </si>
  <si>
    <t>LAB-00865</t>
  </si>
  <si>
    <t>RAPID TEST - BHCG - LABACON (25T)</t>
  </si>
  <si>
    <t>LAB-00866</t>
  </si>
  <si>
    <t>RAPID TEST - COVID AG - STANDARD F (25T)</t>
  </si>
  <si>
    <t>LAB-00867</t>
  </si>
  <si>
    <t>RAPID TEST - COVID AG - STANDARD Q</t>
  </si>
  <si>
    <t>LAB-00868</t>
  </si>
  <si>
    <t>RAPID TEST - H PYLORI AG - CERTEST</t>
  </si>
  <si>
    <t>LAB-00869</t>
  </si>
  <si>
    <t>RAPID TEST - H PYLORI AG - ARIA (25T)</t>
  </si>
  <si>
    <t>LAB-00870</t>
  </si>
  <si>
    <t>RAPID TEST - H PYLORI AG - LABACON (25T)</t>
  </si>
  <si>
    <t>LAB-00871</t>
  </si>
  <si>
    <t>RAPID TEST - H PYLORI AG - ONSITE (25T)</t>
  </si>
  <si>
    <t>LAB-00872</t>
  </si>
  <si>
    <t>RAPID TEST - HBSAG (25T)</t>
  </si>
  <si>
    <t>LAB-00873</t>
  </si>
  <si>
    <t>RAPID TEST - HBSAG - LABACON (25T)</t>
  </si>
  <si>
    <t>LAB-00874</t>
  </si>
  <si>
    <t>RAPID TEST - HBSAG - STANDARD F (25T)</t>
  </si>
  <si>
    <t>LAB-00875</t>
  </si>
  <si>
    <t>RAPID TEST - HBSAG COMBO</t>
  </si>
  <si>
    <t>LAB-00876</t>
  </si>
  <si>
    <t>RAPID TEST - HCV (50T)</t>
  </si>
  <si>
    <t>LAB-00877</t>
  </si>
  <si>
    <t>RAPID TEST - HCV - ONSITE (30T)</t>
  </si>
  <si>
    <t>LAB-00878</t>
  </si>
  <si>
    <t>RAPID TEST - HEP A (25T)</t>
  </si>
  <si>
    <t>LAB-00879</t>
  </si>
  <si>
    <t>RAPID TEST - HIV - ONSITE</t>
  </si>
  <si>
    <t>LAB-00880</t>
  </si>
  <si>
    <t>RAPID TEST - HIV - TRINITY UNIGOLD (20T)</t>
  </si>
  <si>
    <t>LAB-00881</t>
  </si>
  <si>
    <t>RAPID TEST - MALARIA - FIRST RESPONSE (25T)</t>
  </si>
  <si>
    <t>LAB-00882</t>
  </si>
  <si>
    <t>RAPID TEST - MALARIA PF - STANDARD Q</t>
  </si>
  <si>
    <t>LAB-00883</t>
  </si>
  <si>
    <t>RAPID TEST - MALARIA PF/PAN (25T)</t>
  </si>
  <si>
    <t>LAB-00884</t>
  </si>
  <si>
    <t>RAPID TEST - MALARIA PF/PAN - SD BIOLINE (25T)</t>
  </si>
  <si>
    <t>LAB-00885</t>
  </si>
  <si>
    <t>RAPID TEST - MALARIA PF/PV</t>
  </si>
  <si>
    <t>LAB-00886</t>
  </si>
  <si>
    <t>RAPID TEST - OCCULT BLOOD KIT LINEAR (25)</t>
  </si>
  <si>
    <t>LAB-00887</t>
  </si>
  <si>
    <t>RAPID TEST - ROTA POS CONTROL - CORIS</t>
  </si>
  <si>
    <t>LAB-00888</t>
  </si>
  <si>
    <t>RAPID TEST - ROTA/ADENO - STRIPCOMBI (25T)</t>
  </si>
  <si>
    <t>LAB-00889</t>
  </si>
  <si>
    <t>RAPID TEST - RPR SYPHILIS - LABACON (50T)</t>
  </si>
  <si>
    <t>LAB-00890</t>
  </si>
  <si>
    <t>RAPID TEST - RPR SYPHILIS - LINEAR (500T)</t>
  </si>
  <si>
    <t>LAB-00891</t>
  </si>
  <si>
    <t>RAPID TEST - TYPHI H - 2ML</t>
  </si>
  <si>
    <t>LAB-00892</t>
  </si>
  <si>
    <t>RAPID TEST - TYPHI H - ZD01 2ML</t>
  </si>
  <si>
    <t>LAB-00893</t>
  </si>
  <si>
    <t>RAPID TEST - TYPHI O - 2ML</t>
  </si>
  <si>
    <t>LAB-00894</t>
  </si>
  <si>
    <t>RAPID TEST - TYPHI O - A-S 2ML</t>
  </si>
  <si>
    <t>LAB-00895</t>
  </si>
  <si>
    <t>RAPID TEST - TYPHI O/H POS CONTROL 1ML</t>
  </si>
  <si>
    <t>LAB-00896</t>
  </si>
  <si>
    <t>RAPID TEST - TYPHI O/H VI 2ML</t>
  </si>
  <si>
    <t>LAB-00897</t>
  </si>
  <si>
    <t>RAPID TEST - WIDAL TYPHI</t>
  </si>
  <si>
    <t>LAB-00898</t>
  </si>
  <si>
    <t>REAGENT DROPPER KIT</t>
  </si>
  <si>
    <t>LAB-00899</t>
  </si>
  <si>
    <t>REMEL SPOT INDOLE</t>
  </si>
  <si>
    <t>LAB-00900</t>
  </si>
  <si>
    <t>RETIC STAIN 100ML</t>
  </si>
  <si>
    <t>LAB-00901</t>
  </si>
  <si>
    <t>RIBBON BLACK WAX OUT MATRIX</t>
  </si>
  <si>
    <t>LAB-00902</t>
  </si>
  <si>
    <t>WATER PURIFICATION SYSTEM CONSUMABLE - LC143 RO MEMBRANE R15</t>
  </si>
  <si>
    <t>LAB-00903</t>
  </si>
  <si>
    <t>LBC AUTOPREP COMBI-BRUSH</t>
  </si>
  <si>
    <t>LAB-00904</t>
  </si>
  <si>
    <t>RPR LIQUID CONTROLS</t>
  </si>
  <si>
    <t>LAB-00905</t>
  </si>
  <si>
    <t>SAFETY BOX</t>
  </si>
  <si>
    <t>LAB-00906</t>
  </si>
  <si>
    <t>SAFRANIN POWDER 25G</t>
  </si>
  <si>
    <t>LAB-00907</t>
  </si>
  <si>
    <t>SALINE 0.9% 1L</t>
  </si>
  <si>
    <t>LAB-00908</t>
  </si>
  <si>
    <t>SAMPLE CUP NESTING 13MM</t>
  </si>
  <si>
    <t>LAB-00909</t>
  </si>
  <si>
    <t>SAMPLE TUBES</t>
  </si>
  <si>
    <t>LAB-00910</t>
  </si>
  <si>
    <t>SANIGEL SANITIZER</t>
  </si>
  <si>
    <t>LAB-00911</t>
  </si>
  <si>
    <t>SCISSORS DOYENS ABDOMINAL</t>
  </si>
  <si>
    <t>LAB-00912</t>
  </si>
  <si>
    <t>MOLECULAR PCR KIT - ALLPLEX SARS - COV - 2 ASSAY</t>
  </si>
  <si>
    <t>LAB-00913</t>
  </si>
  <si>
    <t>SEMINAL DILUTING FLUID 200ML</t>
  </si>
  <si>
    <t>LAB-00914</t>
  </si>
  <si>
    <t>SENSITEST COLISTIN 0.25 - 16MG/L</t>
  </si>
  <si>
    <t>LAB-00915</t>
  </si>
  <si>
    <t>SHARP SAFETY BOXES</t>
  </si>
  <si>
    <t>LAB-00916</t>
  </si>
  <si>
    <t>SILVER NITRATE 100G</t>
  </si>
  <si>
    <t>LAB-00917</t>
  </si>
  <si>
    <t>SIX UP LABEL 92X66 CYTO</t>
  </si>
  <si>
    <t>LAB-00918</t>
  </si>
  <si>
    <t>SLIDE 2 MAILER HOLDER</t>
  </si>
  <si>
    <t>LAB-00919</t>
  </si>
  <si>
    <t>SLIDE BOX</t>
  </si>
  <si>
    <t>LAB-00920</t>
  </si>
  <si>
    <t>SLIDE HOLDER LINEAR STAINER</t>
  </si>
  <si>
    <t>LAB-00921</t>
  </si>
  <si>
    <t>SLIDE RACK STEEL CYTO</t>
  </si>
  <si>
    <t>LAB-00922</t>
  </si>
  <si>
    <t>SLIDE TRAYS</t>
  </si>
  <si>
    <t>LAB-00923</t>
  </si>
  <si>
    <t>SLAMED SAMPLE CUPS</t>
  </si>
  <si>
    <t>LAB-00924</t>
  </si>
  <si>
    <t>SODIUM BICARBONATE</t>
  </si>
  <si>
    <t>LAB-00925</t>
  </si>
  <si>
    <t>SODIUM CHLORIDE</t>
  </si>
  <si>
    <t>LAB-00926</t>
  </si>
  <si>
    <t>SODIUM CITRATE</t>
  </si>
  <si>
    <t>LAB-00927</t>
  </si>
  <si>
    <t>SODIUM DIHYDROGEN PHOSPHATE MONO</t>
  </si>
  <si>
    <t>LAB-00928</t>
  </si>
  <si>
    <t>SODIUM METABISULPHITE 500G</t>
  </si>
  <si>
    <t>LAB-00929</t>
  </si>
  <si>
    <t>SODIUM NITRATE</t>
  </si>
  <si>
    <t>LAB-00930</t>
  </si>
  <si>
    <t>SODIUM PHOSPHATE DIBASIC</t>
  </si>
  <si>
    <t>LAB-00931</t>
  </si>
  <si>
    <t>SODIUM PHOSPHATE MONOBASIC</t>
  </si>
  <si>
    <t>LAB-00932</t>
  </si>
  <si>
    <t>SPECULUM DISPOSABLE</t>
  </si>
  <si>
    <t>LAB-00933</t>
  </si>
  <si>
    <t>STAINING DISH COVER FOR 014348</t>
  </si>
  <si>
    <t>LAB-00934</t>
  </si>
  <si>
    <t>STAINING DISH GLASS 60 SLIDE</t>
  </si>
  <si>
    <t>LAB-00935</t>
  </si>
  <si>
    <t>STANDARD VOLUME TIPS 300UL</t>
  </si>
  <si>
    <t>LAB-00936</t>
  </si>
  <si>
    <t>STARMAG 96X4 UNIVERSAL CARTRIDGE</t>
  </si>
  <si>
    <t>LAB-00937</t>
  </si>
  <si>
    <t>STERIKON PLUS BIOINDICATOR</t>
  </si>
  <si>
    <t>LAB-00938</t>
  </si>
  <si>
    <t>STERILE SALINE 1L</t>
  </si>
  <si>
    <t>LAB-00939</t>
  </si>
  <si>
    <t>STERILE URINE CONTAINERS</t>
  </si>
  <si>
    <t>LAB-00940</t>
  </si>
  <si>
    <t>STOOL CONTAINERS</t>
  </si>
  <si>
    <t>LAB-00941</t>
  </si>
  <si>
    <t>STRIP INDICATOR PH 0 - 14</t>
  </si>
  <si>
    <t>LAB-00942</t>
  </si>
  <si>
    <t>SURGICAL GOWN</t>
  </si>
  <si>
    <t>LAB-00943</t>
  </si>
  <si>
    <t>SYRINGE DISPOSABLE 10ML</t>
  </si>
  <si>
    <t>LAB-00944</t>
  </si>
  <si>
    <t>SYRINGE DISPOSABLE 2ML (BOX/100PCS)</t>
  </si>
  <si>
    <t>LAB-00945</t>
  </si>
  <si>
    <t>SYRINGE DISPOSABLE 5ML (BOX/100PCS)</t>
  </si>
  <si>
    <t>LAB-00946</t>
  </si>
  <si>
    <t>COAGULATION ANALYSER CONSUMABLE - ACTIN FS (10X2ML)</t>
  </si>
  <si>
    <t>LAB-00947</t>
  </si>
  <si>
    <t>COAGULATION ANALYSER CONSUMABLE - CA CAL S (3X3ML)</t>
  </si>
  <si>
    <t>LAB-00948</t>
  </si>
  <si>
    <t>COAGULATION ANALYSER CONSUMABLE - CACL2 (25MM)(10X15ML)</t>
  </si>
  <si>
    <t>LAB-00949</t>
  </si>
  <si>
    <t>COAGULATION ANALYSER CONSUMABLE - CLEAN I (50ML)</t>
  </si>
  <si>
    <t>LAB-00950</t>
  </si>
  <si>
    <t>COAGULATION ANALYSER CONSUMABLE - CA CLEAN II (500ML)</t>
  </si>
  <si>
    <t>LAB-00951</t>
  </si>
  <si>
    <t>COAGULATION ANALYSER CONSUMABLE - PT MULTICALIBRATOR (6X1ML)</t>
  </si>
  <si>
    <t>LAB-00952</t>
  </si>
  <si>
    <t>COAGULATION ANALYSER CONSUMABLE - PV-10 PUSH VIAL (10PC)</t>
  </si>
  <si>
    <t>LAB-00953</t>
  </si>
  <si>
    <t>COAGULATION ANALYSER CONSUMABLE - REACTION TUBE (SU-40) CA620 (3000PC)</t>
  </si>
  <si>
    <t>LAB-00954</t>
  </si>
  <si>
    <t>SYSTEM CALIBRATOR 20X5ML - IMMUNOASSAY REAGENT</t>
  </si>
  <si>
    <t>LAB-00955</t>
  </si>
  <si>
    <t>TB INTERFERON-GAMMA RELEASE ASSAY - - QFT PLUS TUBES</t>
  </si>
  <si>
    <t>LAB-00956</t>
  </si>
  <si>
    <t>TB INTERFERON-GAMMA RELEASE ASSAY - COMBO PACK</t>
  </si>
  <si>
    <t>LAB-00957</t>
  </si>
  <si>
    <t>TB INTERFERON-GAMMA RELEASE ASSAY - TB GOLD ELISA KIT</t>
  </si>
  <si>
    <t>LAB-00958</t>
  </si>
  <si>
    <t>TEAT RUBBER</t>
  </si>
  <si>
    <t>LAB-00959</t>
  </si>
  <si>
    <t>TISSUE FIXATIVE BUFFER KIT</t>
  </si>
  <si>
    <t>LAB-00960</t>
  </si>
  <si>
    <t>TISSUE GRINDER</t>
  </si>
  <si>
    <t>LAB-00961</t>
  </si>
  <si>
    <t>TONER BROTHER - HL LASER PRINTER</t>
  </si>
  <si>
    <t>LAB-00962</t>
  </si>
  <si>
    <t>TONER FS - 1035 MFP</t>
  </si>
  <si>
    <t>LAB-00963</t>
  </si>
  <si>
    <t>TONER FS - 1170DN</t>
  </si>
  <si>
    <t>LAB-00964</t>
  </si>
  <si>
    <t>TONER FS - 2020DN</t>
  </si>
  <si>
    <t>LAB-00965</t>
  </si>
  <si>
    <t>TONER FS - 2100DN</t>
  </si>
  <si>
    <t>LAB-00966</t>
  </si>
  <si>
    <t>TONER FS - 3190DN</t>
  </si>
  <si>
    <t>LAB-00967</t>
  </si>
  <si>
    <t>TONER HP - 026A</t>
  </si>
  <si>
    <t>LAB-00968</t>
  </si>
  <si>
    <t>TONER HP - 059A</t>
  </si>
  <si>
    <t>LAB-00969</t>
  </si>
  <si>
    <t>TONER HP - 207A BLACK</t>
  </si>
  <si>
    <t>LAB-00970</t>
  </si>
  <si>
    <t>TONER HP - 207A CYAN</t>
  </si>
  <si>
    <t>LAB-00971</t>
  </si>
  <si>
    <t>TONER HP - 207A MAGENTA</t>
  </si>
  <si>
    <t>LAB-00972</t>
  </si>
  <si>
    <t>TONER HP - 207A YELLOW</t>
  </si>
  <si>
    <t>LAB-00973</t>
  </si>
  <si>
    <t>TONER HP - 59A</t>
  </si>
  <si>
    <t>LAB-00974</t>
  </si>
  <si>
    <t>TONER TK - 1140</t>
  </si>
  <si>
    <t>LAB-00975</t>
  </si>
  <si>
    <t>TONER TK - XX YELLOW</t>
  </si>
  <si>
    <t>LAB-00976</t>
  </si>
  <si>
    <t>TONER TK - XXX BLACK</t>
  </si>
  <si>
    <t>LAB-00977</t>
  </si>
  <si>
    <t>TONER TK - XXX MAGENTA</t>
  </si>
  <si>
    <t>LAB-00978</t>
  </si>
  <si>
    <t>TONGUE DEPRESSOR 100/BOX</t>
  </si>
  <si>
    <t>LAB-00979</t>
  </si>
  <si>
    <t>TRI SODIUM CITRATE 3.13%</t>
  </si>
  <si>
    <t>LAB-00980</t>
  </si>
  <si>
    <t>TRI SODIUM CITRATE 500G</t>
  </si>
  <si>
    <t>LAB-00981</t>
  </si>
  <si>
    <t>TRIPLE TIMER</t>
  </si>
  <si>
    <t>LAB-00982</t>
  </si>
  <si>
    <t>TUBE CENTRIFUGE</t>
  </si>
  <si>
    <t>LAB-00983</t>
  </si>
  <si>
    <t>TUBE CENTRIFUGE GREINER 12ML</t>
  </si>
  <si>
    <t>LAB-00984</t>
  </si>
  <si>
    <t>TUBE DOUBLE CLICKING 5ML 12X7</t>
  </si>
  <si>
    <t>LAB-00985</t>
  </si>
  <si>
    <t>LAB-00986</t>
  </si>
  <si>
    <t>TUBE HAEMOGUARD SST RUST 5ML</t>
  </si>
  <si>
    <t>LAB-00987</t>
  </si>
  <si>
    <t>TUBE MICROCENTRIFUGE 1500UL</t>
  </si>
  <si>
    <t>LAB-00988</t>
  </si>
  <si>
    <t>TUBE+CAP CENTRIFUGE 15ML</t>
  </si>
  <si>
    <t>LAB-00989</t>
  </si>
  <si>
    <t>TUBERCULIN RT (5TU/0.1ML) 5ML</t>
  </si>
  <si>
    <t>LAB-00990</t>
  </si>
  <si>
    <t>TUBERCULIN RT/23 2TU 1.5ML</t>
  </si>
  <si>
    <t>LAB-00991</t>
  </si>
  <si>
    <t>TUBES ACD - 6ML</t>
  </si>
  <si>
    <t>LAB-00992</t>
  </si>
  <si>
    <t>TUBES+CAP BLUE 5ML - TUBES WHITE</t>
  </si>
  <si>
    <t>LAB-00993</t>
  </si>
  <si>
    <t>TUV 8W-UV LAMP (C61035)</t>
  </si>
  <si>
    <t>LAB-00994</t>
  </si>
  <si>
    <t>TWO UP LABELS 50X25</t>
  </si>
  <si>
    <t>LAB-00995</t>
  </si>
  <si>
    <t>UN3373 BIOLOGICAL SUBSTANCE</t>
  </si>
  <si>
    <t>LAB-00996</t>
  </si>
  <si>
    <t>URINE CALIBRATOR</t>
  </si>
  <si>
    <t>LAB-00997</t>
  </si>
  <si>
    <t>CONFIRM ANTI-CD3 (2GV6) RAB - IHC REAGENT</t>
  </si>
  <si>
    <t>LAB-00998</t>
  </si>
  <si>
    <t>ASSY PATHWAY C - KIT - IHC REAGENT</t>
  </si>
  <si>
    <t>LAB-00999</t>
  </si>
  <si>
    <t>CELL CONDITIONING SOLUTION (CC2) (1L) - IHC REAGENT</t>
  </si>
  <si>
    <t>LAB-01000</t>
  </si>
  <si>
    <t>BLUING REAGENTS - IHC REAGENT</t>
  </si>
  <si>
    <t>LAB-01001</t>
  </si>
  <si>
    <t>CDX-2 (EPR2764Y) - IHC REAGENT</t>
  </si>
  <si>
    <t>LAB-01002</t>
  </si>
  <si>
    <t>CELL CONDITIONING SOLUTION (CC1) (2L) - IHC REAGENT</t>
  </si>
  <si>
    <t>LAB-01003</t>
  </si>
  <si>
    <t>CONFIRM ANTI-CYTOKERATIN 20 (SP33) - IHC REAGENT</t>
  </si>
  <si>
    <t>LAB-01004</t>
  </si>
  <si>
    <t>CONFIRM ANTI-CYTOKERATIN 7 (SP52) - IHC REAGENT</t>
  </si>
  <si>
    <t>LAB-01005</t>
  </si>
  <si>
    <t>E-BAR PRINTER RIBBON - IHC REAGENT</t>
  </si>
  <si>
    <t>LAB-01006</t>
  </si>
  <si>
    <t>10X EZ PREP (2L) - IHC REAGENT</t>
  </si>
  <si>
    <t>LAB-01007</t>
  </si>
  <si>
    <t>HEMATOXYLIN II (250 KIT) - IHC REAGENT</t>
  </si>
  <si>
    <t>LAB-01008</t>
  </si>
  <si>
    <t>LCS HIGH TEMP - IHC REAGENT</t>
  </si>
  <si>
    <t>LAB-01009</t>
  </si>
  <si>
    <t>OPTIVIEW DAB IHC DETECTION KIT - IHC REAGENT</t>
  </si>
  <si>
    <t>LAB-01010</t>
  </si>
  <si>
    <t>ULTRAVIEW UNIVERSAL ALKALINE PHOSPHOTASE DAB DETECTIION KIT - IHC REAGENT</t>
  </si>
  <si>
    <t>LAB-01011</t>
  </si>
  <si>
    <t>ANTI-PAN KERATIN (AE1/AE3/PCK26) - IHC REAGENT</t>
  </si>
  <si>
    <t>LAB-01012</t>
  </si>
  <si>
    <t>CONFIRM ANTI-CD20 (L26) PAB - IHC REAGENT</t>
  </si>
  <si>
    <t>LAB-01013</t>
  </si>
  <si>
    <t>ANTI-HER-2/NEU (4B5) - IHC REAGENT</t>
  </si>
  <si>
    <t>LAB-01014</t>
  </si>
  <si>
    <t>CONFIRM ANTI-KI-67 (30-9) RAB - IHC REAGENT</t>
  </si>
  <si>
    <t>LAB-01015</t>
  </si>
  <si>
    <t>ANTI-P63 (4A4) - IHC REAGENT</t>
  </si>
  <si>
    <t>LAB-01016</t>
  </si>
  <si>
    <t>AMH 30 TEST - IMMUNOASSAY REAGENT</t>
  </si>
  <si>
    <t>LAB-01017</t>
  </si>
  <si>
    <t>FT3 60T - IMMUNOASSAY REAGENT</t>
  </si>
  <si>
    <t>LAB-01018</t>
  </si>
  <si>
    <t>FT4 60T - IMMUNOASSAY REAGENT</t>
  </si>
  <si>
    <t>LAB-01019</t>
  </si>
  <si>
    <t>NT-PROBNP 2 60 TESTS - IMMUNOASSAY REAGENT</t>
  </si>
  <si>
    <t>LAB-01020</t>
  </si>
  <si>
    <t>PRINTER PAPER - IMMUNOASSAY REAGENT</t>
  </si>
  <si>
    <t>LAB-01021</t>
  </si>
  <si>
    <t>TOTAL 25OH VITAMIN D 60T - IMMUNOASSAY REAGENT</t>
  </si>
  <si>
    <t>LAB-01022</t>
  </si>
  <si>
    <t>TOTAL PSA 60T - IMMUNOASSAY REAGENT</t>
  </si>
  <si>
    <t>LAB-01023</t>
  </si>
  <si>
    <t>TSH 60T - IMMUNOASSAY REAGENT</t>
  </si>
  <si>
    <t>LAB-01024</t>
  </si>
  <si>
    <t>WASH PULLEY SERVICE KIT</t>
  </si>
  <si>
    <t>LAB-01025</t>
  </si>
  <si>
    <t>WASH SOLUTION (2 X 5L) - CHEMISTRY REAGENT</t>
  </si>
  <si>
    <t>LAB-01026</t>
  </si>
  <si>
    <t>WASTE BAGS (YELLOW)</t>
  </si>
  <si>
    <t>LAB-01027</t>
  </si>
  <si>
    <t>WASTE PUMP</t>
  </si>
  <si>
    <t>LAB-01028</t>
  </si>
  <si>
    <t>WATER 18.9L</t>
  </si>
  <si>
    <t>LAB-01029</t>
  </si>
  <si>
    <t>WAX - PARAFFIN</t>
  </si>
  <si>
    <t>LAB-01030</t>
  </si>
  <si>
    <t>XYLENE</t>
  </si>
  <si>
    <t>LAB-01031</t>
  </si>
  <si>
    <t>AGAR POWDER - XYLOSE LYSINE DEOXYCHOLATE HIMEDIA</t>
  </si>
  <si>
    <t>LAB-01032</t>
  </si>
  <si>
    <t>ZN STAIN</t>
  </si>
  <si>
    <t>LAB-01033</t>
  </si>
  <si>
    <t>RF LATEX - CHEMISTRY REAGENT</t>
  </si>
  <si>
    <t>LAB-01034</t>
  </si>
  <si>
    <t>RF LATEX CALIBRATOR - CHEMISTRY REAGENT</t>
  </si>
  <si>
    <t>LAB-01035</t>
  </si>
  <si>
    <t>RAPID TEST - HCV (25T)</t>
  </si>
  <si>
    <t>LAB-01036</t>
  </si>
  <si>
    <t>CLEANING SOLUTION</t>
  </si>
  <si>
    <t>LAB-01037</t>
  </si>
  <si>
    <t>LAB-01038</t>
  </si>
  <si>
    <t>POLYESTER SWABS</t>
  </si>
  <si>
    <t>LAB-01039</t>
  </si>
  <si>
    <t>LAB-01040</t>
  </si>
  <si>
    <t>LAB-01041</t>
  </si>
  <si>
    <t>LAB-01042</t>
  </si>
  <si>
    <t>LAB-01043</t>
  </si>
  <si>
    <t>HAEMATOLOGY ANALYSER CONSUMABLE - CLEANSER (4X1L)</t>
  </si>
  <si>
    <t>LAB-01044</t>
  </si>
  <si>
    <t>HAEMATOLOGY ANALYSER CONSUMABLE - LH LYSE (500ML)</t>
  </si>
  <si>
    <t>LAB-01045</t>
  </si>
  <si>
    <t>STREPTEX ANTIGEN 50T</t>
  </si>
  <si>
    <t>LAB-01046</t>
  </si>
  <si>
    <t>BOOK - COURIER TRANSFER NOTE</t>
  </si>
  <si>
    <t>LAB-01047</t>
  </si>
  <si>
    <t>FILTER PAPER 27CM</t>
  </si>
  <si>
    <t>LAB-01048</t>
  </si>
  <si>
    <t>PAP SMEAR KIT (10)</t>
  </si>
  <si>
    <t>LAB-01049</t>
  </si>
  <si>
    <t>MARKER PEN BLACK</t>
  </si>
  <si>
    <t>LAB-01050</t>
  </si>
  <si>
    <t>ALT - CHEMISTRY REAGENT</t>
  </si>
  <si>
    <t>LAB-01051</t>
  </si>
  <si>
    <t>MOLECULAR ANALYSER CONSUMABLE - WASTE BOX</t>
  </si>
  <si>
    <t>LAB-01052</t>
  </si>
  <si>
    <t>MOLECULAR ANALYSER CONSUMABLE - SP200 CONSUMABLE SET - TIP CASSETTES</t>
  </si>
  <si>
    <t>LAB-01053</t>
  </si>
  <si>
    <t>MOLECULAR ANALYSER CONSUMABLE - SP200 CE-IVD EXTRACTION CARTRIDGES</t>
  </si>
  <si>
    <t>LAB-01054</t>
  </si>
  <si>
    <t>MOLECULAR ANALYSER CONSUMABLE - PCR CASSETTE</t>
  </si>
  <si>
    <t>LAB-01055</t>
  </si>
  <si>
    <t>MOLECULAR ANALYSER CONSUMABLE - HIGH RISK HPV ELITE PANEL</t>
  </si>
  <si>
    <t>LAB-01056</t>
  </si>
  <si>
    <t>MOLECULAR ANALYSER CONSUMABLE - HSV 1 2 ELITE MGB KIT</t>
  </si>
  <si>
    <t>LAB-01057</t>
  </si>
  <si>
    <t>MOLECULAR ANALYSER CONSUMABLE - HIV1 ELITE MGB KIT</t>
  </si>
  <si>
    <t>LAB-01058</t>
  </si>
  <si>
    <t>MOLECULAR ANALYSER CONSUMABLE - HCV ELITE MGB KIT</t>
  </si>
  <si>
    <t>LAB-01059</t>
  </si>
  <si>
    <t>MOLECULAR ANALYSER CONSUMABLE - HBV ELITE MGB KIT</t>
  </si>
  <si>
    <t>LAB-01060</t>
  </si>
  <si>
    <t>MOLECULAR ANALYSER CONSUMABLE - FILTER TIPS 300UL</t>
  </si>
  <si>
    <t>LAB-01061</t>
  </si>
  <si>
    <t>MOLECULAR ANALYSER CONSUMABLE - D-RING 10 UNIT</t>
  </si>
  <si>
    <t>LAB-01062</t>
  </si>
  <si>
    <t>MOLECULAR ANALYSER CONSUMABLE - SINGLE NOZZLE O-RING (20 PC)</t>
  </si>
  <si>
    <t>LAB-01063</t>
  </si>
  <si>
    <t>MOLECULAR ANALYSER CONSUMABLE - AIR TUBE SET 10 UNITS (130 PC)</t>
  </si>
  <si>
    <t>LAB-01064</t>
  </si>
  <si>
    <t>MOLECULAR ANALYSER CONSUMABLE - MICRO SD CARD</t>
  </si>
  <si>
    <t>LAB-01065</t>
  </si>
  <si>
    <t>MOLECULAR ANALYSER CONSUMABLE - MAINTENANCE BRUSHES</t>
  </si>
  <si>
    <t>LAB-01066</t>
  </si>
  <si>
    <t>MOLECULAR ANALYSER CONSUMABLE - PLUNGER (12 NOZZLE) GREASE</t>
  </si>
  <si>
    <t>LAB-01067</t>
  </si>
  <si>
    <t>MOLECULAR ANALYSER CONSUMABLE - D-RING (12 NOZZLE) GREASE</t>
  </si>
  <si>
    <t>LAB-01068</t>
  </si>
  <si>
    <t>MOLECULAR ANALYSER CONSUMABLE - SONICATOR SCREW GREASE</t>
  </si>
  <si>
    <t>LAB-01069</t>
  </si>
  <si>
    <t>MOLECULAR ANALYSER CONSUMABLE - GREASE FOR SCREWS</t>
  </si>
  <si>
    <t>LAB-01070</t>
  </si>
  <si>
    <t>MOLECULAR ANALYSER CONSUMABLE - LUBRICATION OIL</t>
  </si>
  <si>
    <t>LAB-01071</t>
  </si>
  <si>
    <t>MOLECULAR ANALYSER CONSUMABLE - SET OF CLEANING WIPES</t>
  </si>
  <si>
    <t>LAB-01072</t>
  </si>
  <si>
    <t>MOLECULAR ANALYSER CONSUMABLE - SET OF SWAB</t>
  </si>
  <si>
    <t>LAB-01073</t>
  </si>
  <si>
    <t>MOLECULAR ANALYSER CONSUMABLE - HDD SATA/PWR CABLES</t>
  </si>
  <si>
    <t>LAB-01074</t>
  </si>
  <si>
    <t>MOLECULAR ANALYSER CONSUMABLE - SET OF C CLIPS</t>
  </si>
  <si>
    <t>LAB-01075</t>
  </si>
  <si>
    <t>MOLECULAR ANALYSER CONSUMABLE - SINGLE NOZZLE END O RING</t>
  </si>
  <si>
    <t>LAB-01076</t>
  </si>
  <si>
    <t>MOLECULAR ANALYSER CONSUMABLE - SINGLE NOZZLE END O RING REMOVAL TOOL</t>
  </si>
  <si>
    <t>LAB-01077</t>
  </si>
  <si>
    <t>MOLECULAR ANALYSER CONSUMABLE - D-RING REMOVAL TOOL</t>
  </si>
  <si>
    <t>LAB-01078</t>
  </si>
  <si>
    <t>MOLECULAR ANALYSER CONSUMABLE - D-RING REPLACEMENT TOOL</t>
  </si>
  <si>
    <t>LAB-01079</t>
  </si>
  <si>
    <t>COVERSLIPS 22X50MM (100)</t>
  </si>
  <si>
    <t>LAB-01080</t>
  </si>
  <si>
    <t>COVERSLIPS 22X22MM (100)</t>
  </si>
  <si>
    <t>LAB-01081</t>
  </si>
  <si>
    <t>COAG CITROL I NORMAL CONTROL (20X1ML)</t>
  </si>
  <si>
    <t>LAB-01082</t>
  </si>
  <si>
    <t>INNOVIN 10X10ML</t>
  </si>
  <si>
    <t>LAB-01083</t>
  </si>
  <si>
    <t>ANTISEPTIC LIQUID</t>
  </si>
  <si>
    <t>LAB-01084</t>
  </si>
  <si>
    <t>COAG CITROL II ABNORMAL CONTROL (20X1ML)</t>
  </si>
  <si>
    <t>LAB-01085</t>
  </si>
  <si>
    <t>SLIDE GLASS FROSTED G/E NIL</t>
  </si>
  <si>
    <t>LAB-01086</t>
  </si>
  <si>
    <t>COAGULATION ANALYSER CONSUMABLE - SUL-400A CUVETTE FL COMPLETE CA104 (500)</t>
  </si>
  <si>
    <t>LAB-01087</t>
  </si>
  <si>
    <t>SWAB WEBCOL (BOX/200PC)</t>
  </si>
  <si>
    <t>LAB-01088</t>
  </si>
  <si>
    <t>NOBLE CUP - E-Z SPLIT 10P (25T)</t>
  </si>
  <si>
    <t>LAB-01089</t>
  </si>
  <si>
    <t>HBSAG MANUAL DILUENT - IMMUNOASSAY REAGENT</t>
  </si>
  <si>
    <t>LAB-01090</t>
  </si>
  <si>
    <t>ANTIBIOTIC SENSITIVITY DISC - X FACTOR - MAST (5X50DISCS)</t>
  </si>
  <si>
    <t>LAB-01091</t>
  </si>
  <si>
    <t>ENVIRONMENTAL SWABS</t>
  </si>
  <si>
    <t>LAB-01092</t>
  </si>
  <si>
    <t>AGAR PLATE - MUELLER HINTON BLOOD - MRC</t>
  </si>
  <si>
    <t>LAB-01093</t>
  </si>
  <si>
    <t>WATER PURIFICATION SYSTEM CONSUMABLE - LC125 0.2 MICRON IN LINE FILTER</t>
  </si>
  <si>
    <t>LAB-01094</t>
  </si>
  <si>
    <t>VACUCARE - TUBE SST GOLD 6ML (BOX/100)</t>
  </si>
  <si>
    <t>LAB-01095</t>
  </si>
  <si>
    <t>HEMATOXYLIN - HARRIS - 2.5L</t>
  </si>
  <si>
    <t>LAB-01096</t>
  </si>
  <si>
    <t>PIPETTE STAND - 4 SLOTS</t>
  </si>
  <si>
    <t>LAB-01097</t>
  </si>
  <si>
    <t>REACTION BUFFER CONCENTRATE (10X) - IHC REAGENT</t>
  </si>
  <si>
    <t>LAB-01098</t>
  </si>
  <si>
    <t>RAPID TEST - HBSAG - ARIA (25T)</t>
  </si>
  <si>
    <t>LAB-01099</t>
  </si>
  <si>
    <t>KP MARKER PENS (BOX/12)</t>
  </si>
  <si>
    <t>LAB-01100</t>
  </si>
  <si>
    <t>BD - ANTIBIOTIC SENSITIVITY DISC - NITROFURANTOIN 300MG</t>
  </si>
  <si>
    <t>LAB-01101</t>
  </si>
  <si>
    <t>KIT DENSICHEK PLUS STANDARDS</t>
  </si>
  <si>
    <t>LAB-01102</t>
  </si>
  <si>
    <t>PIPETTE BULB 2ML (A - GRADE)</t>
  </si>
  <si>
    <t>LAB-01103</t>
  </si>
  <si>
    <t>ANTIBIOTIC SENSITIVITY DISC - CEFOTAXIME 30UG</t>
  </si>
  <si>
    <t>LAB-01104</t>
  </si>
  <si>
    <t>ROTORS 3 PIECES - CHEMISTRY REAGENT</t>
  </si>
  <si>
    <t>LAB-01105</t>
  </si>
  <si>
    <t>YEARLY MAINTENANCE KIT PRO S - CHEMISTRY REAGENT</t>
  </si>
  <si>
    <t>LAB-01106</t>
  </si>
  <si>
    <t>ISE CONSUMABLE KIT (NA+K+CL+BYP+REF ELECTRODES +TUBING SET) - CHEMISTRY REAGENT</t>
  </si>
  <si>
    <t>LAB-01107</t>
  </si>
  <si>
    <t>ALBUMIN (20ML) - BARCODED (48 TESTS) - CHEMISTRY REAGENT</t>
  </si>
  <si>
    <t>LAB-01108</t>
  </si>
  <si>
    <t>ALT/GPT (R1 20ML + R2 5ML) - BARCODED (66 TESTS) - CHEMISTRY REAGENT</t>
  </si>
  <si>
    <t>LAB-01109</t>
  </si>
  <si>
    <t>ALT/GPT (R1 100ML + R2 25ML) (1800 TESTS) - CHEMISTRY REAGENT</t>
  </si>
  <si>
    <t>LAB-01110</t>
  </si>
  <si>
    <t>AST/GOT (R1 20ML + R2 5ML) - BARCODED - CHEMISTRY REAGENT</t>
  </si>
  <si>
    <t>LAB-01111</t>
  </si>
  <si>
    <t>AST/GOT (R1 100ML + R2 25ML) - CHEMISTRY REAGENT</t>
  </si>
  <si>
    <t>LAB-01112</t>
  </si>
  <si>
    <t>URIC ACID MONO (20ML) - BARCODED (68 TESTS) - CHEMISTRY REAGENT</t>
  </si>
  <si>
    <t>LAB-01113</t>
  </si>
  <si>
    <t>BILIRUBIN DIRECT VTL (R1 20ML + R2 5ML) - BARCODED (66 TESTS) - CHEMISTRY REAGENT</t>
  </si>
  <si>
    <t>LAB-01114</t>
  </si>
  <si>
    <t>BILIRUBIN DIRECT ML (125ML) (356 TESTS) - CHEMISTRY REAGENT</t>
  </si>
  <si>
    <t>LAB-01115</t>
  </si>
  <si>
    <t>BILIRUBIN TOTAL VTL (R1 20ML + R2 5ML) - BARCODED (66 TESTS) - CHEMISTRY REAGENT</t>
  </si>
  <si>
    <t>LAB-01116</t>
  </si>
  <si>
    <t>BILIRUBIN TOTAL ML (R1 100ML + R2 25ML) (712 TESTS) - CHEMISTRY REAGENT</t>
  </si>
  <si>
    <t>LAB-01117</t>
  </si>
  <si>
    <t>CALCIUM ARSENAZO (20ML) - BARCODED (57 TESTS) - CHEMISTRY REAGENT</t>
  </si>
  <si>
    <t>LAB-01118</t>
  </si>
  <si>
    <t>ELICAL 2 MULTIPARAMETRIC CALIBRATOR (3ML) - CHEMISTRY REAGENT</t>
  </si>
  <si>
    <t>LAB-01119</t>
  </si>
  <si>
    <t>HDL CHOLESTEROL (28 ML) - BARCODED (79 TESTS) - CHEMISTRY REAGENT</t>
  </si>
  <si>
    <t>LAB-01120</t>
  </si>
  <si>
    <t>HDL CHOLESTEROL (120ML) (683 TESTS) - CHEMISTRY REAGENT</t>
  </si>
  <si>
    <t>LAB-01121</t>
  </si>
  <si>
    <t>CHOLESTEROL (20ML) - BARCODED ( 57 TESTS) - CHEMISTRY REAGENT</t>
  </si>
  <si>
    <t>LAB-01122</t>
  </si>
  <si>
    <t>ELITROL I NORMAL (5ML) - CHEMISTRY REAGENT</t>
  </si>
  <si>
    <t>LAB-01123</t>
  </si>
  <si>
    <t>ELITROL II ABNORMAL (5ML) - CHEMISTRY REAGENT</t>
  </si>
  <si>
    <t>LAB-01124</t>
  </si>
  <si>
    <t>CREATININE JAFFE (125ML) +STANDARD (806 TESTS) - CHEMISTRY REAGENT</t>
  </si>
  <si>
    <t>LAB-01125</t>
  </si>
  <si>
    <t>CREATININE PAP (28ML) - BARCODED (83 TESTS) - CHEMISTRY REAGENT</t>
  </si>
  <si>
    <t>LAB-01126</t>
  </si>
  <si>
    <t>GAMMA-GT PLUS (25ML) - BARCODED (72 TESTS) - CHEMISTRY REAGENT</t>
  </si>
  <si>
    <t>LAB-01127</t>
  </si>
  <si>
    <t>GAMMA-GT PLUS (62.5ML) (390 TESTS) - CHEMISTRY REAGENT</t>
  </si>
  <si>
    <t>LAB-01128</t>
  </si>
  <si>
    <t>GLUCOSE PAP (20ML) - BARCODED (57 TESTS) - CHEMISTRY REAGENT</t>
  </si>
  <si>
    <t>LAB-01129</t>
  </si>
  <si>
    <t>HDL LDL CALIBRATOR (1ML) - CHEMISTRY REAGENT</t>
  </si>
  <si>
    <t>LAB-01130</t>
  </si>
  <si>
    <t>ISE CALIBRATOR (HI 20ML + LO 20ML) - CHEMISTRY REAGENT</t>
  </si>
  <si>
    <t>LAB-01131</t>
  </si>
  <si>
    <t>CLEANER (6X8ML) + CONDITIONER (3X25ML) - CHEMISTRY REAGENT</t>
  </si>
  <si>
    <t>LAB-01132</t>
  </si>
  <si>
    <t>ISE DILUENT (25ML) - CHEMISTRY REAGENT</t>
  </si>
  <si>
    <t>LAB-01133</t>
  </si>
  <si>
    <t>ISE REFERENCE SOLUTION (500ML) - CHEMISTRY REAGENT</t>
  </si>
  <si>
    <t>LAB-01134</t>
  </si>
  <si>
    <t>LDH-L (25ML) - BARCODED (80 TESTS) - CHEMISTRY REAGENT</t>
  </si>
  <si>
    <t>LAB-01135</t>
  </si>
  <si>
    <t>ALP (DEA) (25ML) - BARCODED (80 TESTS) - CHEMISTRY REAGENT</t>
  </si>
  <si>
    <t>LAB-01136</t>
  </si>
  <si>
    <t>ALP (DEA) (62.5ML) (424 TESTS) - CHEMISTRY REAGENT</t>
  </si>
  <si>
    <t>LAB-01137</t>
  </si>
  <si>
    <t>TOTAL PROTEIN PLUS (20ML) - BARCODED (57 TESTS) - CHEMISTRY REAGENT</t>
  </si>
  <si>
    <t>LAB-01138</t>
  </si>
  <si>
    <t>TOTAL PROTEIN PLUS (125ML) +STANDARD (365 TESTS) - CHEMISTRY REAGENT</t>
  </si>
  <si>
    <t>LAB-01139</t>
  </si>
  <si>
    <t>ACID SOLUTION - CHEMISTRY REAGENT</t>
  </si>
  <si>
    <t>LAB-01140</t>
  </si>
  <si>
    <t>SYSTEM CLEANING SOLUTION - CHEMISTRY REAGENT</t>
  </si>
  <si>
    <t>LAB-01141</t>
  </si>
  <si>
    <t>SYSTEM SOLUTION - CHEMISTRY REAGENT</t>
  </si>
  <si>
    <t>LAB-01142</t>
  </si>
  <si>
    <t>TRIGLYCERIDES (20ML) - BARCODED (57 TESTS) - CHEMISTRY REAGENT</t>
  </si>
  <si>
    <t>LAB-01143</t>
  </si>
  <si>
    <t>UREA UV (25ML) - BARCODED (66 TESTS) - CHEMISTRY REAGENT</t>
  </si>
  <si>
    <t>LAB-01144</t>
  </si>
  <si>
    <t>HBSAG QUANTITATIVE CALIBRATOR - IMMUNOASSAY REAGENT</t>
  </si>
  <si>
    <t>LAB-01145</t>
  </si>
  <si>
    <t>MOLECULAR ANALYSER CONSUMABLE - SP1000 CE-IVD EXTRACTION CARTRIDGES</t>
  </si>
  <si>
    <t>LAB-01146</t>
  </si>
  <si>
    <t>MOLECULAR ANALYSER CONSUMABLE - INSTALLATION KIT</t>
  </si>
  <si>
    <t>LAB-01147</t>
  </si>
  <si>
    <t>KIT TRICHROME DE MASSON BIO-OPTICA (1 KIT)</t>
  </si>
  <si>
    <t>LAB-01148</t>
  </si>
  <si>
    <t>KIT PERLS BIO-OPTICA (1 KIT)</t>
  </si>
  <si>
    <t>LAB-01149</t>
  </si>
  <si>
    <t>KIT PAS BIO-OPTICA (1 L)</t>
  </si>
  <si>
    <t>LAB-01150</t>
  </si>
  <si>
    <t>CRP IP (R1 2X25ML + R2 5ML) - BARCODED (160 TESTS) - CHEMISTRY REAGENT</t>
  </si>
  <si>
    <t>LAB-01151</t>
  </si>
  <si>
    <t>HBA1C (32ML) (89 TESTS) - CHEMISTRY REAGENT</t>
  </si>
  <si>
    <t>LAB-01152</t>
  </si>
  <si>
    <t>MICRO ALB IP (R1 2X25ML R2 5ML) (100 TESTS) - CHEMISTRY REAGENT</t>
  </si>
  <si>
    <t>LAB-01153</t>
  </si>
  <si>
    <t>ETHANOL 99.9%</t>
  </si>
  <si>
    <t>LAB-01154</t>
  </si>
  <si>
    <t>HAEMATOLOGY ANALYSER CONSUMABLE - G-CAL</t>
  </si>
  <si>
    <t>LAB-01155</t>
  </si>
  <si>
    <t>CRP IP CALIBRATOR (1ML) - CHEMISTRY REAGENT</t>
  </si>
  <si>
    <t>LAB-01156</t>
  </si>
  <si>
    <t>CRP IP CONTROL I (1 ML) - CHEMISTRY REAGENT</t>
  </si>
  <si>
    <t>LAB-01157</t>
  </si>
  <si>
    <t>CRP IP CONTROL II (1 ML) - CHEMISTRY REAGENT</t>
  </si>
  <si>
    <t>LAB-01158</t>
  </si>
  <si>
    <t>C-PEPTIDE CALIBRATOR - IMMUNOASSAY REAGENT</t>
  </si>
  <si>
    <t>LAB-01159</t>
  </si>
  <si>
    <t>RAPID TEST - D-DIMER - VEDA</t>
  </si>
  <si>
    <t>LAB-01160</t>
  </si>
  <si>
    <t>RAPID TEST - PROCALCITONIN - VEDA (60T)</t>
  </si>
  <si>
    <t>LAB-01161</t>
  </si>
  <si>
    <t>RAPID TEST - TROPONIN - VEDA (25T)</t>
  </si>
  <si>
    <t>LAB-01162</t>
  </si>
  <si>
    <t>AGAR PLATE - MACCONKEY WITHOUT SALT</t>
  </si>
  <si>
    <t>LAB-01163</t>
  </si>
  <si>
    <t>LAB-01164</t>
  </si>
  <si>
    <t>ANTI SERA A</t>
  </si>
  <si>
    <t>LAB-01165</t>
  </si>
  <si>
    <t>ANTI SERA B</t>
  </si>
  <si>
    <t>LAB-01166</t>
  </si>
  <si>
    <t>RAPID TEST - MALARIA - ARIA (25T)</t>
  </si>
  <si>
    <t>LAB-01167</t>
  </si>
  <si>
    <t>QUALITY CONTROL MATERIAL - SPECIALTY IMMUNOASSAY</t>
  </si>
  <si>
    <t>LAB-01168</t>
  </si>
  <si>
    <t>OG 6 (1L)</t>
  </si>
  <si>
    <t>LAB-01169</t>
  </si>
  <si>
    <t>DS III (NO3) STANDARD ABC</t>
  </si>
  <si>
    <t>LAB-01170</t>
  </si>
  <si>
    <t>CYTOLOGICAL FIXATIVE 150ML</t>
  </si>
  <si>
    <t>LAB-01171</t>
  </si>
  <si>
    <t>HBA1C CONTROL L+H (BTL/0.5ML) - CHEMISTRY REAGENT</t>
  </si>
  <si>
    <t>LAB-01172</t>
  </si>
  <si>
    <t>HBA1C CALIBRATOR SET (BTL/0.5 ML) - CHEMISTRY REAGENT</t>
  </si>
  <si>
    <t>LAB-01173</t>
  </si>
  <si>
    <t>METHYLATED SPIRIT 2L</t>
  </si>
  <si>
    <t>LAB-01174</t>
  </si>
  <si>
    <t>ROUND BOTTOM FLASK 1000ML</t>
  </si>
  <si>
    <t>LAB-01175</t>
  </si>
  <si>
    <t>ROUND BOTTOM FLASK 500ML</t>
  </si>
  <si>
    <t>LAB-01176</t>
  </si>
  <si>
    <t>STICKERS - 24 HOURS URINE</t>
  </si>
  <si>
    <t>LAB-01177</t>
  </si>
  <si>
    <t>STICKERS - ARROW UP (THIS WAY)</t>
  </si>
  <si>
    <t>LAB-01178</t>
  </si>
  <si>
    <t>TORCH SCREEN KIT</t>
  </si>
  <si>
    <t>LAB-01179</t>
  </si>
  <si>
    <t>STICKERS - EXEMPT HUMAN</t>
  </si>
  <si>
    <t>LAB-01180</t>
  </si>
  <si>
    <t>STICKERS - FRIDGE GOODS</t>
  </si>
  <si>
    <t>LAB-01181</t>
  </si>
  <si>
    <t>TUBES - COAGULATION</t>
  </si>
  <si>
    <t>LAB-01182</t>
  </si>
  <si>
    <t>APTT KIT - AGAPE</t>
  </si>
  <si>
    <t>LAB-01183</t>
  </si>
  <si>
    <t>DEPROTEINIZER (LABJENIK)</t>
  </si>
  <si>
    <t>LAB-01184</t>
  </si>
  <si>
    <t>ONSITE RAPID TEST READER</t>
  </si>
  <si>
    <t>LAB-01185</t>
  </si>
  <si>
    <t>C-PEPTIDE REAGENT - IMMUNOASSAY REAGENT</t>
  </si>
  <si>
    <t>LAB-01186</t>
  </si>
  <si>
    <t>RED VIRAL TRANSPORT MEDIA</t>
  </si>
  <si>
    <t>LAB-01187</t>
  </si>
  <si>
    <t>AGAR POWDER - DNASE 100G</t>
  </si>
  <si>
    <t>LAB-01188</t>
  </si>
  <si>
    <t>QUALITY CONTROL MATERIAL - MULTICHEM HBA1C BI-LEVEL (2 LVL/1ML EA)</t>
  </si>
  <si>
    <t>LAB-01189</t>
  </si>
  <si>
    <t>QUALITY CONTROL MATERIAL - AMH TRI-LEVEL ASSAYED (3 LVL/2ML EA)</t>
  </si>
  <si>
    <t>LAB-01190</t>
  </si>
  <si>
    <t>QUALITY CONTROL MATERIAL - MULTICHEM CSF ASSAYED L1 (BTL/2ML)</t>
  </si>
  <si>
    <t>LAB-01191</t>
  </si>
  <si>
    <t>QUALITY CONTROL MATERIAL - MULTICHEM CSF ASSAYED L2 (BTL/2ML)</t>
  </si>
  <si>
    <t>LAB-01192</t>
  </si>
  <si>
    <t>QUALITY CONTROL MATERIAL - MULTICHEM NEONATAL BILIRUBIN ASSAYED (BTL/2ML)</t>
  </si>
  <si>
    <t>LAB-01193</t>
  </si>
  <si>
    <t>QUALITY CONTROL MATERIAL - URINE ASSAYED L1 (BTL/10ML)</t>
  </si>
  <si>
    <t>LAB-01194</t>
  </si>
  <si>
    <t>QUALITY CONTROL MATERIAL - MULTICHEM S PLUS ASSAYED L1 (BTL/10ML)</t>
  </si>
  <si>
    <t>LAB-01195</t>
  </si>
  <si>
    <t>QUALITY CONTROL MATERIAL - MULTICHEM S PLUS ASSAYED L2 (BTL/10ML)</t>
  </si>
  <si>
    <t>LAB-01196</t>
  </si>
  <si>
    <t>QUALITY CONTROL MATERIAL - IA PLUS SINGLE ASSAYED L1 (BTL/5ML)</t>
  </si>
  <si>
    <t>LAB-01197</t>
  </si>
  <si>
    <t>QUALITY CONTROL MATERIAL - IA PLUS SINGLE ASSAYED L3 (BTL/5ML)</t>
  </si>
  <si>
    <t>LAB-01198</t>
  </si>
  <si>
    <t>FLUORIDE OXALATE (5ML)</t>
  </si>
  <si>
    <t>LAB-01199</t>
  </si>
  <si>
    <t>TONER TK - 5270 CYAN</t>
  </si>
  <si>
    <t>LAB-01200</t>
  </si>
  <si>
    <t>MICRO ALB IP CAL SET (1ML) - CHEMISTRY REAGENT</t>
  </si>
  <si>
    <t>LAB-01201</t>
  </si>
  <si>
    <t>MICRO ALB IP CONTROL I (1ML) - CHEMISTRY REAGENT</t>
  </si>
  <si>
    <t>LAB-01202</t>
  </si>
  <si>
    <t>MICRO ALB IP CONTROL II (1ML) - CHEMISTRY REAGENT</t>
  </si>
  <si>
    <t>LAB-01203</t>
  </si>
  <si>
    <t>PIPETTE TIPS YELLOW 2-200µL (BOX/1000)</t>
  </si>
  <si>
    <t>LAB-01204</t>
  </si>
  <si>
    <t>LOW PROFILE MICROTOME BLADES</t>
  </si>
  <si>
    <t>LAB-01205</t>
  </si>
  <si>
    <t>QUALITY CONTROL MATERIAL - MULTICHEM S PLUS ASSAYED L3 (BTL/10ML)</t>
  </si>
  <si>
    <t>LAB-01206</t>
  </si>
  <si>
    <t>BC DX - CONTRAD 70</t>
  </si>
  <si>
    <t>LAB-01207</t>
  </si>
  <si>
    <t>MOLECULAR ANALYSER CONSUMABLE - HEPA FILTER</t>
  </si>
  <si>
    <t>LAB-01208</t>
  </si>
  <si>
    <t>MOLECULAR ANALYSER CONSUMABLE - NEW TEACHING TOOL (FULL SET) - 2</t>
  </si>
  <si>
    <t>LAB-01209</t>
  </si>
  <si>
    <t>RAPID TEST - MALARIA - ONSITE (25T)</t>
  </si>
  <si>
    <t>LAB-01210</t>
  </si>
  <si>
    <t>LABJENIK PAPER</t>
  </si>
  <si>
    <t>LAB-01211</t>
  </si>
  <si>
    <t>TONER TK - 5770 (BLACK)</t>
  </si>
  <si>
    <t>LAB-01212</t>
  </si>
  <si>
    <t>TONER TK - 5770</t>
  </si>
  <si>
    <t>LAB-01213</t>
  </si>
  <si>
    <t>GIEMSA STAIN 100ML</t>
  </si>
  <si>
    <t>LAB-01214</t>
  </si>
  <si>
    <t>ISOPROPYL ACID</t>
  </si>
  <si>
    <t>LAB-01215</t>
  </si>
  <si>
    <t>RAL STAIN 555</t>
  </si>
  <si>
    <t>LAB-01216</t>
  </si>
  <si>
    <t>RAPID TEST - HBV PANEL</t>
  </si>
  <si>
    <t>LAB-01217</t>
  </si>
  <si>
    <t>RAPID TEST - TB SEROLOGY ARIA (25T)</t>
  </si>
  <si>
    <t>LAB-01218</t>
  </si>
  <si>
    <t>RAPID TEST - TB SEROLOGY (96T)</t>
  </si>
  <si>
    <t>LAB-01219</t>
  </si>
  <si>
    <t>CHLORAL HYDRATE</t>
  </si>
  <si>
    <t>LAB-01220</t>
  </si>
  <si>
    <t>RAPID TEST - HIV - STAT PAK (20T)</t>
  </si>
  <si>
    <t>LAB-01221</t>
  </si>
  <si>
    <t>PRECOATED SLIDE</t>
  </si>
  <si>
    <t>LAB-01222</t>
  </si>
  <si>
    <t>AMYLASE SL VTL (20 ML) (57 TESTS) - CHEMISTRY REAGENT</t>
  </si>
  <si>
    <t>LAB-01223</t>
  </si>
  <si>
    <t>BLOOD GAS ANALYSER QC PACK</t>
  </si>
  <si>
    <t>LAB-01224</t>
  </si>
  <si>
    <t>ANALYSER CONSUMABLE - ASSAY PELTIER</t>
  </si>
  <si>
    <t>LAB-01225</t>
  </si>
  <si>
    <t>ANALYSER CONSUMABLE - PUMP LIQ METERING REAGENT DISPENSER 1.0M</t>
  </si>
  <si>
    <t>LAB-01226</t>
  </si>
  <si>
    <t>ANALYSER CONSUMABLE - WASTE PUMP ASS'Y</t>
  </si>
  <si>
    <t>LAB-01227</t>
  </si>
  <si>
    <t>ANALYSER CONSUMABLE - ASSY TENSION BRKT OFFSET L.H FS</t>
  </si>
  <si>
    <t>LAB-01228</t>
  </si>
  <si>
    <t>ANALYSER CONSUMABLE - ASSY TENSION BRKT OFFSET R.H FS</t>
  </si>
  <si>
    <t>LAB-01229</t>
  </si>
  <si>
    <t>DEPROTEIN SOLUTION - CHEMISTRY REAGENT</t>
  </si>
  <si>
    <t>LAB-01230</t>
  </si>
  <si>
    <t>PROCAL CHECK-1</t>
  </si>
  <si>
    <t>LAB-01231</t>
  </si>
  <si>
    <t>BARCODE LABELS 9-UP 1.3CM x 4CM</t>
  </si>
  <si>
    <t>LAB-01232</t>
  </si>
  <si>
    <t>BLOOD CULTURE BOTTLE - ANAEROBIC/F (BOX)</t>
  </si>
  <si>
    <t>LAB-01233</t>
  </si>
  <si>
    <t>BLOOD CULTURE BOTTLE - AEROBIC (BOX)</t>
  </si>
  <si>
    <t>LAB-01234</t>
  </si>
  <si>
    <t>TONER HP - 179 FNW BLACK</t>
  </si>
  <si>
    <t>LAB-01235</t>
  </si>
  <si>
    <t>TONER HP - 179 FNW CYAN</t>
  </si>
  <si>
    <t>LAB-01236</t>
  </si>
  <si>
    <t>TONER HP - 179 FNW YELLOW</t>
  </si>
  <si>
    <t>LAB-01237</t>
  </si>
  <si>
    <t>TONER HP - 179 FNW MAGENTA</t>
  </si>
  <si>
    <t>LAB-01238</t>
  </si>
  <si>
    <t>ANALYSER CONSUMABLE - BEADS 7 MICRON PARTICLES COUNTER STD</t>
  </si>
  <si>
    <t>LAB-01239</t>
  </si>
  <si>
    <t>ANALYSER CONSUMABLE - WASH/PREC VALVE MOTOR ASSY</t>
  </si>
  <si>
    <t>LAB-01240</t>
  </si>
  <si>
    <t>ANALYSER CONSUMABLE - ASSY VALVE HOME SENSOR</t>
  </si>
  <si>
    <t>LAB-01241</t>
  </si>
  <si>
    <t>RAPID TEST - TORCH PANEL - ARIA (25T)</t>
  </si>
  <si>
    <t>LAB-01242</t>
  </si>
  <si>
    <t>EXTERNAL QC PANEL - SPERM SCREEN AND COUNT (3X2)</t>
  </si>
  <si>
    <t>LAB-01243</t>
  </si>
  <si>
    <t>ELASTIQUE BLOND 80 MM SAC DE 1 KG</t>
  </si>
  <si>
    <t>LAB-01244</t>
  </si>
  <si>
    <t>HEMOCUE MICROCUVETTES POUR HBA1C 501</t>
  </si>
  <si>
    <t>LAB-01245</t>
  </si>
  <si>
    <t>RAPID TEST - SYPHILIS VDRL (25T)</t>
  </si>
  <si>
    <t>LAB-01246</t>
  </si>
  <si>
    <t>TUBE SODIUM CITRATE BLEU 3.6ML (100)</t>
  </si>
  <si>
    <t>LAB-01247</t>
  </si>
  <si>
    <t>D-DIMER EXCLUSION (60T) - IMMUNOASSAY REAGENT</t>
  </si>
  <si>
    <t>LAB-01248</t>
  </si>
  <si>
    <t>HIGH SENSITIVE TROPONIN I (60T) - IMMUNOASSAY REAGENT</t>
  </si>
  <si>
    <t>LAB-01249</t>
  </si>
  <si>
    <t>MICROBIOLOGY ID/AST CARD - GN TEST KIT (20C)</t>
  </si>
  <si>
    <t>LAB-01250</t>
  </si>
  <si>
    <t>MICROBIOLOGY ID/AST CARD - GP TEST KIT (20C)</t>
  </si>
  <si>
    <t>LAB-01251</t>
  </si>
  <si>
    <t>WIDAL FEBRILE ANTIGEN 8X5ML</t>
  </si>
  <si>
    <t>LAB-01252</t>
  </si>
  <si>
    <t>CRP CONTROL LOW - CHEMISTRY REAGENT</t>
  </si>
  <si>
    <t>LAB-01253</t>
  </si>
  <si>
    <t>ALBUMIN - CHEMISTRY REAGENT</t>
  </si>
  <si>
    <t>LAB-01254</t>
  </si>
  <si>
    <t>AMYLASE - CHEMISTRY REAGENT</t>
  </si>
  <si>
    <t>LAB-01255</t>
  </si>
  <si>
    <t>CALCIUM - CHEMISTRY REAGENT</t>
  </si>
  <si>
    <t>LAB-01256</t>
  </si>
  <si>
    <t>CHOLESTEROL - CHEMISTRY REAGENT</t>
  </si>
  <si>
    <t>LAB-01257</t>
  </si>
  <si>
    <t>LAB-01258</t>
  </si>
  <si>
    <t>LAB-01259</t>
  </si>
  <si>
    <t>PHOSPHORUS - CHEMISTRY REAGENT</t>
  </si>
  <si>
    <t>LAB-01260</t>
  </si>
  <si>
    <t>AST/GOT - CHEMISTRY REAGENT</t>
  </si>
  <si>
    <t>LAB-01261</t>
  </si>
  <si>
    <t>ALT/GPT - CHEMISTRY REAGENT</t>
  </si>
  <si>
    <t>LAB-01262</t>
  </si>
  <si>
    <t>LAB-01263</t>
  </si>
  <si>
    <t>LAB-01264</t>
  </si>
  <si>
    <t>LAB-01265</t>
  </si>
  <si>
    <t>CREATININE - CHEMISTRY REAGENT</t>
  </si>
  <si>
    <t>LAB-01266</t>
  </si>
  <si>
    <t>LAB-01267</t>
  </si>
  <si>
    <t>TRIGLYCERIDES - CHEMISTRY REAGENT</t>
  </si>
  <si>
    <t>LAB-01268</t>
  </si>
  <si>
    <t>HDL DIRECT - CHEMISTRY REAGENT</t>
  </si>
  <si>
    <t>LAB-01269</t>
  </si>
  <si>
    <t>LAB-01270</t>
  </si>
  <si>
    <t>CRP CALIBRATOR - CHEMISTRY REAGENT</t>
  </si>
  <si>
    <t>LAB-01271</t>
  </si>
  <si>
    <t>HBA1C - CHEMISTRY REAGENT</t>
  </si>
  <si>
    <t>LAB-01272</t>
  </si>
  <si>
    <t>HDL/LDL CALIBRATOR - CHEMISTRY REAGENT</t>
  </si>
  <si>
    <t>LAB-01273</t>
  </si>
  <si>
    <t>MICROALBUMIN - CHEMISTRY REAGENT</t>
  </si>
  <si>
    <t>LAB-01274</t>
  </si>
  <si>
    <t>FERRITIN CALIBRATOR - CHEMISTRY REAGENT</t>
  </si>
  <si>
    <t>LAB-01275</t>
  </si>
  <si>
    <t>BIL D - CHEMISTRY REAGENT</t>
  </si>
  <si>
    <t>LAB-01276</t>
  </si>
  <si>
    <t>CRP CONTROL HIGH - CHEMISTRY REAGENT</t>
  </si>
  <si>
    <t>LAB-01277</t>
  </si>
  <si>
    <t>RAPID TEST - H PYLORI STOOL AG (25T)</t>
  </si>
  <si>
    <t>LAB-01278</t>
  </si>
  <si>
    <t>AMYLASE SL (50 ML) (146 TESTS) - CHEMISTRY REAGENT</t>
  </si>
  <si>
    <t>LAB-01279</t>
  </si>
  <si>
    <t>GLUCOSE HK SL (125ML) - CHEMISTRY REAGENT</t>
  </si>
  <si>
    <t>LAB-01280</t>
  </si>
  <si>
    <t>MAGNESIUM XB (100ML) + STD (292 TESTS) - CHEMISTRY REAGENT</t>
  </si>
  <si>
    <t>LAB-01281</t>
  </si>
  <si>
    <t>UREA UV SL (62.5ML) + STD (720 TESTS) - CHEMISTRY REAGENT</t>
  </si>
  <si>
    <t>LAB-01282</t>
  </si>
  <si>
    <t>QUALITY CONTROL MATERIAL - ASSAYED CHEM L1</t>
  </si>
  <si>
    <t>LAB-01283</t>
  </si>
  <si>
    <t>QUALITY CONTROL MATERIAL - ASSAYED CHEM L2</t>
  </si>
  <si>
    <t>LAB-01284</t>
  </si>
  <si>
    <t>TONER HP - 117A (BLACK)</t>
  </si>
  <si>
    <t>LAB-01285</t>
  </si>
  <si>
    <t>TONER HP - 117A (CYAN)</t>
  </si>
  <si>
    <t>LAB-01286</t>
  </si>
  <si>
    <t>TONER HP - 117A (YELLOW)</t>
  </si>
  <si>
    <t>LAB-01287</t>
  </si>
  <si>
    <t>TONER HP - 117A (MAGENTA)</t>
  </si>
  <si>
    <t>LAB-01288</t>
  </si>
  <si>
    <t>CLEANING SOLUTION ( LABJENIKS)</t>
  </si>
  <si>
    <t>LAB-01289</t>
  </si>
  <si>
    <t>RAPID TEST - HCV - DETERMINE (100T)</t>
  </si>
  <si>
    <t>LAB-01290</t>
  </si>
  <si>
    <t>RAPID TEST - CA 19-9 CHECK - VEDA (25T)</t>
  </si>
  <si>
    <t>LAB-01291</t>
  </si>
  <si>
    <t>PHOSPHORUS (20ML) (57 TESTS) - CHEMISTRY REAGENT</t>
  </si>
  <si>
    <t>LAB-01292</t>
  </si>
  <si>
    <t>TRANSFERRIN IP 2X7ML + 2X26ML (90 TESTS) - CHEMISTRY REAGENT</t>
  </si>
  <si>
    <t>LAB-01293</t>
  </si>
  <si>
    <t>COVERSLIPS 24X50MM (100) (PREMIER)</t>
  </si>
  <si>
    <t>LAB-01294</t>
  </si>
  <si>
    <t>SODIUM ELECTRODE - CHEMISTRY REAGENT</t>
  </si>
  <si>
    <t>LAB-01295</t>
  </si>
  <si>
    <t>POTASSIUM ELECTRODE - CHEMISTRY REAGENT</t>
  </si>
  <si>
    <t>LAB-01296</t>
  </si>
  <si>
    <t>CHLORIDE ELECTRODE - CHEMISTRY REAGENT</t>
  </si>
  <si>
    <t>LAB-01297</t>
  </si>
  <si>
    <t>EU 8-SINGLE ATTACHABLE OPTICAL</t>
  </si>
  <si>
    <t>LAB-01298</t>
  </si>
  <si>
    <t>RAPID TEST - FOB - ARIA (25T)</t>
  </si>
  <si>
    <t>LAB-01299</t>
  </si>
  <si>
    <t>POTASSIUM CITRATE</t>
  </si>
  <si>
    <t>LAB-01300</t>
  </si>
  <si>
    <t>ACID FAST BACILLI(AFB) STAINS</t>
  </si>
  <si>
    <t>LAB-01301</t>
  </si>
  <si>
    <t>N-ETHYLMALEIMIDE</t>
  </si>
  <si>
    <t>LAB-01302</t>
  </si>
  <si>
    <t>CELLULAR BASE SOLUTION</t>
  </si>
  <si>
    <t>LAB-01303</t>
  </si>
  <si>
    <t>BIL T 330 - CHEMISTRY REAGENT</t>
  </si>
  <si>
    <t>LAB-01304</t>
  </si>
  <si>
    <t>XL WASH - CHEMISTRY REAGENT</t>
  </si>
  <si>
    <t>LAB-01305</t>
  </si>
  <si>
    <t>XL AUTO WASH AC/AL - CHEMISTRY REAGENT</t>
  </si>
  <si>
    <t>LAB-01306</t>
  </si>
  <si>
    <t>NORM - CHEMISTRY REAGENT</t>
  </si>
  <si>
    <t>LAB-01307</t>
  </si>
  <si>
    <t>PATH - CHEMISTRY REAGENT</t>
  </si>
  <si>
    <t>LAB-01308</t>
  </si>
  <si>
    <t>COBAS - PUMP TUBE</t>
  </si>
  <si>
    <t>LAB-01309</t>
  </si>
  <si>
    <t>APAFIX FECAL PARASITE CONCENTRATION 3.3ML</t>
  </si>
  <si>
    <t>LAB-01310</t>
  </si>
  <si>
    <t>LABJENIK - POTASSIUM K ELECTRODE</t>
  </si>
  <si>
    <t>LAB-01311</t>
  </si>
  <si>
    <t>LABJENIK - SODIUM ELECTRODE</t>
  </si>
  <si>
    <t>LAB-01312</t>
  </si>
  <si>
    <t>LABJENIK - REF FILLING SOLUTION</t>
  </si>
  <si>
    <t>LAB-01313</t>
  </si>
  <si>
    <t>LABJENIK - ISE FILLING SOLUTION</t>
  </si>
  <si>
    <t>LAB-01314</t>
  </si>
  <si>
    <t>COFFRET MONNAIE CASIER BLEU NO4</t>
  </si>
  <si>
    <t>LAB-01315</t>
  </si>
  <si>
    <t>PTH (2X50) - IMMUNOASSAY REAGENT</t>
  </si>
  <si>
    <t>LAB-01316</t>
  </si>
  <si>
    <t>PTH CALIBRATOR - IMMUNOASSAY REAGENT</t>
  </si>
  <si>
    <t>LAB-01317</t>
  </si>
  <si>
    <t>QUALITY CONTROL MATERIAL - URINE ASSAYED L2 (BTL/10ML)</t>
  </si>
  <si>
    <t>LAB-01318</t>
  </si>
  <si>
    <t>BLOOD CULTURE BOTTLE - PAEDIATRIC (BOX)</t>
  </si>
  <si>
    <t>LAB-01319</t>
  </si>
  <si>
    <t>HEMOCUE HB 201 CUVETTED</t>
  </si>
  <si>
    <t>LAB-01320</t>
  </si>
  <si>
    <t>CONFIRM ANTI-THYROID TRANSCRIPTION FACT - IHC REAGENT</t>
  </si>
  <si>
    <t>LAB-01321</t>
  </si>
  <si>
    <t>LABEL BLANK FLAP (540) - IHC REAGENT</t>
  </si>
  <si>
    <t>LAB-01322</t>
  </si>
  <si>
    <t>HYBRITECH PSA QC KIT - IMMUNOASSAY REAGENT</t>
  </si>
  <si>
    <t>LAB-01323</t>
  </si>
  <si>
    <t>HYBRITECH FREE PSA QC - IMMUNOASSAY REAGENT</t>
  </si>
  <si>
    <t>LAB-01324</t>
  </si>
  <si>
    <t>HYBRITECH FREE PSA CAL - IMMUNOASSAY REAGENT</t>
  </si>
  <si>
    <t>LAB-01325</t>
  </si>
  <si>
    <t>TONER TK - 5270 BLACK</t>
  </si>
  <si>
    <t>LAB-01326</t>
  </si>
  <si>
    <t>TONER TK - 5270 YELLOW</t>
  </si>
  <si>
    <t>LAB-01327</t>
  </si>
  <si>
    <t>TONER TK - 5270 MAGENTA</t>
  </si>
  <si>
    <t>LAB-01328</t>
  </si>
  <si>
    <t>THROMBOPLASTIN DIALAB</t>
  </si>
  <si>
    <t>LAB-01329</t>
  </si>
  <si>
    <t>COAGULATION ANALYSER CONSUMABLE - ACTIN FS (10X10ML)</t>
  </si>
  <si>
    <t>LAB-01330</t>
  </si>
  <si>
    <t>MARKER PEN RED</t>
  </si>
  <si>
    <t>LAB-01331</t>
  </si>
  <si>
    <t>MICROPIPETTE ACCUMAX 200-1000UL</t>
  </si>
  <si>
    <t>LAB-01332</t>
  </si>
  <si>
    <t>DPX MOUNTANT 500 ML</t>
  </si>
  <si>
    <t>LAB-01333</t>
  </si>
  <si>
    <t>GLUCOMETER</t>
  </si>
  <si>
    <t>LAB-01334</t>
  </si>
  <si>
    <t>VITAMIN D 2X21ML + 2X5ML (101 TESTS) - CHEMISTRY REAGENT</t>
  </si>
  <si>
    <t>LAB-01335</t>
  </si>
  <si>
    <t>THROMBOPLASTIN(AGAPE)</t>
  </si>
  <si>
    <t>LAB-01336</t>
  </si>
  <si>
    <t>RAPID TEST - DS-III STANDARD AANALYSER CONSUMABLE - VEDA</t>
  </si>
  <si>
    <t>LAB-01337</t>
  </si>
  <si>
    <t>LAB-01338</t>
  </si>
  <si>
    <t>RAPID TEST - CA 19-9 - VEDA</t>
  </si>
  <si>
    <t>LAB-01339</t>
  </si>
  <si>
    <t>ALPI IFCC VTL (328 TESTS) - CHEMISTRY REAGENT</t>
  </si>
  <si>
    <t>LAB-01340</t>
  </si>
  <si>
    <t>LIPASE - CHEMISTRY REAGENT</t>
  </si>
  <si>
    <t>LAB-01341</t>
  </si>
  <si>
    <t>RHEUMATOID FACTOR (144 TESTS) - CHEMISTRY REAGENT</t>
  </si>
  <si>
    <t>LAB-01342</t>
  </si>
  <si>
    <t>RF CALIBRATOR - CHEMISTRY REAGENT</t>
  </si>
  <si>
    <t>LAB-01343</t>
  </si>
  <si>
    <t>RHEUMATOLOGY CONTROL I - CHEMISTRY REAGENT</t>
  </si>
  <si>
    <t>LAB-01344</t>
  </si>
  <si>
    <t>RHEUMATOLOGY CONTROL II - CHEMISTRY REAGENT</t>
  </si>
  <si>
    <t>LAB-01345</t>
  </si>
  <si>
    <t>ECS EMPTY VIALS + CAPS 10X10 ML - CHEMISTRY REAGENT</t>
  </si>
  <si>
    <t>LAB-01346</t>
  </si>
  <si>
    <t>ECS EMPTY VIALS + CAPS 30X25 ML - CHEMISTRY REAGENT</t>
  </si>
  <si>
    <t>LAB-01347</t>
  </si>
  <si>
    <t>LAB-01348</t>
  </si>
  <si>
    <t>CARBON DIOXIDE ELECTRODE - CHEMISTRY REAGENT</t>
  </si>
  <si>
    <t>LAB-01349</t>
  </si>
  <si>
    <t>KIDNEY DISH</t>
  </si>
  <si>
    <t>LAB-01350</t>
  </si>
  <si>
    <t>KIDNEY TRAY</t>
  </si>
  <si>
    <t>LAB-01351</t>
  </si>
  <si>
    <t>CK NAC SL 25 ML VTL (66 TESTS) - CHEMISTRY REAGENT</t>
  </si>
  <si>
    <t>LAB-01352</t>
  </si>
  <si>
    <t>RAPID TEST - H PYLORI AB LABACON (25T)</t>
  </si>
  <si>
    <t>LAB-01353</t>
  </si>
  <si>
    <t>POC ANALYSER CONSUMABLE - CARDIAC PIPETTES</t>
  </si>
  <si>
    <t>LAB-01354</t>
  </si>
  <si>
    <t>BYPASS ELECTRODE - CHEMISTRY REAGENT</t>
  </si>
  <si>
    <t>LAB-01355</t>
  </si>
  <si>
    <t>CRYSTAL VIOLET - POWDER 25G</t>
  </si>
  <si>
    <t>LAB-01356</t>
  </si>
  <si>
    <t>GIEMSA STAIN 25G</t>
  </si>
  <si>
    <t>LAB-01357</t>
  </si>
  <si>
    <t>MAGNESIUM XB (24ML) VTL (70 TESTS) - CHEMISTRY REAGENT</t>
  </si>
  <si>
    <t>LAB-01358</t>
  </si>
  <si>
    <t>GLUCOSE HK SL (25ML) VTL (57 TESTS) - CHEMISTRY REAGENT</t>
  </si>
  <si>
    <t>LAB-01359</t>
  </si>
  <si>
    <t>MLH1(M1)MM PAB W US</t>
  </si>
  <si>
    <t>LAB-01360</t>
  </si>
  <si>
    <t>MSH2(G219-1129) MM PAB W</t>
  </si>
  <si>
    <t>LAB-01361</t>
  </si>
  <si>
    <t>MSH6(SP93)RM PAB W US</t>
  </si>
  <si>
    <t>LAB-01362</t>
  </si>
  <si>
    <t>DISPOSABLE LAB COAT - MEDIUM LARGE 10/PACK</t>
  </si>
  <si>
    <t>LAB-01363</t>
  </si>
  <si>
    <t>IRON FERENE 4 X 18.5 ML VTL (200 TESTS) - CHEMISTRY REAGENT</t>
  </si>
  <si>
    <t>LAB-01364</t>
  </si>
  <si>
    <t>IRON TIBC 2 X 25 + 2 X 7 ML (97 TESTS) - CHEMISTRY REAGENT</t>
  </si>
  <si>
    <t>LAB-01365</t>
  </si>
  <si>
    <t>IGA IP 5ML + 2 X 25ML (80 TESTS) - CHEMISTRY REAGENT</t>
  </si>
  <si>
    <t>LAB-01366</t>
  </si>
  <si>
    <t>IGG IP 5ML + 2 X 25ML (160 TESTS) - CHEMISTRY REAGENT</t>
  </si>
  <si>
    <t>LAB-01367</t>
  </si>
  <si>
    <t>IGM IP 5ML + 2 X 25ML (100 TESTS) - CHEMISTRY REAGENT</t>
  </si>
  <si>
    <t>LAB-01368</t>
  </si>
  <si>
    <t>PROTEIN IP CAL SET 5LEVX1ML - CHEMISTRY REAGENT</t>
  </si>
  <si>
    <t>LAB-01369</t>
  </si>
  <si>
    <t>URIC ACID SL 8X25ML VTL (85 TESTS) - CHEMISTRY REAGENT</t>
  </si>
  <si>
    <t>LAB-01370</t>
  </si>
  <si>
    <t>VITAMIN D CAL. SET 5 X 1 ML (LIQUID) - CHEMISTRY REAGENT</t>
  </si>
  <si>
    <t>LAB-01371</t>
  </si>
  <si>
    <t>VITAMIN D CTRL. SET 2X3 ML L+H (LIQUID) - CHEMISTRY REAGENT</t>
  </si>
  <si>
    <t>LAB-01372</t>
  </si>
  <si>
    <t>ANTIBIOTIC SENSITIVITY DISC - NOVOBIOCIN - OXOID</t>
  </si>
  <si>
    <t>LAB-01373</t>
  </si>
  <si>
    <t>TONER HP - 216A - NOIR</t>
  </si>
  <si>
    <t>LAB-01374</t>
  </si>
  <si>
    <t>TONER HP - 216A - CYAN</t>
  </si>
  <si>
    <t>LAB-01375</t>
  </si>
  <si>
    <t>TONER HP - 216A - MAGENTA</t>
  </si>
  <si>
    <t>LAB-01376</t>
  </si>
  <si>
    <t>TONER HP - 216A - YELLOW</t>
  </si>
  <si>
    <t>LAB-01377</t>
  </si>
  <si>
    <t>CASSETTE EMBEDDING PURPLE</t>
  </si>
  <si>
    <t>LAB-01378</t>
  </si>
  <si>
    <t>LAB-01379</t>
  </si>
  <si>
    <t>ULTRAVIEW UNIVERSAL DAB DETECTIION KIT - IHC REAGENT</t>
  </si>
  <si>
    <t>LAB-01380</t>
  </si>
  <si>
    <t>PIPETTE TIPS UNIVERSAL BLUE (BOX/500)</t>
  </si>
  <si>
    <t>LAB-01381</t>
  </si>
  <si>
    <t>VALVE SOL 2 WAY NC VALVE ASSY TERMINATED W/ 16 LEADS</t>
  </si>
  <si>
    <t>LAB-01382</t>
  </si>
  <si>
    <t>VALVE SOL 2-WAY 22 MM NC - 16 INCH LEAD</t>
  </si>
  <si>
    <t>LAB-01383</t>
  </si>
  <si>
    <t>EXTERNAL QC PANEL - SPERM MOTILITY (3X2)</t>
  </si>
  <si>
    <t>LAB-01384</t>
  </si>
  <si>
    <t>TUNING FORK</t>
  </si>
  <si>
    <t>LAB-01385</t>
  </si>
  <si>
    <t>PETELLA HAMMER</t>
  </si>
  <si>
    <t>LAB-01386</t>
  </si>
  <si>
    <t>LITHMAN STETHOSCOPE</t>
  </si>
  <si>
    <t>LAB-01387</t>
  </si>
  <si>
    <t>DISPOSABLE ECG ELECTRODE</t>
  </si>
  <si>
    <t>LAB-01388</t>
  </si>
  <si>
    <t>STAINLESS RECEIVER</t>
  </si>
  <si>
    <t>LAB-01389</t>
  </si>
  <si>
    <t>FIRST AID BOX</t>
  </si>
  <si>
    <t>LAB-01390</t>
  </si>
  <si>
    <t>LED EXAMINATION LAMP</t>
  </si>
  <si>
    <t>LAB-01391</t>
  </si>
  <si>
    <t>WASTE BIN</t>
  </si>
  <si>
    <t>LAB-01392</t>
  </si>
  <si>
    <t>FINGER OXIMETER</t>
  </si>
  <si>
    <t>LAB-01393</t>
  </si>
  <si>
    <t>SNELLAN CHART</t>
  </si>
  <si>
    <t>LAB-01394</t>
  </si>
  <si>
    <t>EXTERNAL QC PANEL - SPERM VIABILITY AND MORPHOLOGY (3X4)</t>
  </si>
  <si>
    <t>LAB-01395</t>
  </si>
  <si>
    <t>SAMPLE CUPS A (1000) - CHEMISTRY REAGENT</t>
  </si>
  <si>
    <t>LAB-01396</t>
  </si>
  <si>
    <t>TRIPOD STAND</t>
  </si>
  <si>
    <t>LAB-01397</t>
  </si>
  <si>
    <t>WIRE GAUZE</t>
  </si>
  <si>
    <t>LAB-01398</t>
  </si>
  <si>
    <t>SURGICAL BLADE (SIZE 21)</t>
  </si>
  <si>
    <t>LAB-01399</t>
  </si>
  <si>
    <t>QUALITY CONTROL MATERIAL - MULTICHEM U PLUS UNASSAYED L1 (BTL/10ML)</t>
  </si>
  <si>
    <t>LAB-01400</t>
  </si>
  <si>
    <t>QUALITY CONTROL MATERIAL - MULTICHEM U PLUS UNASSAYED L2 (BTL/10ML)</t>
  </si>
  <si>
    <t>LAB-01401</t>
  </si>
  <si>
    <t>ISE FLUID ACCESSORY KIT - CHEMISTRY REAGENT</t>
  </si>
  <si>
    <t>LAB-01402</t>
  </si>
  <si>
    <t>CHEMISTRY ANALYSER CONSUMABLE - SUGAR PROBE</t>
  </si>
  <si>
    <t>LAB-01403</t>
  </si>
  <si>
    <t>ISE LIQUID LEVEL SENSOR - CHEMISTRY REAGENT</t>
  </si>
  <si>
    <t>LAB-01404</t>
  </si>
  <si>
    <t>VALVE ASSY - CHEMISTRY REAGENT</t>
  </si>
  <si>
    <t>LAB-01405</t>
  </si>
  <si>
    <t>RAPID TEST - HERPES 1</t>
  </si>
  <si>
    <t>LAB-01406</t>
  </si>
  <si>
    <t>RAPID TEST - HERPES 2</t>
  </si>
  <si>
    <t>LAB-01407</t>
  </si>
  <si>
    <t>CONICAL FLASK 1000ML</t>
  </si>
  <si>
    <t>LAB-01408</t>
  </si>
  <si>
    <t>AGAR BOTTLE</t>
  </si>
  <si>
    <t>LAB-01409</t>
  </si>
  <si>
    <t>SAFETY LANCET</t>
  </si>
  <si>
    <t>LAB-01410</t>
  </si>
  <si>
    <t>HAND TOWELS</t>
  </si>
  <si>
    <t>LAB-01411</t>
  </si>
  <si>
    <t>LRG COLD CHAIN PACKAGING (COOLER BOX)</t>
  </si>
  <si>
    <t>LAB-01412</t>
  </si>
  <si>
    <t>HP-IMAGING DRUM UNIT FOR MFP179NFW CE1102A</t>
  </si>
  <si>
    <t>LAB-01413</t>
  </si>
  <si>
    <t>RAPID TEST - FOB - LABACON (25T)</t>
  </si>
  <si>
    <t>LAB-01414</t>
  </si>
  <si>
    <t>SMALL COLD CHAIN PACKAGING (COOLER BOX)</t>
  </si>
  <si>
    <t>LAB-01415</t>
  </si>
  <si>
    <t>VACCINE - HEPATITIS B ANGERIX ADULT</t>
  </si>
  <si>
    <t>LAB-01416</t>
  </si>
  <si>
    <t>RCPAQAP - GENERAL DIAGNOSTIC - LABORATORY</t>
  </si>
  <si>
    <t>LAB-01417</t>
  </si>
  <si>
    <t>GLUCOSE POWDER (15G)</t>
  </si>
  <si>
    <t>LAB-01418</t>
  </si>
  <si>
    <t>MULTICAL - CHEMISTRY REAGENT</t>
  </si>
  <si>
    <t>LAB-01419</t>
  </si>
  <si>
    <t>COMPLETE GENOTYPE KITS</t>
  </si>
  <si>
    <t>LAB-01420</t>
  </si>
  <si>
    <t>ALP - CHEMISTRY REAGENT</t>
  </si>
  <si>
    <t>LAB-01421</t>
  </si>
  <si>
    <t>BLOOD GAS ANALYSER CARTRIDGES</t>
  </si>
  <si>
    <t>LAB-01422</t>
  </si>
  <si>
    <t>ANTI-P504S (SP116) RABBIT MONOCLONAL PAB - IHC REAGENT</t>
  </si>
  <si>
    <t>LAB-01423</t>
  </si>
  <si>
    <t>E CADHERIN (EP700Y) PAB, CELL MARQUE - IHC REAGENT</t>
  </si>
  <si>
    <t>LAB-01424</t>
  </si>
  <si>
    <t>AGAR PLATE - MANNITOL SALT (MAST)</t>
  </si>
  <si>
    <t>LAB-01425</t>
  </si>
  <si>
    <t>LIQUID BASED CYTOLOGY PRESERVATIVE FLUID</t>
  </si>
  <si>
    <t>LAB-01426</t>
  </si>
  <si>
    <t>LAB-01427</t>
  </si>
  <si>
    <t>MICROBIOLOGY ID/AST CARD - 0.45% SALINE</t>
  </si>
  <si>
    <t>LAB-01428</t>
  </si>
  <si>
    <t>SPECIALITY IA LYPH 1 (6X2ML)</t>
  </si>
  <si>
    <t>LAB-01429</t>
  </si>
  <si>
    <t>SPECIALITY IA LYPH 3 (6X2ML)</t>
  </si>
  <si>
    <t>LAB-01430</t>
  </si>
  <si>
    <t>RAPID TEST - MALARIA - ABBOTT</t>
  </si>
  <si>
    <t>LAB-01431</t>
  </si>
  <si>
    <t>EXTERNAL QC PANEL - BACTERIAL IDENTIFICATION (1X12) - NEW</t>
  </si>
  <si>
    <t>LAB-01432</t>
  </si>
  <si>
    <t>OXIDASE STRIPS - MAST (25T)</t>
  </si>
  <si>
    <t>LAB-01433</t>
  </si>
  <si>
    <t>RAPID TEST - H PYLORI AG - ON SITE</t>
  </si>
  <si>
    <t>LAB-01434</t>
  </si>
  <si>
    <t>RAPID TEST - H PYLORI AG - ONSITE (100T)</t>
  </si>
  <si>
    <t>LAB-01435</t>
  </si>
  <si>
    <t>RAPID TEST - HCV - ONSITE (50T)</t>
  </si>
  <si>
    <t>LAB-01436</t>
  </si>
  <si>
    <t>RAPID TEST - HCV - ONSITE (25T)</t>
  </si>
  <si>
    <t>LAB-01437</t>
  </si>
  <si>
    <t>RAPID TEST - HCV - ONSITE (20T)</t>
  </si>
  <si>
    <t>LAB-01438</t>
  </si>
  <si>
    <t>RAPID TEST - HIV - LABACON (25T)</t>
  </si>
  <si>
    <t>LAB-01439</t>
  </si>
  <si>
    <t>NOBLE CUP - E-Z SPLIT 10P - (25T)</t>
  </si>
  <si>
    <t>LAB-01440</t>
  </si>
  <si>
    <t>ECG ELECTRODE</t>
  </si>
  <si>
    <t>LAB-01441</t>
  </si>
  <si>
    <t>ECG PAPER</t>
  </si>
  <si>
    <t>LAB-01442</t>
  </si>
  <si>
    <t>RAPID TEST - HBSAG - CTK BIOTECH</t>
  </si>
  <si>
    <t>LAB-01443</t>
  </si>
  <si>
    <t>CONICAL FLASK BRUSH</t>
  </si>
  <si>
    <t>LAB-01444</t>
  </si>
  <si>
    <t>REACTION CUVETTE - CHEMISTRY REAGENT</t>
  </si>
  <si>
    <t>LAB-01445</t>
  </si>
  <si>
    <t>MICROBIOLOGICAL REFERENCE STRAIN - E COLI (8739)</t>
  </si>
  <si>
    <t>LAB-01446</t>
  </si>
  <si>
    <t>SODIUM BORATE 500G</t>
  </si>
  <si>
    <t>LAB-01447</t>
  </si>
  <si>
    <t>CHROMIUM TRIOXIDE 100G</t>
  </si>
  <si>
    <t>LAB-01448</t>
  </si>
  <si>
    <t>BEAKER GLASS 1000ML</t>
  </si>
  <si>
    <t>LAB-01449</t>
  </si>
  <si>
    <t>LAB-01450</t>
  </si>
  <si>
    <t>HANDHELD PH METER</t>
  </si>
  <si>
    <t>LAB-01451</t>
  </si>
  <si>
    <t>LABJENIKS-ELECTROLYTES REAGENT CO2</t>
  </si>
  <si>
    <t>LAB-01452</t>
  </si>
  <si>
    <t>LABJENIKS-QC SOLUTION</t>
  </si>
  <si>
    <t>LAB-01453</t>
  </si>
  <si>
    <t>HDL CHOLESTROL CALIBRATOR 28ML - CHEMISTRY REAGENT</t>
  </si>
  <si>
    <t>LAB-01454</t>
  </si>
  <si>
    <t>RAPID - MALARIA COMBO (PF PAN)  - ONSITE (BOX/30)</t>
  </si>
  <si>
    <t>LAB-01455</t>
  </si>
  <si>
    <t>LAB-01456</t>
  </si>
  <si>
    <t>CYTOKERATIN 5/6 (D5/16B4)</t>
  </si>
  <si>
    <t>LAB-01457</t>
  </si>
  <si>
    <t>SALMONELLA TYPHI POSITIVE CONTROL 1ML</t>
  </si>
  <si>
    <t>LAB-01458</t>
  </si>
  <si>
    <t>STAINLESS STEEL - RACK</t>
  </si>
  <si>
    <t>LAB-01459</t>
  </si>
  <si>
    <t>AGAR POWDER - MANNITOL SALT (MAST)</t>
  </si>
  <si>
    <t>LAB-01460</t>
  </si>
  <si>
    <t>AGAR POWDER - CLED - MAST</t>
  </si>
  <si>
    <t>LAB-01461</t>
  </si>
  <si>
    <t>ASSAYED CHEMISTRY CONTROL PREMIUM PLUS LVL 2 .20X5ML</t>
  </si>
  <si>
    <t>LAB-01462</t>
  </si>
  <si>
    <t>DISPOSABLE LAB SCRUBS</t>
  </si>
  <si>
    <t>LAB-01463</t>
  </si>
  <si>
    <t>URINE CREATININE CALIBRATOR - CHEMISTRY REAGENT</t>
  </si>
  <si>
    <t>LAB-01464</t>
  </si>
  <si>
    <t>MICROBIOLOGY ID/AST CARD - AST N255 TEST KIT (20C)</t>
  </si>
  <si>
    <t>LAB-01465</t>
  </si>
  <si>
    <t>ANALYSER THERMAL PRINTER PAPER</t>
  </si>
  <si>
    <t>LAB-01466</t>
  </si>
  <si>
    <t>DIASPOT RAPID MALARIA PF/PAN/25T</t>
  </si>
  <si>
    <t>LAB-01467</t>
  </si>
  <si>
    <t>HP LINEAR TAPE OPEN</t>
  </si>
  <si>
    <t>LAB-01468</t>
  </si>
  <si>
    <t>RF AGAPE (50 TEST)</t>
  </si>
  <si>
    <t>LAB-01469</t>
  </si>
  <si>
    <t>AGAR POWDER - MUELLER HINTON - HIMEDIA</t>
  </si>
  <si>
    <t>LAB-01470</t>
  </si>
  <si>
    <t>LABJENIKS DS-CO2 STANDARD</t>
  </si>
  <si>
    <t>LAB-01471</t>
  </si>
  <si>
    <t>TM MEDIA PEPTONE WATER ALKALINE POWDER</t>
  </si>
  <si>
    <t>LAB-01472</t>
  </si>
  <si>
    <t>TM MEDIA AGAR POWDER - TCBS</t>
  </si>
  <si>
    <t>LAB-01473</t>
  </si>
  <si>
    <t>TONER HP - 205A BLACK</t>
  </si>
  <si>
    <t>LAB-01474</t>
  </si>
  <si>
    <t>TONER HP - 205A MAGENTA</t>
  </si>
  <si>
    <t>LAB-01475</t>
  </si>
  <si>
    <t>TONER HP - 205A YELLOW</t>
  </si>
  <si>
    <t>LAB-01476</t>
  </si>
  <si>
    <t>TONER HP - 205A CYAN</t>
  </si>
  <si>
    <t>LAB-01477</t>
  </si>
  <si>
    <t>VEDALAB PAPER</t>
  </si>
  <si>
    <t>LAB-01478</t>
  </si>
  <si>
    <t>RAPID TEST - CA 125 - VEDA</t>
  </si>
  <si>
    <t>LAB-01479</t>
  </si>
  <si>
    <t>RAPID TEST - VEDALAB AFP</t>
  </si>
  <si>
    <t>LAB-01480</t>
  </si>
  <si>
    <t>RAPID TEST - CEA VEDA</t>
  </si>
  <si>
    <t>LAB-01481</t>
  </si>
  <si>
    <t>IMMUNOASSAY CTL. LVL 1. 12X5ML</t>
  </si>
  <si>
    <t>LAB-01482</t>
  </si>
  <si>
    <t>RAPID HEP A -- MICROPOINTS</t>
  </si>
  <si>
    <t>LAB-01483</t>
  </si>
  <si>
    <t>LASEC 8 CHANNEL PIPETTE 05-10UL</t>
  </si>
  <si>
    <t>LAB-01484</t>
  </si>
  <si>
    <t>VIDAS PROCALCITONINE</t>
  </si>
  <si>
    <t>LAB-01485</t>
  </si>
  <si>
    <t>MICRO LITHIUM HEPARIN TUBES (BOX/100)</t>
  </si>
  <si>
    <t>LAB-01486</t>
  </si>
  <si>
    <t>BIOHAZARD NYLON SMALL</t>
  </si>
  <si>
    <t>LAB-01487</t>
  </si>
  <si>
    <t>RAPID TESTS HEP A - SOLID</t>
  </si>
  <si>
    <t>LAB-01488</t>
  </si>
  <si>
    <t>ANTIBIOTIC SENSITIVITY DISC - CEFTAZANE/TAZOBACTAM 30UG</t>
  </si>
  <si>
    <t>LAB-01489</t>
  </si>
  <si>
    <t>LABJENIKS DS-C STANDARD</t>
  </si>
  <si>
    <t>LAB-01490</t>
  </si>
  <si>
    <t>TONER - LASER JET 151A</t>
  </si>
  <si>
    <t>LAB-01491</t>
  </si>
  <si>
    <t>CASSETTE EMBEDDING WHITE (500PC)</t>
  </si>
  <si>
    <t>LAB-01492</t>
  </si>
  <si>
    <t>LABJENIKS - PUMP TUBE</t>
  </si>
  <si>
    <t>LAB-01493</t>
  </si>
  <si>
    <t>LABJENIKS - C02 CLEANER</t>
  </si>
  <si>
    <t>LAB-01494</t>
  </si>
  <si>
    <t>CONICAL FLASK 500ML</t>
  </si>
  <si>
    <t>LAB-01495</t>
  </si>
  <si>
    <t>QUALITY CONTROL MATERIAL - SEDIM RATE CONTROL BILEVEL</t>
  </si>
  <si>
    <t>LAB-01496</t>
  </si>
  <si>
    <t>QUALITY CONTROL MATERIAL - DIABETES CONTROL LVL 1 (6 X 1 ML)</t>
  </si>
  <si>
    <t>LAB-01497</t>
  </si>
  <si>
    <t>QUALITY CONTROL MATERIAL - DIABETES CONTROL LVL 2 (6 X 1 ML)</t>
  </si>
  <si>
    <t>LAB-01498</t>
  </si>
  <si>
    <t>RAPID TEST - RPR SYPHILIS - ARIA (50T)</t>
  </si>
  <si>
    <t>LAB-01499</t>
  </si>
  <si>
    <t>WARD SCREEN</t>
  </si>
  <si>
    <t>LAB-01500</t>
  </si>
  <si>
    <t>MIC E-TEST STRIP - LEVOFLOXACIN</t>
  </si>
  <si>
    <t>LAB-01501</t>
  </si>
  <si>
    <t>URINE CONTAINER 30ML (200 PC)</t>
  </si>
  <si>
    <t>LAB-01502</t>
  </si>
  <si>
    <t>LABJENIK - CHLORIDE ELECTRODE</t>
  </si>
  <si>
    <t>LAB-01503</t>
  </si>
  <si>
    <t>LABJENIK - REFERENCE ELECTRODE</t>
  </si>
  <si>
    <t>LAB-01504</t>
  </si>
  <si>
    <t>LABJENIKS - CONTROL LEVEL 1,2,3</t>
  </si>
  <si>
    <t>LAB-01505</t>
  </si>
  <si>
    <t>BARCODE LABELS 12-UP 1.3CM x 4CM</t>
  </si>
  <si>
    <t>LAB-01506</t>
  </si>
  <si>
    <t>TONER HP - 026A BLACK LASERJET M402</t>
  </si>
  <si>
    <t>LAB-01507</t>
  </si>
  <si>
    <t>RAPID TEST - PASTOREX STAPH (5X50T)</t>
  </si>
  <si>
    <t>LAB-01508</t>
  </si>
  <si>
    <t>RAPID HEP E - MICROPOINTS</t>
  </si>
  <si>
    <t>LAB-01509</t>
  </si>
  <si>
    <t>RAPID HEP E-- ARIA</t>
  </si>
  <si>
    <t>LAB-01510</t>
  </si>
  <si>
    <t>INOCULATING LOOP 10UL</t>
  </si>
  <si>
    <t>LAB-01511</t>
  </si>
  <si>
    <t>INOCULATING LOOP 1UL</t>
  </si>
  <si>
    <t>LAB-01512</t>
  </si>
  <si>
    <t>DISPOSABLE-XRAY GOWN</t>
  </si>
  <si>
    <t>LAB-01513</t>
  </si>
  <si>
    <t>ZIEHL NELSON STAIN</t>
  </si>
  <si>
    <t>LAB-01514</t>
  </si>
  <si>
    <t>TUBE CLOT ACTIVATOR ROUGE 4ML</t>
  </si>
  <si>
    <t>LAB-01515</t>
  </si>
  <si>
    <t>RAPID TEST - CHLAMYDIA MICROPOINT</t>
  </si>
  <si>
    <t>LAB-01516</t>
  </si>
  <si>
    <t>AGAR POWDER - MACCONKEY AGAR II W/O CV HIMEDIA</t>
  </si>
  <si>
    <t>LAB-01517</t>
  </si>
  <si>
    <t>MICROBIOLOGY ID/AST CARD - AST P688 TEST KIT 20 CARDS</t>
  </si>
  <si>
    <t>LAB-01518</t>
  </si>
  <si>
    <t>VIDAS TB-IGRA 60 TESTS</t>
  </si>
  <si>
    <t>LAB-01519</t>
  </si>
  <si>
    <t>ALCOHOL SALIVA TEST</t>
  </si>
  <si>
    <t>LAB-01520</t>
  </si>
  <si>
    <t>ANALYSER CONSUMABLE - R PROD,DXH 800/600/900PMI KIT</t>
  </si>
  <si>
    <t>LAB-01521</t>
  </si>
  <si>
    <t>MINDRAY ANALYSER CONSUMABLE - 6D HEAMATOLOGY CONTROL</t>
  </si>
  <si>
    <t>LAB-01522</t>
  </si>
  <si>
    <t>MINDRAY SC-CAL</t>
  </si>
  <si>
    <t>LAB-01523</t>
  </si>
  <si>
    <t>RAPID TEST - FOB (MICROPOINT)</t>
  </si>
  <si>
    <t>LAB-01524</t>
  </si>
  <si>
    <t>ALBUMIN (2X125ML) - CHEMISTRY REAGENT</t>
  </si>
  <si>
    <t>LAB-01525</t>
  </si>
  <si>
    <t>TOMO - 11/90 MICROSCOPE SLIDES</t>
  </si>
  <si>
    <t>LAB-01526</t>
  </si>
  <si>
    <t>HAEMATOLOGY ANALYSER CONSUMABLE - FD DYE 12ML×4</t>
  </si>
  <si>
    <t>LAB-01527</t>
  </si>
  <si>
    <t>Q-ITY UA 10 VISUAL URINE STRIP 100</t>
  </si>
  <si>
    <t>LAB-01528</t>
  </si>
  <si>
    <t>STAFF UNIFORMS INVENTORY</t>
  </si>
  <si>
    <t>LAB-01529</t>
  </si>
  <si>
    <t>HAEMATOLOGY ANALYSER CONSUMABLE - LD LYSE 1L</t>
  </si>
  <si>
    <t>LAB-01530</t>
  </si>
  <si>
    <t>HAEMATOLOGY ANALYSER CONSUMABLE - LH LYSE 1L</t>
  </si>
  <si>
    <t>LAB-01531</t>
  </si>
  <si>
    <t>MAST - MUELLER HINTON AGAR</t>
  </si>
  <si>
    <t>LAB-01532</t>
  </si>
  <si>
    <t>RAPID - TEST BOSAN FOB KIT</t>
  </si>
  <si>
    <t>LAB-01533</t>
  </si>
  <si>
    <t>LAB-01534</t>
  </si>
  <si>
    <t>PROTECTIVE JACKET</t>
  </si>
  <si>
    <t>LAB-01535</t>
  </si>
  <si>
    <t>SAFETY BOOTS STEEL</t>
  </si>
  <si>
    <t>LAB-01536</t>
  </si>
  <si>
    <t>RAIN BOOTS</t>
  </si>
  <si>
    <t>LAB-01537</t>
  </si>
  <si>
    <t>REFLECTOR RAINCOATS (TROUSER &amp; JACKET)</t>
  </si>
  <si>
    <t>LAB-01538</t>
  </si>
  <si>
    <t>M-6 DR DILUENT</t>
  </si>
  <si>
    <t>LAB-01539</t>
  </si>
  <si>
    <t>MLH1(M1) MM PAB - IHC REAGENT</t>
  </si>
  <si>
    <t>LAB-01540</t>
  </si>
  <si>
    <t>MSH2 (G219-1129) MM PAB - IHC REAGENT</t>
  </si>
  <si>
    <t>LAB-01541</t>
  </si>
  <si>
    <t>PMS2 (A16-4) MM PAB - IHC REAGENT</t>
  </si>
  <si>
    <t>LAB-01542</t>
  </si>
  <si>
    <t>MSH6 (SP93) RM PAB - IHC REAGENT</t>
  </si>
  <si>
    <t>LAB-01543</t>
  </si>
  <si>
    <t>MILAB SAFEFIX</t>
  </si>
  <si>
    <t>LAB-01544</t>
  </si>
  <si>
    <t>MILAB MALARIA CARTRIDGES</t>
  </si>
  <si>
    <t>LAB-01545</t>
  </si>
  <si>
    <t>DRY CHEMISTRY REAGENT - ALPPIIIS 24 1 J EX</t>
  </si>
  <si>
    <t>LAB-01546</t>
  </si>
  <si>
    <t>DRY CHEMISTRY REAGENT - TBILPIIIS 24 1 J EX</t>
  </si>
  <si>
    <t>LAB-01547</t>
  </si>
  <si>
    <t>DIASPOT - RAPID HEP A</t>
  </si>
  <si>
    <t>LAB-01548</t>
  </si>
  <si>
    <t>RAPID TEST - H PYLORI AG - ALLTEST</t>
  </si>
  <si>
    <t>LAB-01549</t>
  </si>
  <si>
    <t>RAPID TEST - TB SEROLOGY LABACON (25T)</t>
  </si>
  <si>
    <t>LAB-01550</t>
  </si>
  <si>
    <t>AST-GP75 TEST KIT 20 CARDS</t>
  </si>
  <si>
    <t>LAB-01551</t>
  </si>
  <si>
    <t>AST-GN98 TEST KIT 20 CARDS(VITEK)</t>
  </si>
  <si>
    <t>LAB-01552</t>
  </si>
  <si>
    <t>UNSENSITIZED TUBES 1X2000</t>
  </si>
  <si>
    <t>LAB-01553</t>
  </si>
  <si>
    <t>IMMUNUNOASSAY CONTROL PREMIUM PLUS LEVEL 1 12 X 5ML</t>
  </si>
  <si>
    <t>LAB-01554</t>
  </si>
  <si>
    <t>IMMUNUNOASSAY CONTROL PREMIUM PLUS LEVEL 3 12 X 5ML</t>
  </si>
  <si>
    <t>LAB-01555</t>
  </si>
  <si>
    <t>LYPHOCHEK TUMOR MARKER TRILEVEL MINIPACK (3X2ML)</t>
  </si>
  <si>
    <t>LAB-01556</t>
  </si>
  <si>
    <t>GIEMSA POWDER</t>
  </si>
  <si>
    <t>LAB-01557</t>
  </si>
  <si>
    <t>BASIC FUSHSIN</t>
  </si>
  <si>
    <t>LAB-01558</t>
  </si>
  <si>
    <t>CHARCOAL, DECORAZING</t>
  </si>
  <si>
    <t>LAB-01559</t>
  </si>
  <si>
    <t>OPTIVIEW AMPLIFICATION KIT - IHC REAGENT</t>
  </si>
  <si>
    <t>LAB-01560</t>
  </si>
  <si>
    <t>ALLPLEX HPV28 DETECTION (CE) 100</t>
  </si>
  <si>
    <t>LAB-01561</t>
  </si>
  <si>
    <t>FOLATE - IMMUNOASSAY REAGENT</t>
  </si>
  <si>
    <t>LAB-01562</t>
  </si>
  <si>
    <t>SHBG - IMMUNOASSAY REAGENT</t>
  </si>
  <si>
    <t>LAB-01563</t>
  </si>
  <si>
    <t>THYROGLOBULIN - IMMUNOASSAY REAGENT</t>
  </si>
  <si>
    <t>LAB-01564</t>
  </si>
  <si>
    <t>FOLATE CALIBRATOR - IMMUNOASSAY REAGENT</t>
  </si>
  <si>
    <t>LAB-01565</t>
  </si>
  <si>
    <t>SHBG CALIBRATOR - IMMUNOASSAY REAGENT</t>
  </si>
  <si>
    <t>LAB-01566</t>
  </si>
  <si>
    <t>THYROGLOBULIN CALIBRATOR - IMMUNOASSAY REAGENT</t>
  </si>
  <si>
    <t>LAB-01567</t>
  </si>
  <si>
    <t>SHBG CONTROL - IMMUNOASSAY REAGENT</t>
  </si>
  <si>
    <t>LAB-01568</t>
  </si>
  <si>
    <t>CHASE BUFFER</t>
  </si>
  <si>
    <t>LAB-01569</t>
  </si>
  <si>
    <t>PROTECK L2</t>
  </si>
  <si>
    <t>LAB-01570</t>
  </si>
  <si>
    <t>RAPID TEST - HEP A - ARIA (25T)</t>
  </si>
  <si>
    <t>LAB-01571</t>
  </si>
  <si>
    <t>AGAR POWDER - MUELLER HINTON (MAST)</t>
  </si>
  <si>
    <t>LAB-01572</t>
  </si>
  <si>
    <t>AGAR POWDER - XLD (MAST)</t>
  </si>
  <si>
    <t>LAB-01573</t>
  </si>
  <si>
    <t>CRYSTAL VIOLET - GRAM STAIN 100ML</t>
  </si>
  <si>
    <t>LAB-01574</t>
  </si>
  <si>
    <t>MOLECULAR EXTRACTION/PCR KIT - VIRAL DNA/RNA EXTRACTION SPIN KIT (100)</t>
  </si>
  <si>
    <t>LAB-01575</t>
  </si>
  <si>
    <t>MOLECULAR EXTRACTION/PCR KIT - HBV QUANTIFICATION KIT 50 RXN/BOX</t>
  </si>
  <si>
    <t>LAB-01576</t>
  </si>
  <si>
    <t>MOLECULAR EXTRACTION/PCR KIT - HIV-1 QUANTIFICATION KIT 50 RXN/BOX</t>
  </si>
  <si>
    <t>LAB-01577</t>
  </si>
  <si>
    <t>SLIDE FOLDER</t>
  </si>
  <si>
    <t>LAB-01578</t>
  </si>
  <si>
    <t>METHYLATED SPIRIT 200ML</t>
  </si>
  <si>
    <t>MONTHLY ISSUANCE LOG</t>
  </si>
  <si>
    <t>Record every issuance here. The Month column auto-fills from the Date.</t>
  </si>
  <si>
    <t>Date</t>
  </si>
  <si>
    <t>Qty Issued</t>
  </si>
  <si>
    <t>Issued To / Dept</t>
  </si>
  <si>
    <t>Issued By</t>
  </si>
  <si>
    <t>Month</t>
  </si>
  <si>
    <t>MONTHLY ISSUANCE SUMMARY</t>
  </si>
  <si>
    <t>Change the month in cell B4 to view any month's issuances automatically.</t>
  </si>
  <si>
    <t>Select Month:</t>
  </si>
  <si>
    <t>Jan 2025</t>
  </si>
  <si>
    <t>← Type month here (e.g. Mar 2025)</t>
  </si>
  <si>
    <t>Total Qty Issued</t>
  </si>
  <si>
    <t># Transactions</t>
  </si>
  <si>
    <t>Issued To (Most)</t>
  </si>
  <si>
    <t>INVENTORY TRACKER — QUICK GUIDE</t>
  </si>
  <si>
    <t>SHEET 1: Inventory Master</t>
  </si>
  <si>
    <t>What it does:</t>
  </si>
  <si>
    <t>Shows all items, quantities, reorder status, and stock coverage at a glance.</t>
  </si>
  <si>
    <t>Updating Qty:</t>
  </si>
  <si>
    <t>After each issuance from your inventory system, subtract the issued qty from "Current Qty" in this sheet.</t>
  </si>
  <si>
    <t>Last Updated:</t>
  </si>
  <si>
    <t>Type today's date whenever you change a quantity.</t>
  </si>
  <si>
    <t>Status column:</t>
  </si>
  <si>
    <t>Auto-shows OK (green) or REORDER NOW (red). No manual entry needed — it compares Current Qty against Reorder Level automatically.</t>
  </si>
  <si>
    <t>REORDER LEVEL — THE 2-MONTH RULE</t>
  </si>
  <si>
    <t>What is it?</t>
  </si>
  <si>
    <t>The Reorder Level is the quantity at which the tracker automatically flags an item as "REORDER NOW". Per management policy, this must always equal 2 months of average usage — meaning you should still have 2 full months of stock left when you place a reorder.</t>
  </si>
  <si>
    <t>Why 2 months?</t>
  </si>
  <si>
    <t>This gives the team enough buffer to place an order, wait for delivery, and not run out of stock before the new supply arrives.</t>
  </si>
  <si>
    <t>How to set it:</t>
  </si>
  <si>
    <t>Step 1: Estimate how many units of an item you use per month on average.
Step 2: Multiply that number by 2.
Step 3: Enter that result as the Reorder Level.
Example: If you use ~25 glove boxes per month → Reorder Level = 50. When stock drops to 50, the tracker flags REORDER NOW, and you still have ~2 months of supply.</t>
  </si>
  <si>
    <t>NEW COLUMNS — AVG MONTHLY Uyour inventory system &amp; MONTHS OF STOCK</t>
  </si>
  <si>
    <t>Why are these here?</t>
  </si>
  <si>
    <t>These two columns help the team understand stock health at a glance — not just whether to reorder, but how long the current stock will actually last.</t>
  </si>
  <si>
    <t>Avg Monthly Usage:</t>
  </si>
  <si>
    <t>This is calculated automatically as: Reorder Level ÷ 2.
Since the Reorder Level is set to 2 months of usage, dividing it by 2 gives us the estimated monthly consumption. You do not need to fill this in — it updates itself whenever you change the Reorder Level.
Example: Reorder Level = 50 → Avg Monthly Usage = 25 units/month.</t>
  </si>
  <si>
    <t>Months of Stock:</t>
  </si>
  <si>
    <t>This is calculated automatically as: Current Qty ÷ Avg Monthly Usage.
It tells you how many months your current stock will last. When this number reaches 2.0, the Status column will already show REORDER NOW. If it shows less than 2, you are below the reorder threshold — act immediately.
Example: Current Qty = 80, Avg Monthly Usage = 25 → Months of Stock = 3.2 months (still OK).
Example: Current Qty = 45, Avg Monthly Usage = 25 → Months of Stock = 1.8 months (REORDER NOW).</t>
  </si>
  <si>
    <t>Important note:</t>
  </si>
  <si>
    <t>These columns are only accurate if the Reorder Level for each item has been correctly set to 2 × monthly usage. Review and update Reorder Levels regularly — especially for items whose consumption changes over time.</t>
  </si>
  <si>
    <t>SHEET 2: Issuance Log</t>
  </si>
  <si>
    <t>Records every issuance for a full audit trail.</t>
  </si>
  <si>
    <t>Step 1:</t>
  </si>
  <si>
    <t>Fill in Date, Item ID, Description, Qty Issued, Issued To, Issued By.</t>
  </si>
  <si>
    <t>Step 2:</t>
  </si>
  <si>
    <t>Month column fills AUTOMATICALLY from the Date — don't type in column G.</t>
  </si>
  <si>
    <t>Step 3:</t>
  </si>
  <si>
    <t>After logging here, remember to update Current Qty in Inventory Master.</t>
  </si>
  <si>
    <t>SHEET 3: Monthly Summary</t>
  </si>
  <si>
    <t>Auto-totals all issuances by item for any selected month.</t>
  </si>
  <si>
    <t>How to use:</t>
  </si>
  <si>
    <t>Click cell B4 and type the month you want, e.g. Mar 2025 or Oct 2025.</t>
  </si>
  <si>
    <t>Result:</t>
  </si>
  <si>
    <t>The entire table instantly updates — no need to create a new sheet per month.</t>
  </si>
  <si>
    <t>IMPORTANT RULES</t>
  </si>
  <si>
    <t>1.</t>
  </si>
  <si>
    <t>Never delete Item IDs from Inventory Master — set qty to 0 for discontinued items.</t>
  </si>
  <si>
    <t>2.</t>
  </si>
  <si>
    <t>Item IDs must be typed exactly the same in the Issuance Log as they appear in Inventory Master.</t>
  </si>
  <si>
    <t>3.</t>
  </si>
  <si>
    <t>Reorder Levels must always equal 2 × monthly usage — review them regularly as consumption patterns change.</t>
  </si>
  <si>
    <t>4.</t>
  </si>
  <si>
    <t>The Issuance Log has 200 pre-formatted rows. Add more rows the same way if needed.</t>
  </si>
  <si>
    <t>5.</t>
  </si>
  <si>
    <t>The "Months of Stock" column is for planning reference — the Status column is the primary action trigger.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</si>
</sst>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i/>
      <sz val="9"/>
      <color rgb="FF595959"/>
      <name val="Arial"/>
    </font>
    <font>
      <b/>
      <sz val="10"/>
      <color rgb="FFFFFFFF"/>
      <name val="Arial"/>
    </font>
    <font>
      <sz val="10"/>
      <name val="Arial"/>
    </font>
    <font>
      <b/>
      <sz val="10"/>
      <name val="Arial"/>
    </font>
    <font>
      <b/>
      <sz val="10"/>
      <color rgb="FF0070C0"/>
      <name val="Arial"/>
    </font>
    <font>
      <b/>
      <sz val="16"/>
      <color rgb="FF1F4E79"/>
      <name val="Arial"/>
      <family val="2"/>
    </font>
    <font>
      <b/>
      <sz val="18"/>
      <color rgb="FF1F4E79"/>
      <name val="Arial"/>
      <family val="2"/>
    </font>
    <font>
      <i/>
      <sz val="10"/>
      <color rgb="FF595959"/>
      <name val="Arial"/>
      <family val="2"/>
    </font>
    <font>
      <sz val="11"/>
      <name val="Arial"/>
    </font>
    <font>
      <b/>
      <sz val="14"/>
      <color rgb="FFFFFFFF"/>
      <name val="Arial"/>
    </font>
    <font>
      <b/>
      <sz val="10"/>
      <color rgb="FF1F3A5F"/>
      <name val="Arial"/>
    </font>
    <font>
      <b/>
      <sz val="11"/>
      <color rgb="FFFFFFFF"/>
      <name val="Arial"/>
    </font>
    <font>
      <b/>
      <sz val="10"/>
      <color rgb="FF2C6E49"/>
      <name val="Arial"/>
    </font>
    <font>
      <b/>
      <sz val="10"/>
      <color rgb="FF5B4A8A"/>
      <name val="Arial"/>
    </font>
  </fonts>
  <fills count="12">
    <fill>
      <patternFill patternType="none"/>
    </fill>
    <fill>
      <patternFill patternType="gray125"/>
    </fill>
    <fill>
      <patternFill patternType="solid">
        <fgColor rgb="FF1F4E79"/>
      </patternFill>
    </fill>
    <fill>
      <patternFill patternType="solid">
        <fgColor rgb="FFDEEAF1"/>
      </patternFill>
    </fill>
    <fill>
      <patternFill patternType="solid">
        <fgColor rgb="FFFFFFFF"/>
      </patternFill>
    </fill>
    <fill>
      <patternFill patternType="solid">
        <fgColor rgb="FF2E75B6"/>
      </patternFill>
    </fill>
    <fill>
      <patternFill patternType="solid">
        <fgColor rgb="FFFFF2CC"/>
      </patternFill>
    </fill>
    <fill>
      <patternFill patternType="solid">
        <fgColor rgb="FF2E4057"/>
      </patternFill>
    </fill>
    <fill>
      <patternFill patternType="solid">
        <fgColor rgb="FF1F3A5F"/>
      </patternFill>
    </fill>
    <fill>
      <patternFill patternType="solid">
        <fgColor rgb="FFC0392B"/>
      </patternFill>
    </fill>
    <fill>
      <patternFill patternType="solid">
        <fgColor rgb="FF2C6E49"/>
      </patternFill>
    </fill>
    <fill>
      <patternFill patternType="solid">
        <fgColor rgb="FF5B4A8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vertical="center"/>
    </xf>
    <xf numFmtId="0" fontId="3" fillId="3" borderId="1" xfId="0" applyFont="1" applyFill="1" applyBorder="1" applyAlignment="1">
      <alignment horizontal="center" vertical="center"/>
    </xf>
    <xf numFmtId="0" fontId="3" fillId="4" borderId="1" xfId="0" applyFont="1" applyFill="1" applyBorder="1" applyAlignment="1">
      <alignment vertical="center"/>
    </xf>
    <xf numFmtId="0" fontId="3"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4" fillId="0" borderId="0" xfId="0" applyFont="1"/>
    <xf numFmtId="0" fontId="5" fillId="6" borderId="1" xfId="0" applyFont="1" applyFill="1" applyBorder="1" applyAlignment="1">
      <alignment horizontal="center"/>
    </xf>
    <xf numFmtId="0" fontId="1" fillId="0" borderId="0" xfId="0" applyFont="1"/>
    <xf numFmtId="0" fontId="0" fillId="0" borderId="0" xfId="0"/>
    <xf numFmtId="0" fontId="11" fillId="0" borderId="0" xfId="0" applyFont="1" applyAlignment="1">
      <alignment vertical="top" wrapText="1"/>
    </xf>
    <xf numFmtId="0" fontId="3" fillId="0" borderId="0" xfId="0" applyFont="1" applyAlignment="1">
      <alignment vertical="top" wrapText="1"/>
    </xf>
    <xf numFmtId="0" fontId="10" fillId="8" borderId="0" xfId="0" applyFont="1" applyFill="1"/>
    <xf numFmtId="0" fontId="9" fillId="8" borderId="0" xfId="0" applyFont="1" applyFill="1"/>
    <xf numFmtId="0" fontId="9" fillId="0" borderId="0" xfId="0" applyFont="1"/>
    <xf numFmtId="0" fontId="12" fillId="7" borderId="0" xfId="0" applyFont="1" applyFill="1" applyAlignment="1">
      <alignment vertical="center" wrapText="1"/>
    </xf>
    <xf numFmtId="0" fontId="12" fillId="10" borderId="0" xfId="0" applyFont="1" applyFill="1" applyAlignment="1">
      <alignment vertical="center" wrapText="1"/>
    </xf>
    <xf numFmtId="0" fontId="13" fillId="0" borderId="0" xfId="0" applyFont="1" applyAlignment="1">
      <alignment vertical="top" wrapText="1"/>
    </xf>
    <xf numFmtId="0" fontId="12" fillId="11" borderId="0" xfId="0" applyFont="1" applyFill="1" applyAlignment="1">
      <alignment vertical="center" wrapText="1"/>
    </xf>
    <xf numFmtId="0" fontId="14" fillId="0" borderId="0" xfId="0" applyFont="1" applyAlignment="1">
      <alignment vertical="top" wrapText="1"/>
    </xf>
    <xf numFmtId="0" fontId="12" fillId="9" borderId="0" xfId="0" applyFont="1" applyFill="1" applyAlignment="1">
      <alignment vertical="center" wrapText="1"/>
    </xf>
    <xf numFmtId="0" fontId="8" fillId="0" borderId="0" xfId="0" applyFont="1" applyAlignment="1">
      <alignment horizontal="center"/>
    </xf>
    <xf numFmtId="0" fontId="0" fillId="0" borderId="0" xfId="0"/>
    <xf numFmtId="0" fontId="7" fillId="0" borderId="0" xfId="0" applyFont="1" applyAlignment="1">
      <alignment horizontal="center" vertical="center"/>
    </xf>
    <xf numFmtId="0" fontId="1" fillId="0" borderId="0" xfId="0" applyFont="1" applyAlignment="1">
      <alignment horizontal="center"/>
    </xf>
    <xf numFmtId="0" fontId="6" fillId="0" borderId="0" xfId="0" applyFont="1" applyAlignment="1">
      <alignment horizontal="center" vertical="center"/>
    </xf>
  </cellXfs>
  <cellStyles count="1">
    <cellStyle name="Normal" xfId="0" builtinId="0"/>
  </cellStyles>
  <dxfs count="4">
    <dxf>
      <fill>
        <patternFill patternType="solid">
          <fgColor rgb="FFFFE7E7"/>
        </patternFill>
      </fill>
    </dxf>
    <dxf>
      <fill>
        <patternFill patternType="solid">
          <fgColor rgb="FFFFE7E7"/>
        </patternFill>
      </fill>
    </dxf>
    <dxf>
      <font>
        <b/>
        <sz val="10"/>
        <color rgb="FF9C0006"/>
        <name val="Arial"/>
      </font>
      <fill>
        <patternFill patternType="solid">
          <fgColor rgb="FFFFC7CE"/>
        </patternFill>
      </fill>
    </dxf>
    <dxf>
      <font>
        <b/>
        <sz val="10"/>
        <color rgb="FF276221"/>
        <name val="Arial"/>
      </font>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19050</xdr:rowOff>
    </xdr:from>
    <xdr:to>
      <xdr:col>1</xdr:col>
      <xdr:colOff>152400</xdr:colOff>
      <xdr:row>0</xdr:row>
      <xdr:rowOff>714375</xdr:rowOff>
    </xdr:to>
    <xdr:pic>
      <xdr:nvPicPr>
        <xdr:cNvPr id="2" name="Picture 1"/>
        <xdr:cNvPicPr>
          <a:picLocks noChangeAspect="1"/>
        </xdr:cNvPicPr>
      </xdr:nvPicPr>
      <xdr:blipFill>
        <a:blip xmlns:r="http://schemas.openxmlformats.org/officeDocument/2006/relationships" r:embed="rId1" cstate="print"/>
        <a:stretch>
          <a:fillRect/>
        </a:stretch>
      </xdr:blipFill>
      <xdr:spPr>
        <a:xfrm>
          <a:off x="66675" y="19050"/>
          <a:ext cx="1019175" cy="695325"/>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95249</xdr:colOff>
      <xdr:row>0</xdr:row>
      <xdr:rowOff>0</xdr:rowOff>
    </xdr:from>
    <xdr:to>
      <xdr:col>1</xdr:col>
      <xdr:colOff>219075</xdr:colOff>
      <xdr:row>0</xdr:row>
      <xdr:rowOff>753810</xdr:rowOff>
    </xdr:to>
    <xdr:pic>
      <xdr:nvPicPr>
        <xdr:cNvPr id="2" name="Picture 1"/>
        <xdr:cNvPicPr>
          <a:picLocks noChangeAspect="1"/>
        </xdr:cNvPicPr>
      </xdr:nvPicPr>
      <xdr:blipFill>
        <a:blip xmlns:r="http://schemas.openxmlformats.org/officeDocument/2006/relationships" r:embed="rId1" cstate="print"/>
        <a:stretch>
          <a:fillRect/>
        </a:stretch>
      </xdr:blipFill>
      <xdr:spPr>
        <a:xfrm>
          <a:off x="95249" y="0"/>
          <a:ext cx="1123951" cy="753810"/>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81"/>
  <sheetViews>
    <sheetView tabSelected="1" workbookViewId="0">
      <pane ySplit="3" topLeftCell="A124" activePane="bottomLeft" state="frozen"/>
      <selection pane="bottomLeft" activeCell="B5" sqref="B5"/>
    </sheetView>
  </sheetViews>
  <sheetFormatPr defaultRowHeight="15" x14ac:dyDescent="0.25"/>
  <cols>
    <col min="1" max="1" width="15" style="10" customWidth="1"/>
    <col min="2" max="2" width="55" style="10" customWidth="1"/>
    <col min="3" max="4" width="15" style="10" customWidth="1"/>
    <col min="5" max="5" width="20" style="10" customWidth="1"/>
    <col min="6" max="6" width="18" style="10" customWidth="1"/>
    <col min="7" max="7" width="30" style="10" customWidth="1"/>
    <col min="8" max="8" width="18" style="10" customWidth="1"/>
    <col min="9" max="9" width="16" style="10" customWidth="1"/>
  </cols>
  <sheetData>
    <row r="1" spans="1:9" ht="61.5" customHeight="1" x14ac:dyDescent="0.25">
      <c r="A1" s="24" t="s">
        <v>0</v>
      </c>
      <c r="B1" s="23"/>
      <c r="C1" s="23"/>
      <c r="D1" s="23"/>
      <c r="E1" s="23"/>
      <c r="F1" s="23"/>
      <c r="G1" s="23"/>
    </row>
    <row r="3" spans="1:9" ht="27.95" customHeight="1" x14ac:dyDescent="0.25">
      <c r="A3" s="1" t="s">
        <v>1</v>
      </c>
      <c r="B3" s="1" t="s">
        <v>2</v>
      </c>
      <c r="C3" s="1" t="s">
        <v>3</v>
      </c>
      <c r="D3" s="1" t="s">
        <v>4</v>
      </c>
      <c r="E3" s="1" t="s">
        <v>5</v>
      </c>
      <c r="F3" s="1" t="s">
        <v>6</v>
      </c>
      <c r="G3" s="1" t="s">
        <v>7</v>
      </c>
      <c r="H3" s="1" t="s">
        <v>8</v>
      </c>
      <c r="I3" s="1" t="s">
        <v>9</v>
      </c>
    </row>
    <row r="4" spans="1:9" ht="18" customHeight="1" x14ac:dyDescent="0.25">
      <c r="A4" s="2" t="s">
        <v>10</v>
      </c>
      <c r="B4" s="2" t="s">
        <v>11</v>
      </c>
      <c r="C4" s="3">
        <v>27</v>
      </c>
      <c r="D4" s="3">
        <v>20</v>
      </c>
      <c r="E4" s="2" t="str">
        <f t="shared" ref="E4:E67" si="0">IF(C4&lt;=D4,"REORDER NOW","OK")</f>
        <v>OK</v>
      </c>
      <c r="F4" s="2"/>
      <c r="G4" s="2"/>
      <c r="H4" s="3">
        <f t="shared" ref="H4:H67" si="1">D4/2</f>
        <v>10</v>
      </c>
      <c r="I4" s="3">
        <f t="shared" ref="I4:I67" si="2">IF(H4=0,"N/A",ROUND(C4/H4,1))</f>
        <v>2.7</v>
      </c>
    </row>
    <row r="5" spans="1:9" ht="18" customHeight="1" x14ac:dyDescent="0.25">
      <c r="A5" s="4" t="s">
        <v>12</v>
      </c>
      <c r="B5" s="4" t="s">
        <v>13</v>
      </c>
      <c r="C5" s="5">
        <v>0</v>
      </c>
      <c r="D5" s="5">
        <v>6</v>
      </c>
      <c r="E5" s="4" t="str">
        <f t="shared" si="0"/>
        <v>REORDER NOW</v>
      </c>
      <c r="F5" s="4"/>
      <c r="G5" s="4"/>
      <c r="H5" s="5">
        <f t="shared" si="1"/>
        <v>3</v>
      </c>
      <c r="I5" s="5">
        <f t="shared" si="2"/>
        <v>0</v>
      </c>
    </row>
    <row r="6" spans="1:9" ht="18" customHeight="1" x14ac:dyDescent="0.25">
      <c r="A6" s="2" t="s">
        <v>14</v>
      </c>
      <c r="B6" s="2" t="s">
        <v>15</v>
      </c>
      <c r="C6" s="3">
        <v>4</v>
      </c>
      <c r="D6" s="3">
        <v>6</v>
      </c>
      <c r="E6" s="2" t="str">
        <f t="shared" si="0"/>
        <v>REORDER NOW</v>
      </c>
      <c r="F6" s="2"/>
      <c r="G6" s="2"/>
      <c r="H6" s="3">
        <f t="shared" si="1"/>
        <v>3</v>
      </c>
      <c r="I6" s="3">
        <f t="shared" si="2"/>
        <v>1.3</v>
      </c>
    </row>
    <row r="7" spans="1:9" ht="18" customHeight="1" x14ac:dyDescent="0.25">
      <c r="A7" s="4" t="s">
        <v>16</v>
      </c>
      <c r="B7" s="4" t="s">
        <v>17</v>
      </c>
      <c r="C7" s="5">
        <v>0</v>
      </c>
      <c r="D7" s="5">
        <v>6</v>
      </c>
      <c r="E7" s="4" t="str">
        <f t="shared" si="0"/>
        <v>REORDER NOW</v>
      </c>
      <c r="F7" s="4"/>
      <c r="G7" s="4"/>
      <c r="H7" s="5">
        <f t="shared" si="1"/>
        <v>3</v>
      </c>
      <c r="I7" s="5">
        <f t="shared" si="2"/>
        <v>0</v>
      </c>
    </row>
    <row r="8" spans="1:9" ht="18" customHeight="1" x14ac:dyDescent="0.25">
      <c r="A8" s="2" t="s">
        <v>18</v>
      </c>
      <c r="B8" s="2" t="s">
        <v>19</v>
      </c>
      <c r="C8" s="3">
        <v>280</v>
      </c>
      <c r="D8" s="3">
        <v>100</v>
      </c>
      <c r="E8" s="2" t="str">
        <f t="shared" si="0"/>
        <v>OK</v>
      </c>
      <c r="F8" s="2"/>
      <c r="G8" s="2"/>
      <c r="H8" s="3">
        <f t="shared" si="1"/>
        <v>50</v>
      </c>
      <c r="I8" s="3">
        <f t="shared" si="2"/>
        <v>5.6</v>
      </c>
    </row>
    <row r="9" spans="1:9" ht="18" customHeight="1" x14ac:dyDescent="0.25">
      <c r="A9" s="4" t="s">
        <v>20</v>
      </c>
      <c r="B9" s="4" t="s">
        <v>21</v>
      </c>
      <c r="C9" s="5">
        <v>770</v>
      </c>
      <c r="D9" s="5">
        <v>200</v>
      </c>
      <c r="E9" s="4" t="str">
        <f t="shared" si="0"/>
        <v>OK</v>
      </c>
      <c r="F9" s="4"/>
      <c r="G9" s="4"/>
      <c r="H9" s="5">
        <f t="shared" si="1"/>
        <v>100</v>
      </c>
      <c r="I9" s="5">
        <f t="shared" si="2"/>
        <v>7.7</v>
      </c>
    </row>
    <row r="10" spans="1:9" ht="18" customHeight="1" x14ac:dyDescent="0.25">
      <c r="A10" s="2" t="s">
        <v>22</v>
      </c>
      <c r="B10" s="2" t="s">
        <v>19</v>
      </c>
      <c r="C10" s="3">
        <v>0</v>
      </c>
      <c r="D10" s="3">
        <v>6</v>
      </c>
      <c r="E10" s="2" t="str">
        <f t="shared" si="0"/>
        <v>REORDER NOW</v>
      </c>
      <c r="F10" s="2"/>
      <c r="G10" s="2"/>
      <c r="H10" s="3">
        <f t="shared" si="1"/>
        <v>3</v>
      </c>
      <c r="I10" s="3">
        <f t="shared" si="2"/>
        <v>0</v>
      </c>
    </row>
    <row r="11" spans="1:9" ht="18" customHeight="1" x14ac:dyDescent="0.25">
      <c r="A11" s="4" t="s">
        <v>23</v>
      </c>
      <c r="B11" s="4" t="s">
        <v>24</v>
      </c>
      <c r="C11" s="5">
        <v>400</v>
      </c>
      <c r="D11" s="5">
        <v>100</v>
      </c>
      <c r="E11" s="4" t="str">
        <f t="shared" si="0"/>
        <v>OK</v>
      </c>
      <c r="F11" s="4"/>
      <c r="G11" s="4"/>
      <c r="H11" s="5">
        <f t="shared" si="1"/>
        <v>50</v>
      </c>
      <c r="I11" s="5">
        <f t="shared" si="2"/>
        <v>8</v>
      </c>
    </row>
    <row r="12" spans="1:9" ht="18" customHeight="1" x14ac:dyDescent="0.25">
      <c r="A12" s="2" t="s">
        <v>25</v>
      </c>
      <c r="B12" s="2" t="s">
        <v>26</v>
      </c>
      <c r="C12" s="3">
        <v>14</v>
      </c>
      <c r="D12" s="3">
        <v>10</v>
      </c>
      <c r="E12" s="2" t="str">
        <f t="shared" si="0"/>
        <v>OK</v>
      </c>
      <c r="F12" s="2"/>
      <c r="G12" s="2"/>
      <c r="H12" s="3">
        <f t="shared" si="1"/>
        <v>5</v>
      </c>
      <c r="I12" s="3">
        <f t="shared" si="2"/>
        <v>2.8</v>
      </c>
    </row>
    <row r="13" spans="1:9" ht="18" customHeight="1" x14ac:dyDescent="0.25">
      <c r="A13" s="4" t="s">
        <v>27</v>
      </c>
      <c r="B13" s="4" t="s">
        <v>28</v>
      </c>
      <c r="C13" s="5">
        <v>51</v>
      </c>
      <c r="D13" s="5">
        <v>40</v>
      </c>
      <c r="E13" s="4" t="str">
        <f t="shared" si="0"/>
        <v>OK</v>
      </c>
      <c r="F13" s="4"/>
      <c r="G13" s="4"/>
      <c r="H13" s="5">
        <f t="shared" si="1"/>
        <v>20</v>
      </c>
      <c r="I13" s="5">
        <f t="shared" si="2"/>
        <v>2.6</v>
      </c>
    </row>
    <row r="14" spans="1:9" ht="18" customHeight="1" x14ac:dyDescent="0.25">
      <c r="A14" s="2" t="s">
        <v>29</v>
      </c>
      <c r="B14" s="2" t="s">
        <v>30</v>
      </c>
      <c r="C14" s="3">
        <v>0</v>
      </c>
      <c r="D14" s="3">
        <v>6</v>
      </c>
      <c r="E14" s="2" t="str">
        <f t="shared" si="0"/>
        <v>REORDER NOW</v>
      </c>
      <c r="F14" s="2"/>
      <c r="G14" s="2"/>
      <c r="H14" s="3">
        <f t="shared" si="1"/>
        <v>3</v>
      </c>
      <c r="I14" s="3">
        <f t="shared" si="2"/>
        <v>0</v>
      </c>
    </row>
    <row r="15" spans="1:9" ht="18" customHeight="1" x14ac:dyDescent="0.25">
      <c r="A15" s="4" t="s">
        <v>31</v>
      </c>
      <c r="B15" s="4" t="s">
        <v>32</v>
      </c>
      <c r="C15" s="5">
        <v>1200</v>
      </c>
      <c r="D15" s="5">
        <v>200</v>
      </c>
      <c r="E15" s="4" t="str">
        <f t="shared" si="0"/>
        <v>OK</v>
      </c>
      <c r="F15" s="4"/>
      <c r="G15" s="4"/>
      <c r="H15" s="5">
        <f t="shared" si="1"/>
        <v>100</v>
      </c>
      <c r="I15" s="5">
        <f t="shared" si="2"/>
        <v>12</v>
      </c>
    </row>
    <row r="16" spans="1:9" ht="18" customHeight="1" x14ac:dyDescent="0.25">
      <c r="A16" s="2" t="s">
        <v>33</v>
      </c>
      <c r="B16" s="2" t="s">
        <v>34</v>
      </c>
      <c r="C16" s="3">
        <v>0</v>
      </c>
      <c r="D16" s="3">
        <v>6</v>
      </c>
      <c r="E16" s="2" t="str">
        <f t="shared" si="0"/>
        <v>REORDER NOW</v>
      </c>
      <c r="F16" s="2"/>
      <c r="G16" s="2"/>
      <c r="H16" s="3">
        <f t="shared" si="1"/>
        <v>3</v>
      </c>
      <c r="I16" s="3">
        <f t="shared" si="2"/>
        <v>0</v>
      </c>
    </row>
    <row r="17" spans="1:9" ht="18" customHeight="1" x14ac:dyDescent="0.25">
      <c r="A17" s="4" t="s">
        <v>35</v>
      </c>
      <c r="B17" s="4" t="s">
        <v>36</v>
      </c>
      <c r="C17" s="5">
        <v>95</v>
      </c>
      <c r="D17" s="5">
        <v>40</v>
      </c>
      <c r="E17" s="4" t="str">
        <f t="shared" si="0"/>
        <v>OK</v>
      </c>
      <c r="F17" s="4"/>
      <c r="G17" s="4"/>
      <c r="H17" s="5">
        <f t="shared" si="1"/>
        <v>20</v>
      </c>
      <c r="I17" s="5">
        <f t="shared" si="2"/>
        <v>4.8</v>
      </c>
    </row>
    <row r="18" spans="1:9" ht="18" customHeight="1" x14ac:dyDescent="0.25">
      <c r="A18" s="2" t="s">
        <v>37</v>
      </c>
      <c r="B18" s="2" t="s">
        <v>38</v>
      </c>
      <c r="C18" s="3">
        <v>0</v>
      </c>
      <c r="D18" s="3">
        <v>6</v>
      </c>
      <c r="E18" s="2" t="str">
        <f t="shared" si="0"/>
        <v>REORDER NOW</v>
      </c>
      <c r="F18" s="2"/>
      <c r="G18" s="2"/>
      <c r="H18" s="3">
        <f t="shared" si="1"/>
        <v>3</v>
      </c>
      <c r="I18" s="3">
        <f t="shared" si="2"/>
        <v>0</v>
      </c>
    </row>
    <row r="19" spans="1:9" ht="18" customHeight="1" x14ac:dyDescent="0.25">
      <c r="A19" s="4" t="s">
        <v>39</v>
      </c>
      <c r="B19" s="4" t="s">
        <v>40</v>
      </c>
      <c r="C19" s="5">
        <v>0</v>
      </c>
      <c r="D19" s="5">
        <v>6</v>
      </c>
      <c r="E19" s="4" t="str">
        <f t="shared" si="0"/>
        <v>REORDER NOW</v>
      </c>
      <c r="F19" s="4"/>
      <c r="G19" s="4"/>
      <c r="H19" s="5">
        <f t="shared" si="1"/>
        <v>3</v>
      </c>
      <c r="I19" s="5">
        <f t="shared" si="2"/>
        <v>0</v>
      </c>
    </row>
    <row r="20" spans="1:9" ht="18" customHeight="1" x14ac:dyDescent="0.25">
      <c r="A20" s="2" t="s">
        <v>41</v>
      </c>
      <c r="B20" s="2" t="s">
        <v>42</v>
      </c>
      <c r="C20" s="3">
        <v>0</v>
      </c>
      <c r="D20" s="3">
        <v>6</v>
      </c>
      <c r="E20" s="2" t="str">
        <f t="shared" si="0"/>
        <v>REORDER NOW</v>
      </c>
      <c r="F20" s="2"/>
      <c r="G20" s="2"/>
      <c r="H20" s="3">
        <f t="shared" si="1"/>
        <v>3</v>
      </c>
      <c r="I20" s="3">
        <f t="shared" si="2"/>
        <v>0</v>
      </c>
    </row>
    <row r="21" spans="1:9" ht="18" customHeight="1" x14ac:dyDescent="0.25">
      <c r="A21" s="4" t="s">
        <v>43</v>
      </c>
      <c r="B21" s="4" t="s">
        <v>44</v>
      </c>
      <c r="C21" s="5">
        <v>0</v>
      </c>
      <c r="D21" s="5">
        <v>6</v>
      </c>
      <c r="E21" s="4" t="str">
        <f t="shared" si="0"/>
        <v>REORDER NOW</v>
      </c>
      <c r="F21" s="4"/>
      <c r="G21" s="4"/>
      <c r="H21" s="5">
        <f t="shared" si="1"/>
        <v>3</v>
      </c>
      <c r="I21" s="5">
        <f t="shared" si="2"/>
        <v>0</v>
      </c>
    </row>
    <row r="22" spans="1:9" ht="18" customHeight="1" x14ac:dyDescent="0.25">
      <c r="A22" s="2" t="s">
        <v>45</v>
      </c>
      <c r="B22" s="2" t="s">
        <v>46</v>
      </c>
      <c r="C22" s="3">
        <v>29</v>
      </c>
      <c r="D22" s="3">
        <v>20</v>
      </c>
      <c r="E22" s="2" t="str">
        <f t="shared" si="0"/>
        <v>OK</v>
      </c>
      <c r="F22" s="2"/>
      <c r="G22" s="2"/>
      <c r="H22" s="3">
        <f t="shared" si="1"/>
        <v>10</v>
      </c>
      <c r="I22" s="3">
        <f t="shared" si="2"/>
        <v>2.9</v>
      </c>
    </row>
    <row r="23" spans="1:9" ht="18" customHeight="1" x14ac:dyDescent="0.25">
      <c r="A23" s="4" t="s">
        <v>47</v>
      </c>
      <c r="B23" s="4" t="s">
        <v>48</v>
      </c>
      <c r="C23" s="5">
        <v>14</v>
      </c>
      <c r="D23" s="5">
        <v>10</v>
      </c>
      <c r="E23" s="4" t="str">
        <f t="shared" si="0"/>
        <v>OK</v>
      </c>
      <c r="F23" s="4"/>
      <c r="G23" s="4"/>
      <c r="H23" s="5">
        <f t="shared" si="1"/>
        <v>5</v>
      </c>
      <c r="I23" s="5">
        <f t="shared" si="2"/>
        <v>2.8</v>
      </c>
    </row>
    <row r="24" spans="1:9" ht="18" customHeight="1" x14ac:dyDescent="0.25">
      <c r="A24" s="2" t="s">
        <v>49</v>
      </c>
      <c r="B24" s="2" t="s">
        <v>50</v>
      </c>
      <c r="C24" s="3">
        <v>40</v>
      </c>
      <c r="D24" s="3">
        <v>20</v>
      </c>
      <c r="E24" s="2" t="str">
        <f t="shared" si="0"/>
        <v>OK</v>
      </c>
      <c r="F24" s="2"/>
      <c r="G24" s="2"/>
      <c r="H24" s="3">
        <f t="shared" si="1"/>
        <v>10</v>
      </c>
      <c r="I24" s="3">
        <f t="shared" si="2"/>
        <v>4</v>
      </c>
    </row>
    <row r="25" spans="1:9" ht="18" customHeight="1" x14ac:dyDescent="0.25">
      <c r="A25" s="4" t="s">
        <v>51</v>
      </c>
      <c r="B25" s="4" t="s">
        <v>52</v>
      </c>
      <c r="C25" s="5">
        <v>184</v>
      </c>
      <c r="D25" s="5">
        <v>100</v>
      </c>
      <c r="E25" s="4" t="str">
        <f t="shared" si="0"/>
        <v>OK</v>
      </c>
      <c r="F25" s="4"/>
      <c r="G25" s="4"/>
      <c r="H25" s="5">
        <f t="shared" si="1"/>
        <v>50</v>
      </c>
      <c r="I25" s="5">
        <f t="shared" si="2"/>
        <v>3.7</v>
      </c>
    </row>
    <row r="26" spans="1:9" ht="18" customHeight="1" x14ac:dyDescent="0.25">
      <c r="A26" s="2" t="s">
        <v>53</v>
      </c>
      <c r="B26" s="2" t="s">
        <v>54</v>
      </c>
      <c r="C26" s="3">
        <v>82</v>
      </c>
      <c r="D26" s="3">
        <v>40</v>
      </c>
      <c r="E26" s="2" t="str">
        <f t="shared" si="0"/>
        <v>OK</v>
      </c>
      <c r="F26" s="2"/>
      <c r="G26" s="2"/>
      <c r="H26" s="3">
        <f t="shared" si="1"/>
        <v>20</v>
      </c>
      <c r="I26" s="3">
        <f t="shared" si="2"/>
        <v>4.0999999999999996</v>
      </c>
    </row>
    <row r="27" spans="1:9" ht="18" customHeight="1" x14ac:dyDescent="0.25">
      <c r="A27" s="4" t="s">
        <v>55</v>
      </c>
      <c r="B27" s="4" t="s">
        <v>56</v>
      </c>
      <c r="C27" s="5">
        <v>6</v>
      </c>
      <c r="D27" s="5">
        <v>10</v>
      </c>
      <c r="E27" s="4" t="str">
        <f t="shared" si="0"/>
        <v>REORDER NOW</v>
      </c>
      <c r="F27" s="4"/>
      <c r="G27" s="4"/>
      <c r="H27" s="5">
        <f t="shared" si="1"/>
        <v>5</v>
      </c>
      <c r="I27" s="5">
        <f t="shared" si="2"/>
        <v>1.2</v>
      </c>
    </row>
    <row r="28" spans="1:9" ht="18" customHeight="1" x14ac:dyDescent="0.25">
      <c r="A28" s="2" t="s">
        <v>57</v>
      </c>
      <c r="B28" s="2" t="s">
        <v>58</v>
      </c>
      <c r="C28" s="3">
        <v>0</v>
      </c>
      <c r="D28" s="3">
        <v>6</v>
      </c>
      <c r="E28" s="2" t="str">
        <f t="shared" si="0"/>
        <v>REORDER NOW</v>
      </c>
      <c r="F28" s="2"/>
      <c r="G28" s="2"/>
      <c r="H28" s="3">
        <f t="shared" si="1"/>
        <v>3</v>
      </c>
      <c r="I28" s="3">
        <f t="shared" si="2"/>
        <v>0</v>
      </c>
    </row>
    <row r="29" spans="1:9" ht="18" customHeight="1" x14ac:dyDescent="0.25">
      <c r="A29" s="4" t="s">
        <v>59</v>
      </c>
      <c r="B29" s="4" t="s">
        <v>60</v>
      </c>
      <c r="C29" s="5">
        <v>11</v>
      </c>
      <c r="D29" s="5">
        <v>10</v>
      </c>
      <c r="E29" s="4" t="str">
        <f t="shared" si="0"/>
        <v>OK</v>
      </c>
      <c r="F29" s="4"/>
      <c r="G29" s="4"/>
      <c r="H29" s="5">
        <f t="shared" si="1"/>
        <v>5</v>
      </c>
      <c r="I29" s="5">
        <f t="shared" si="2"/>
        <v>2.2000000000000002</v>
      </c>
    </row>
    <row r="30" spans="1:9" ht="18" customHeight="1" x14ac:dyDescent="0.25">
      <c r="A30" s="2" t="s">
        <v>61</v>
      </c>
      <c r="B30" s="2" t="s">
        <v>62</v>
      </c>
      <c r="C30" s="3">
        <v>95</v>
      </c>
      <c r="D30" s="3">
        <v>40</v>
      </c>
      <c r="E30" s="2" t="str">
        <f t="shared" si="0"/>
        <v>OK</v>
      </c>
      <c r="F30" s="2"/>
      <c r="G30" s="2"/>
      <c r="H30" s="3">
        <f t="shared" si="1"/>
        <v>20</v>
      </c>
      <c r="I30" s="3">
        <f t="shared" si="2"/>
        <v>4.8</v>
      </c>
    </row>
    <row r="31" spans="1:9" ht="18" customHeight="1" x14ac:dyDescent="0.25">
      <c r="A31" s="4" t="s">
        <v>63</v>
      </c>
      <c r="B31" s="4" t="s">
        <v>64</v>
      </c>
      <c r="C31" s="5">
        <v>46</v>
      </c>
      <c r="D31" s="5">
        <v>20</v>
      </c>
      <c r="E31" s="4" t="str">
        <f t="shared" si="0"/>
        <v>OK</v>
      </c>
      <c r="F31" s="4"/>
      <c r="G31" s="4"/>
      <c r="H31" s="5">
        <f t="shared" si="1"/>
        <v>10</v>
      </c>
      <c r="I31" s="5">
        <f t="shared" si="2"/>
        <v>4.5999999999999996</v>
      </c>
    </row>
    <row r="32" spans="1:9" ht="18" customHeight="1" x14ac:dyDescent="0.25">
      <c r="A32" s="2" t="s">
        <v>65</v>
      </c>
      <c r="B32" s="2" t="s">
        <v>66</v>
      </c>
      <c r="C32" s="3">
        <v>51</v>
      </c>
      <c r="D32" s="3">
        <v>40</v>
      </c>
      <c r="E32" s="2" t="str">
        <f t="shared" si="0"/>
        <v>OK</v>
      </c>
      <c r="F32" s="2"/>
      <c r="G32" s="2"/>
      <c r="H32" s="3">
        <f t="shared" si="1"/>
        <v>20</v>
      </c>
      <c r="I32" s="3">
        <f t="shared" si="2"/>
        <v>2.6</v>
      </c>
    </row>
    <row r="33" spans="1:9" ht="18" customHeight="1" x14ac:dyDescent="0.25">
      <c r="A33" s="4" t="s">
        <v>67</v>
      </c>
      <c r="B33" s="4" t="s">
        <v>68</v>
      </c>
      <c r="C33" s="5">
        <v>0</v>
      </c>
      <c r="D33" s="5">
        <v>6</v>
      </c>
      <c r="E33" s="4" t="str">
        <f t="shared" si="0"/>
        <v>REORDER NOW</v>
      </c>
      <c r="F33" s="4"/>
      <c r="G33" s="4"/>
      <c r="H33" s="5">
        <f t="shared" si="1"/>
        <v>3</v>
      </c>
      <c r="I33" s="5">
        <f t="shared" si="2"/>
        <v>0</v>
      </c>
    </row>
    <row r="34" spans="1:9" ht="18" customHeight="1" x14ac:dyDescent="0.25">
      <c r="A34" s="2" t="s">
        <v>69</v>
      </c>
      <c r="B34" s="2" t="s">
        <v>70</v>
      </c>
      <c r="C34" s="3">
        <v>7</v>
      </c>
      <c r="D34" s="3">
        <v>10</v>
      </c>
      <c r="E34" s="2" t="str">
        <f t="shared" si="0"/>
        <v>REORDER NOW</v>
      </c>
      <c r="F34" s="2"/>
      <c r="G34" s="2"/>
      <c r="H34" s="3">
        <f t="shared" si="1"/>
        <v>5</v>
      </c>
      <c r="I34" s="3">
        <f t="shared" si="2"/>
        <v>1.4</v>
      </c>
    </row>
    <row r="35" spans="1:9" ht="18" customHeight="1" x14ac:dyDescent="0.25">
      <c r="A35" s="4" t="s">
        <v>71</v>
      </c>
      <c r="B35" s="4" t="s">
        <v>72</v>
      </c>
      <c r="C35" s="5">
        <v>5</v>
      </c>
      <c r="D35" s="5">
        <v>6</v>
      </c>
      <c r="E35" s="4" t="str">
        <f t="shared" si="0"/>
        <v>REORDER NOW</v>
      </c>
      <c r="F35" s="4"/>
      <c r="G35" s="4"/>
      <c r="H35" s="5">
        <f t="shared" si="1"/>
        <v>3</v>
      </c>
      <c r="I35" s="5">
        <f t="shared" si="2"/>
        <v>1.7</v>
      </c>
    </row>
    <row r="36" spans="1:9" ht="18" customHeight="1" x14ac:dyDescent="0.25">
      <c r="A36" s="2" t="s">
        <v>73</v>
      </c>
      <c r="B36" s="2" t="s">
        <v>74</v>
      </c>
      <c r="C36" s="3">
        <v>2</v>
      </c>
      <c r="D36" s="3">
        <v>6</v>
      </c>
      <c r="E36" s="2" t="str">
        <f t="shared" si="0"/>
        <v>REORDER NOW</v>
      </c>
      <c r="F36" s="2"/>
      <c r="G36" s="2"/>
      <c r="H36" s="3">
        <f t="shared" si="1"/>
        <v>3</v>
      </c>
      <c r="I36" s="3">
        <f t="shared" si="2"/>
        <v>0.7</v>
      </c>
    </row>
    <row r="37" spans="1:9" ht="18" customHeight="1" x14ac:dyDescent="0.25">
      <c r="A37" s="4" t="s">
        <v>75</v>
      </c>
      <c r="B37" s="4" t="s">
        <v>76</v>
      </c>
      <c r="C37" s="5">
        <v>2</v>
      </c>
      <c r="D37" s="5">
        <v>6</v>
      </c>
      <c r="E37" s="4" t="str">
        <f t="shared" si="0"/>
        <v>REORDER NOW</v>
      </c>
      <c r="F37" s="4"/>
      <c r="G37" s="4"/>
      <c r="H37" s="5">
        <f t="shared" si="1"/>
        <v>3</v>
      </c>
      <c r="I37" s="5">
        <f t="shared" si="2"/>
        <v>0.7</v>
      </c>
    </row>
    <row r="38" spans="1:9" ht="18" customHeight="1" x14ac:dyDescent="0.25">
      <c r="A38" s="2" t="s">
        <v>77</v>
      </c>
      <c r="B38" s="2" t="s">
        <v>78</v>
      </c>
      <c r="C38" s="3">
        <v>0</v>
      </c>
      <c r="D38" s="3">
        <v>6</v>
      </c>
      <c r="E38" s="2" t="str">
        <f t="shared" si="0"/>
        <v>REORDER NOW</v>
      </c>
      <c r="F38" s="2"/>
      <c r="G38" s="2"/>
      <c r="H38" s="3">
        <f t="shared" si="1"/>
        <v>3</v>
      </c>
      <c r="I38" s="3">
        <f t="shared" si="2"/>
        <v>0</v>
      </c>
    </row>
    <row r="39" spans="1:9" ht="18" customHeight="1" x14ac:dyDescent="0.25">
      <c r="A39" s="4" t="s">
        <v>79</v>
      </c>
      <c r="B39" s="4" t="s">
        <v>80</v>
      </c>
      <c r="C39" s="5">
        <v>0</v>
      </c>
      <c r="D39" s="5">
        <v>6</v>
      </c>
      <c r="E39" s="4" t="str">
        <f t="shared" si="0"/>
        <v>REORDER NOW</v>
      </c>
      <c r="F39" s="4"/>
      <c r="G39" s="4"/>
      <c r="H39" s="5">
        <f t="shared" si="1"/>
        <v>3</v>
      </c>
      <c r="I39" s="5">
        <f t="shared" si="2"/>
        <v>0</v>
      </c>
    </row>
    <row r="40" spans="1:9" ht="18" customHeight="1" x14ac:dyDescent="0.25">
      <c r="A40" s="2" t="s">
        <v>81</v>
      </c>
      <c r="B40" s="2" t="s">
        <v>82</v>
      </c>
      <c r="C40" s="3">
        <v>0</v>
      </c>
      <c r="D40" s="3">
        <v>6</v>
      </c>
      <c r="E40" s="2" t="str">
        <f t="shared" si="0"/>
        <v>REORDER NOW</v>
      </c>
      <c r="F40" s="2"/>
      <c r="G40" s="2"/>
      <c r="H40" s="3">
        <f t="shared" si="1"/>
        <v>3</v>
      </c>
      <c r="I40" s="3">
        <f t="shared" si="2"/>
        <v>0</v>
      </c>
    </row>
    <row r="41" spans="1:9" ht="18" customHeight="1" x14ac:dyDescent="0.25">
      <c r="A41" s="4" t="s">
        <v>83</v>
      </c>
      <c r="B41" s="4" t="s">
        <v>84</v>
      </c>
      <c r="C41" s="5">
        <v>0</v>
      </c>
      <c r="D41" s="5">
        <v>6</v>
      </c>
      <c r="E41" s="4" t="str">
        <f t="shared" si="0"/>
        <v>REORDER NOW</v>
      </c>
      <c r="F41" s="4"/>
      <c r="G41" s="4"/>
      <c r="H41" s="5">
        <f t="shared" si="1"/>
        <v>3</v>
      </c>
      <c r="I41" s="5">
        <f t="shared" si="2"/>
        <v>0</v>
      </c>
    </row>
    <row r="42" spans="1:9" ht="18" customHeight="1" x14ac:dyDescent="0.25">
      <c r="A42" s="2" t="s">
        <v>85</v>
      </c>
      <c r="B42" s="2" t="s">
        <v>86</v>
      </c>
      <c r="C42" s="3">
        <v>0</v>
      </c>
      <c r="D42" s="3">
        <v>6</v>
      </c>
      <c r="E42" s="2" t="str">
        <f t="shared" si="0"/>
        <v>REORDER NOW</v>
      </c>
      <c r="F42" s="2"/>
      <c r="G42" s="2"/>
      <c r="H42" s="3">
        <f t="shared" si="1"/>
        <v>3</v>
      </c>
      <c r="I42" s="3">
        <f t="shared" si="2"/>
        <v>0</v>
      </c>
    </row>
    <row r="43" spans="1:9" ht="18" customHeight="1" x14ac:dyDescent="0.25">
      <c r="A43" s="4" t="s">
        <v>87</v>
      </c>
      <c r="B43" s="4" t="s">
        <v>88</v>
      </c>
      <c r="C43" s="5">
        <v>0</v>
      </c>
      <c r="D43" s="5">
        <v>6</v>
      </c>
      <c r="E43" s="4" t="str">
        <f t="shared" si="0"/>
        <v>REORDER NOW</v>
      </c>
      <c r="F43" s="4"/>
      <c r="G43" s="4"/>
      <c r="H43" s="5">
        <f t="shared" si="1"/>
        <v>3</v>
      </c>
      <c r="I43" s="5">
        <f t="shared" si="2"/>
        <v>0</v>
      </c>
    </row>
    <row r="44" spans="1:9" ht="18" customHeight="1" x14ac:dyDescent="0.25">
      <c r="A44" s="2" t="s">
        <v>89</v>
      </c>
      <c r="B44" s="2" t="s">
        <v>90</v>
      </c>
      <c r="C44" s="3">
        <v>0</v>
      </c>
      <c r="D44" s="3">
        <v>6</v>
      </c>
      <c r="E44" s="2" t="str">
        <f t="shared" si="0"/>
        <v>REORDER NOW</v>
      </c>
      <c r="F44" s="2"/>
      <c r="G44" s="2"/>
      <c r="H44" s="3">
        <f t="shared" si="1"/>
        <v>3</v>
      </c>
      <c r="I44" s="3">
        <f t="shared" si="2"/>
        <v>0</v>
      </c>
    </row>
    <row r="45" spans="1:9" ht="18" customHeight="1" x14ac:dyDescent="0.25">
      <c r="A45" s="4" t="s">
        <v>91</v>
      </c>
      <c r="B45" s="4" t="s">
        <v>92</v>
      </c>
      <c r="C45" s="5">
        <v>0</v>
      </c>
      <c r="D45" s="5">
        <v>6</v>
      </c>
      <c r="E45" s="4" t="str">
        <f t="shared" si="0"/>
        <v>REORDER NOW</v>
      </c>
      <c r="F45" s="4"/>
      <c r="G45" s="4"/>
      <c r="H45" s="5">
        <f t="shared" si="1"/>
        <v>3</v>
      </c>
      <c r="I45" s="5">
        <f t="shared" si="2"/>
        <v>0</v>
      </c>
    </row>
    <row r="46" spans="1:9" ht="18" customHeight="1" x14ac:dyDescent="0.25">
      <c r="A46" s="2" t="s">
        <v>93</v>
      </c>
      <c r="B46" s="2" t="s">
        <v>94</v>
      </c>
      <c r="C46" s="3">
        <v>0</v>
      </c>
      <c r="D46" s="3">
        <v>6</v>
      </c>
      <c r="E46" s="2" t="str">
        <f t="shared" si="0"/>
        <v>REORDER NOW</v>
      </c>
      <c r="F46" s="2"/>
      <c r="G46" s="2"/>
      <c r="H46" s="3">
        <f t="shared" si="1"/>
        <v>3</v>
      </c>
      <c r="I46" s="3">
        <f t="shared" si="2"/>
        <v>0</v>
      </c>
    </row>
    <row r="47" spans="1:9" ht="18" customHeight="1" x14ac:dyDescent="0.25">
      <c r="A47" s="4" t="s">
        <v>95</v>
      </c>
      <c r="B47" s="4" t="s">
        <v>96</v>
      </c>
      <c r="C47" s="5">
        <v>0</v>
      </c>
      <c r="D47" s="5">
        <v>6</v>
      </c>
      <c r="E47" s="4" t="str">
        <f t="shared" si="0"/>
        <v>REORDER NOW</v>
      </c>
      <c r="F47" s="4"/>
      <c r="G47" s="4"/>
      <c r="H47" s="5">
        <f t="shared" si="1"/>
        <v>3</v>
      </c>
      <c r="I47" s="5">
        <f t="shared" si="2"/>
        <v>0</v>
      </c>
    </row>
    <row r="48" spans="1:9" ht="18" customHeight="1" x14ac:dyDescent="0.25">
      <c r="A48" s="2" t="s">
        <v>97</v>
      </c>
      <c r="B48" s="2" t="s">
        <v>98</v>
      </c>
      <c r="C48" s="3">
        <v>0</v>
      </c>
      <c r="D48" s="3">
        <v>6</v>
      </c>
      <c r="E48" s="2" t="str">
        <f t="shared" si="0"/>
        <v>REORDER NOW</v>
      </c>
      <c r="F48" s="2"/>
      <c r="G48" s="2"/>
      <c r="H48" s="3">
        <f t="shared" si="1"/>
        <v>3</v>
      </c>
      <c r="I48" s="3">
        <f t="shared" si="2"/>
        <v>0</v>
      </c>
    </row>
    <row r="49" spans="1:9" ht="18" customHeight="1" x14ac:dyDescent="0.25">
      <c r="A49" s="4" t="s">
        <v>99</v>
      </c>
      <c r="B49" s="4" t="s">
        <v>100</v>
      </c>
      <c r="C49" s="5">
        <v>0</v>
      </c>
      <c r="D49" s="5">
        <v>6</v>
      </c>
      <c r="E49" s="4" t="str">
        <f t="shared" si="0"/>
        <v>REORDER NOW</v>
      </c>
      <c r="F49" s="4"/>
      <c r="G49" s="4"/>
      <c r="H49" s="5">
        <f t="shared" si="1"/>
        <v>3</v>
      </c>
      <c r="I49" s="5">
        <f t="shared" si="2"/>
        <v>0</v>
      </c>
    </row>
    <row r="50" spans="1:9" ht="18" customHeight="1" x14ac:dyDescent="0.25">
      <c r="A50" s="2" t="s">
        <v>101</v>
      </c>
      <c r="B50" s="2" t="s">
        <v>100</v>
      </c>
      <c r="C50" s="3">
        <v>0</v>
      </c>
      <c r="D50" s="3">
        <v>6</v>
      </c>
      <c r="E50" s="2" t="str">
        <f t="shared" si="0"/>
        <v>REORDER NOW</v>
      </c>
      <c r="F50" s="2"/>
      <c r="G50" s="2"/>
      <c r="H50" s="3">
        <f t="shared" si="1"/>
        <v>3</v>
      </c>
      <c r="I50" s="3">
        <f t="shared" si="2"/>
        <v>0</v>
      </c>
    </row>
    <row r="51" spans="1:9" ht="18" customHeight="1" x14ac:dyDescent="0.25">
      <c r="A51" s="4" t="s">
        <v>102</v>
      </c>
      <c r="B51" s="4" t="s">
        <v>103</v>
      </c>
      <c r="C51" s="5">
        <v>0</v>
      </c>
      <c r="D51" s="5">
        <v>6</v>
      </c>
      <c r="E51" s="4" t="str">
        <f t="shared" si="0"/>
        <v>REORDER NOW</v>
      </c>
      <c r="F51" s="4"/>
      <c r="G51" s="4"/>
      <c r="H51" s="5">
        <f t="shared" si="1"/>
        <v>3</v>
      </c>
      <c r="I51" s="5">
        <f t="shared" si="2"/>
        <v>0</v>
      </c>
    </row>
    <row r="52" spans="1:9" ht="18" customHeight="1" x14ac:dyDescent="0.25">
      <c r="A52" s="2" t="s">
        <v>104</v>
      </c>
      <c r="B52" s="2" t="s">
        <v>105</v>
      </c>
      <c r="C52" s="3">
        <v>0</v>
      </c>
      <c r="D52" s="3">
        <v>6</v>
      </c>
      <c r="E52" s="2" t="str">
        <f t="shared" si="0"/>
        <v>REORDER NOW</v>
      </c>
      <c r="F52" s="2"/>
      <c r="G52" s="2"/>
      <c r="H52" s="3">
        <f t="shared" si="1"/>
        <v>3</v>
      </c>
      <c r="I52" s="3">
        <f t="shared" si="2"/>
        <v>0</v>
      </c>
    </row>
    <row r="53" spans="1:9" ht="18" customHeight="1" x14ac:dyDescent="0.25">
      <c r="A53" s="4" t="s">
        <v>106</v>
      </c>
      <c r="B53" s="4" t="s">
        <v>107</v>
      </c>
      <c r="C53" s="5">
        <v>0</v>
      </c>
      <c r="D53" s="5">
        <v>6</v>
      </c>
      <c r="E53" s="4" t="str">
        <f t="shared" si="0"/>
        <v>REORDER NOW</v>
      </c>
      <c r="F53" s="4"/>
      <c r="G53" s="4"/>
      <c r="H53" s="5">
        <f t="shared" si="1"/>
        <v>3</v>
      </c>
      <c r="I53" s="5">
        <f t="shared" si="2"/>
        <v>0</v>
      </c>
    </row>
    <row r="54" spans="1:9" ht="18" customHeight="1" x14ac:dyDescent="0.25">
      <c r="A54" s="2" t="s">
        <v>108</v>
      </c>
      <c r="B54" s="2" t="s">
        <v>109</v>
      </c>
      <c r="C54" s="3">
        <v>1</v>
      </c>
      <c r="D54" s="3">
        <v>6</v>
      </c>
      <c r="E54" s="2" t="str">
        <f t="shared" si="0"/>
        <v>REORDER NOW</v>
      </c>
      <c r="F54" s="2"/>
      <c r="G54" s="2"/>
      <c r="H54" s="3">
        <f t="shared" si="1"/>
        <v>3</v>
      </c>
      <c r="I54" s="3">
        <f t="shared" si="2"/>
        <v>0.3</v>
      </c>
    </row>
    <row r="55" spans="1:9" ht="18" customHeight="1" x14ac:dyDescent="0.25">
      <c r="A55" s="4" t="s">
        <v>110</v>
      </c>
      <c r="B55" s="4" t="s">
        <v>111</v>
      </c>
      <c r="C55" s="5">
        <v>0</v>
      </c>
      <c r="D55" s="5">
        <v>6</v>
      </c>
      <c r="E55" s="4" t="str">
        <f t="shared" si="0"/>
        <v>REORDER NOW</v>
      </c>
      <c r="F55" s="4"/>
      <c r="G55" s="4"/>
      <c r="H55" s="5">
        <f t="shared" si="1"/>
        <v>3</v>
      </c>
      <c r="I55" s="5">
        <f t="shared" si="2"/>
        <v>0</v>
      </c>
    </row>
    <row r="56" spans="1:9" ht="18" customHeight="1" x14ac:dyDescent="0.25">
      <c r="A56" s="2" t="s">
        <v>112</v>
      </c>
      <c r="B56" s="2" t="s">
        <v>113</v>
      </c>
      <c r="C56" s="3">
        <v>0</v>
      </c>
      <c r="D56" s="3">
        <v>6</v>
      </c>
      <c r="E56" s="2" t="str">
        <f t="shared" si="0"/>
        <v>REORDER NOW</v>
      </c>
      <c r="F56" s="2"/>
      <c r="G56" s="2"/>
      <c r="H56" s="3">
        <f t="shared" si="1"/>
        <v>3</v>
      </c>
      <c r="I56" s="3">
        <f t="shared" si="2"/>
        <v>0</v>
      </c>
    </row>
    <row r="57" spans="1:9" ht="18" customHeight="1" x14ac:dyDescent="0.25">
      <c r="A57" s="4" t="s">
        <v>114</v>
      </c>
      <c r="B57" s="4" t="s">
        <v>115</v>
      </c>
      <c r="C57" s="5">
        <v>0</v>
      </c>
      <c r="D57" s="5">
        <v>6</v>
      </c>
      <c r="E57" s="4" t="str">
        <f t="shared" si="0"/>
        <v>REORDER NOW</v>
      </c>
      <c r="F57" s="4"/>
      <c r="G57" s="4"/>
      <c r="H57" s="5">
        <f t="shared" si="1"/>
        <v>3</v>
      </c>
      <c r="I57" s="5">
        <f t="shared" si="2"/>
        <v>0</v>
      </c>
    </row>
    <row r="58" spans="1:9" ht="18" customHeight="1" x14ac:dyDescent="0.25">
      <c r="A58" s="2" t="s">
        <v>116</v>
      </c>
      <c r="B58" s="2" t="s">
        <v>117</v>
      </c>
      <c r="C58" s="3">
        <v>0</v>
      </c>
      <c r="D58" s="3">
        <v>6</v>
      </c>
      <c r="E58" s="2" t="str">
        <f t="shared" si="0"/>
        <v>REORDER NOW</v>
      </c>
      <c r="F58" s="2"/>
      <c r="G58" s="2"/>
      <c r="H58" s="3">
        <f t="shared" si="1"/>
        <v>3</v>
      </c>
      <c r="I58" s="3">
        <f t="shared" si="2"/>
        <v>0</v>
      </c>
    </row>
    <row r="59" spans="1:9" ht="18" customHeight="1" x14ac:dyDescent="0.25">
      <c r="A59" s="4" t="s">
        <v>118</v>
      </c>
      <c r="B59" s="4" t="s">
        <v>119</v>
      </c>
      <c r="C59" s="5">
        <v>0</v>
      </c>
      <c r="D59" s="5">
        <v>6</v>
      </c>
      <c r="E59" s="4" t="str">
        <f t="shared" si="0"/>
        <v>REORDER NOW</v>
      </c>
      <c r="F59" s="4"/>
      <c r="G59" s="4"/>
      <c r="H59" s="5">
        <f t="shared" si="1"/>
        <v>3</v>
      </c>
      <c r="I59" s="5">
        <f t="shared" si="2"/>
        <v>0</v>
      </c>
    </row>
    <row r="60" spans="1:9" ht="18" customHeight="1" x14ac:dyDescent="0.25">
      <c r="A60" s="2" t="s">
        <v>120</v>
      </c>
      <c r="B60" s="2" t="s">
        <v>121</v>
      </c>
      <c r="C60" s="3">
        <v>0</v>
      </c>
      <c r="D60" s="3">
        <v>6</v>
      </c>
      <c r="E60" s="2" t="str">
        <f t="shared" si="0"/>
        <v>REORDER NOW</v>
      </c>
      <c r="F60" s="2"/>
      <c r="G60" s="2"/>
      <c r="H60" s="3">
        <f t="shared" si="1"/>
        <v>3</v>
      </c>
      <c r="I60" s="3">
        <f t="shared" si="2"/>
        <v>0</v>
      </c>
    </row>
    <row r="61" spans="1:9" ht="18" customHeight="1" x14ac:dyDescent="0.25">
      <c r="A61" s="4" t="s">
        <v>122</v>
      </c>
      <c r="B61" s="4" t="s">
        <v>123</v>
      </c>
      <c r="C61" s="5">
        <v>0</v>
      </c>
      <c r="D61" s="5">
        <v>6</v>
      </c>
      <c r="E61" s="4" t="str">
        <f t="shared" si="0"/>
        <v>REORDER NOW</v>
      </c>
      <c r="F61" s="4"/>
      <c r="G61" s="4"/>
      <c r="H61" s="5">
        <f t="shared" si="1"/>
        <v>3</v>
      </c>
      <c r="I61" s="5">
        <f t="shared" si="2"/>
        <v>0</v>
      </c>
    </row>
    <row r="62" spans="1:9" ht="18" customHeight="1" x14ac:dyDescent="0.25">
      <c r="A62" s="2" t="s">
        <v>124</v>
      </c>
      <c r="B62" s="2" t="s">
        <v>123</v>
      </c>
      <c r="C62" s="3">
        <v>0</v>
      </c>
      <c r="D62" s="3">
        <v>6</v>
      </c>
      <c r="E62" s="2" t="str">
        <f t="shared" si="0"/>
        <v>REORDER NOW</v>
      </c>
      <c r="F62" s="2"/>
      <c r="G62" s="2"/>
      <c r="H62" s="3">
        <f t="shared" si="1"/>
        <v>3</v>
      </c>
      <c r="I62" s="3">
        <f t="shared" si="2"/>
        <v>0</v>
      </c>
    </row>
    <row r="63" spans="1:9" ht="18" customHeight="1" x14ac:dyDescent="0.25">
      <c r="A63" s="4" t="s">
        <v>125</v>
      </c>
      <c r="B63" s="4" t="s">
        <v>126</v>
      </c>
      <c r="C63" s="5">
        <v>0</v>
      </c>
      <c r="D63" s="5">
        <v>6</v>
      </c>
      <c r="E63" s="4" t="str">
        <f t="shared" si="0"/>
        <v>REORDER NOW</v>
      </c>
      <c r="F63" s="4"/>
      <c r="G63" s="4"/>
      <c r="H63" s="5">
        <f t="shared" si="1"/>
        <v>3</v>
      </c>
      <c r="I63" s="5">
        <f t="shared" si="2"/>
        <v>0</v>
      </c>
    </row>
    <row r="64" spans="1:9" ht="18" customHeight="1" x14ac:dyDescent="0.25">
      <c r="A64" s="2" t="s">
        <v>127</v>
      </c>
      <c r="B64" s="2" t="s">
        <v>128</v>
      </c>
      <c r="C64" s="3">
        <v>3</v>
      </c>
      <c r="D64" s="3">
        <v>6</v>
      </c>
      <c r="E64" s="2" t="str">
        <f t="shared" si="0"/>
        <v>REORDER NOW</v>
      </c>
      <c r="F64" s="2"/>
      <c r="G64" s="2"/>
      <c r="H64" s="3">
        <f t="shared" si="1"/>
        <v>3</v>
      </c>
      <c r="I64" s="3">
        <f t="shared" si="2"/>
        <v>1</v>
      </c>
    </row>
    <row r="65" spans="1:9" ht="18" customHeight="1" x14ac:dyDescent="0.25">
      <c r="A65" s="4" t="s">
        <v>129</v>
      </c>
      <c r="B65" s="4" t="s">
        <v>130</v>
      </c>
      <c r="C65" s="5">
        <v>0</v>
      </c>
      <c r="D65" s="5">
        <v>6</v>
      </c>
      <c r="E65" s="4" t="str">
        <f t="shared" si="0"/>
        <v>REORDER NOW</v>
      </c>
      <c r="F65" s="4"/>
      <c r="G65" s="4"/>
      <c r="H65" s="5">
        <f t="shared" si="1"/>
        <v>3</v>
      </c>
      <c r="I65" s="5">
        <f t="shared" si="2"/>
        <v>0</v>
      </c>
    </row>
    <row r="66" spans="1:9" ht="18" customHeight="1" x14ac:dyDescent="0.25">
      <c r="A66" s="2" t="s">
        <v>131</v>
      </c>
      <c r="B66" s="2" t="s">
        <v>132</v>
      </c>
      <c r="C66" s="3">
        <v>0</v>
      </c>
      <c r="D66" s="3">
        <v>6</v>
      </c>
      <c r="E66" s="2" t="str">
        <f t="shared" si="0"/>
        <v>REORDER NOW</v>
      </c>
      <c r="F66" s="2"/>
      <c r="G66" s="2"/>
      <c r="H66" s="3">
        <f t="shared" si="1"/>
        <v>3</v>
      </c>
      <c r="I66" s="3">
        <f t="shared" si="2"/>
        <v>0</v>
      </c>
    </row>
    <row r="67" spans="1:9" ht="18" customHeight="1" x14ac:dyDescent="0.25">
      <c r="A67" s="4" t="s">
        <v>133</v>
      </c>
      <c r="B67" s="4" t="s">
        <v>134</v>
      </c>
      <c r="C67" s="5">
        <v>0</v>
      </c>
      <c r="D67" s="5">
        <v>6</v>
      </c>
      <c r="E67" s="4" t="str">
        <f t="shared" si="0"/>
        <v>REORDER NOW</v>
      </c>
      <c r="F67" s="4"/>
      <c r="G67" s="4"/>
      <c r="H67" s="5">
        <f t="shared" si="1"/>
        <v>3</v>
      </c>
      <c r="I67" s="5">
        <f t="shared" si="2"/>
        <v>0</v>
      </c>
    </row>
    <row r="68" spans="1:9" ht="18" customHeight="1" x14ac:dyDescent="0.25">
      <c r="A68" s="2" t="s">
        <v>135</v>
      </c>
      <c r="B68" s="2" t="s">
        <v>132</v>
      </c>
      <c r="C68" s="3">
        <v>0</v>
      </c>
      <c r="D68" s="3">
        <v>6</v>
      </c>
      <c r="E68" s="2" t="str">
        <f t="shared" ref="E68:E131" si="3">IF(C68&lt;=D68,"REORDER NOW","OK")</f>
        <v>REORDER NOW</v>
      </c>
      <c r="F68" s="2"/>
      <c r="G68" s="2"/>
      <c r="H68" s="3">
        <f t="shared" ref="H68:H131" si="4">D68/2</f>
        <v>3</v>
      </c>
      <c r="I68" s="3">
        <f t="shared" ref="I68:I131" si="5">IF(H68=0,"N/A",ROUND(C68/H68,1))</f>
        <v>0</v>
      </c>
    </row>
    <row r="69" spans="1:9" ht="18" customHeight="1" x14ac:dyDescent="0.25">
      <c r="A69" s="4" t="s">
        <v>136</v>
      </c>
      <c r="B69" s="4" t="s">
        <v>123</v>
      </c>
      <c r="C69" s="5">
        <v>0</v>
      </c>
      <c r="D69" s="5">
        <v>6</v>
      </c>
      <c r="E69" s="4" t="str">
        <f t="shared" si="3"/>
        <v>REORDER NOW</v>
      </c>
      <c r="F69" s="4"/>
      <c r="G69" s="4"/>
      <c r="H69" s="5">
        <f t="shared" si="4"/>
        <v>3</v>
      </c>
      <c r="I69" s="5">
        <f t="shared" si="5"/>
        <v>0</v>
      </c>
    </row>
    <row r="70" spans="1:9" ht="18" customHeight="1" x14ac:dyDescent="0.25">
      <c r="A70" s="2" t="s">
        <v>137</v>
      </c>
      <c r="B70" s="2" t="s">
        <v>138</v>
      </c>
      <c r="C70" s="3">
        <v>0</v>
      </c>
      <c r="D70" s="3">
        <v>6</v>
      </c>
      <c r="E70" s="2" t="str">
        <f t="shared" si="3"/>
        <v>REORDER NOW</v>
      </c>
      <c r="F70" s="2"/>
      <c r="G70" s="2"/>
      <c r="H70" s="3">
        <f t="shared" si="4"/>
        <v>3</v>
      </c>
      <c r="I70" s="3">
        <f t="shared" si="5"/>
        <v>0</v>
      </c>
    </row>
    <row r="71" spans="1:9" ht="18" customHeight="1" x14ac:dyDescent="0.25">
      <c r="A71" s="4" t="s">
        <v>139</v>
      </c>
      <c r="B71" s="4" t="s">
        <v>140</v>
      </c>
      <c r="C71" s="5">
        <v>0</v>
      </c>
      <c r="D71" s="5">
        <v>6</v>
      </c>
      <c r="E71" s="4" t="str">
        <f t="shared" si="3"/>
        <v>REORDER NOW</v>
      </c>
      <c r="F71" s="4"/>
      <c r="G71" s="4"/>
      <c r="H71" s="5">
        <f t="shared" si="4"/>
        <v>3</v>
      </c>
      <c r="I71" s="5">
        <f t="shared" si="5"/>
        <v>0</v>
      </c>
    </row>
    <row r="72" spans="1:9" ht="18" customHeight="1" x14ac:dyDescent="0.25">
      <c r="A72" s="2" t="s">
        <v>141</v>
      </c>
      <c r="B72" s="2" t="s">
        <v>140</v>
      </c>
      <c r="C72" s="3">
        <v>0</v>
      </c>
      <c r="D72" s="3">
        <v>6</v>
      </c>
      <c r="E72" s="2" t="str">
        <f t="shared" si="3"/>
        <v>REORDER NOW</v>
      </c>
      <c r="F72" s="2"/>
      <c r="G72" s="2"/>
      <c r="H72" s="3">
        <f t="shared" si="4"/>
        <v>3</v>
      </c>
      <c r="I72" s="3">
        <f t="shared" si="5"/>
        <v>0</v>
      </c>
    </row>
    <row r="73" spans="1:9" ht="18" customHeight="1" x14ac:dyDescent="0.25">
      <c r="A73" s="4" t="s">
        <v>142</v>
      </c>
      <c r="B73" s="4" t="s">
        <v>107</v>
      </c>
      <c r="C73" s="5">
        <v>0</v>
      </c>
      <c r="D73" s="5">
        <v>6</v>
      </c>
      <c r="E73" s="4" t="str">
        <f t="shared" si="3"/>
        <v>REORDER NOW</v>
      </c>
      <c r="F73" s="4"/>
      <c r="G73" s="4"/>
      <c r="H73" s="5">
        <f t="shared" si="4"/>
        <v>3</v>
      </c>
      <c r="I73" s="5">
        <f t="shared" si="5"/>
        <v>0</v>
      </c>
    </row>
    <row r="74" spans="1:9" ht="18" customHeight="1" x14ac:dyDescent="0.25">
      <c r="A74" s="2" t="s">
        <v>143</v>
      </c>
      <c r="B74" s="2" t="s">
        <v>144</v>
      </c>
      <c r="C74" s="3">
        <v>0</v>
      </c>
      <c r="D74" s="3">
        <v>6</v>
      </c>
      <c r="E74" s="2" t="str">
        <f t="shared" si="3"/>
        <v>REORDER NOW</v>
      </c>
      <c r="F74" s="2"/>
      <c r="G74" s="2"/>
      <c r="H74" s="3">
        <f t="shared" si="4"/>
        <v>3</v>
      </c>
      <c r="I74" s="3">
        <f t="shared" si="5"/>
        <v>0</v>
      </c>
    </row>
    <row r="75" spans="1:9" ht="18" customHeight="1" x14ac:dyDescent="0.25">
      <c r="A75" s="4" t="s">
        <v>145</v>
      </c>
      <c r="B75" s="4" t="s">
        <v>146</v>
      </c>
      <c r="C75" s="5">
        <v>0</v>
      </c>
      <c r="D75" s="5">
        <v>6</v>
      </c>
      <c r="E75" s="4" t="str">
        <f t="shared" si="3"/>
        <v>REORDER NOW</v>
      </c>
      <c r="F75" s="4"/>
      <c r="G75" s="4"/>
      <c r="H75" s="5">
        <f t="shared" si="4"/>
        <v>3</v>
      </c>
      <c r="I75" s="5">
        <f t="shared" si="5"/>
        <v>0</v>
      </c>
    </row>
    <row r="76" spans="1:9" ht="18" customHeight="1" x14ac:dyDescent="0.25">
      <c r="A76" s="2" t="s">
        <v>147</v>
      </c>
      <c r="B76" s="2" t="s">
        <v>148</v>
      </c>
      <c r="C76" s="3">
        <v>0</v>
      </c>
      <c r="D76" s="3">
        <v>6</v>
      </c>
      <c r="E76" s="2" t="str">
        <f t="shared" si="3"/>
        <v>REORDER NOW</v>
      </c>
      <c r="F76" s="2"/>
      <c r="G76" s="2"/>
      <c r="H76" s="3">
        <f t="shared" si="4"/>
        <v>3</v>
      </c>
      <c r="I76" s="3">
        <f t="shared" si="5"/>
        <v>0</v>
      </c>
    </row>
    <row r="77" spans="1:9" ht="18" customHeight="1" x14ac:dyDescent="0.25">
      <c r="A77" s="4" t="s">
        <v>149</v>
      </c>
      <c r="B77" s="4" t="s">
        <v>150</v>
      </c>
      <c r="C77" s="5">
        <v>0</v>
      </c>
      <c r="D77" s="5">
        <v>6</v>
      </c>
      <c r="E77" s="4" t="str">
        <f t="shared" si="3"/>
        <v>REORDER NOW</v>
      </c>
      <c r="F77" s="4"/>
      <c r="G77" s="4"/>
      <c r="H77" s="5">
        <f t="shared" si="4"/>
        <v>3</v>
      </c>
      <c r="I77" s="5">
        <f t="shared" si="5"/>
        <v>0</v>
      </c>
    </row>
    <row r="78" spans="1:9" ht="18" customHeight="1" x14ac:dyDescent="0.25">
      <c r="A78" s="2" t="s">
        <v>151</v>
      </c>
      <c r="B78" s="2" t="s">
        <v>152</v>
      </c>
      <c r="C78" s="3">
        <v>3</v>
      </c>
      <c r="D78" s="3">
        <v>6</v>
      </c>
      <c r="E78" s="2" t="str">
        <f t="shared" si="3"/>
        <v>REORDER NOW</v>
      </c>
      <c r="F78" s="2"/>
      <c r="G78" s="2"/>
      <c r="H78" s="3">
        <f t="shared" si="4"/>
        <v>3</v>
      </c>
      <c r="I78" s="3">
        <f t="shared" si="5"/>
        <v>1</v>
      </c>
    </row>
    <row r="79" spans="1:9" ht="18" customHeight="1" x14ac:dyDescent="0.25">
      <c r="A79" s="4" t="s">
        <v>153</v>
      </c>
      <c r="B79" s="4" t="s">
        <v>154</v>
      </c>
      <c r="C79" s="5">
        <v>3</v>
      </c>
      <c r="D79" s="5">
        <v>6</v>
      </c>
      <c r="E79" s="4" t="str">
        <f t="shared" si="3"/>
        <v>REORDER NOW</v>
      </c>
      <c r="F79" s="4"/>
      <c r="G79" s="4"/>
      <c r="H79" s="5">
        <f t="shared" si="4"/>
        <v>3</v>
      </c>
      <c r="I79" s="5">
        <f t="shared" si="5"/>
        <v>1</v>
      </c>
    </row>
    <row r="80" spans="1:9" ht="18" customHeight="1" x14ac:dyDescent="0.25">
      <c r="A80" s="2" t="s">
        <v>155</v>
      </c>
      <c r="B80" s="2" t="s">
        <v>156</v>
      </c>
      <c r="C80" s="3">
        <v>0</v>
      </c>
      <c r="D80" s="3">
        <v>6</v>
      </c>
      <c r="E80" s="2" t="str">
        <f t="shared" si="3"/>
        <v>REORDER NOW</v>
      </c>
      <c r="F80" s="2"/>
      <c r="G80" s="2"/>
      <c r="H80" s="3">
        <f t="shared" si="4"/>
        <v>3</v>
      </c>
      <c r="I80" s="3">
        <f t="shared" si="5"/>
        <v>0</v>
      </c>
    </row>
    <row r="81" spans="1:9" ht="18" customHeight="1" x14ac:dyDescent="0.25">
      <c r="A81" s="4" t="s">
        <v>157</v>
      </c>
      <c r="B81" s="4" t="s">
        <v>158</v>
      </c>
      <c r="C81" s="5">
        <v>0</v>
      </c>
      <c r="D81" s="5">
        <v>6</v>
      </c>
      <c r="E81" s="4" t="str">
        <f t="shared" si="3"/>
        <v>REORDER NOW</v>
      </c>
      <c r="F81" s="4"/>
      <c r="G81" s="4"/>
      <c r="H81" s="5">
        <f t="shared" si="4"/>
        <v>3</v>
      </c>
      <c r="I81" s="5">
        <f t="shared" si="5"/>
        <v>0</v>
      </c>
    </row>
    <row r="82" spans="1:9" ht="18" customHeight="1" x14ac:dyDescent="0.25">
      <c r="A82" s="2" t="s">
        <v>159</v>
      </c>
      <c r="B82" s="2" t="s">
        <v>160</v>
      </c>
      <c r="C82" s="3">
        <v>0</v>
      </c>
      <c r="D82" s="3">
        <v>6</v>
      </c>
      <c r="E82" s="2" t="str">
        <f t="shared" si="3"/>
        <v>REORDER NOW</v>
      </c>
      <c r="F82" s="2"/>
      <c r="G82" s="2"/>
      <c r="H82" s="3">
        <f t="shared" si="4"/>
        <v>3</v>
      </c>
      <c r="I82" s="3">
        <f t="shared" si="5"/>
        <v>0</v>
      </c>
    </row>
    <row r="83" spans="1:9" ht="18" customHeight="1" x14ac:dyDescent="0.25">
      <c r="A83" s="4" t="s">
        <v>161</v>
      </c>
      <c r="B83" s="4" t="s">
        <v>162</v>
      </c>
      <c r="C83" s="5">
        <v>4</v>
      </c>
      <c r="D83" s="5">
        <v>6</v>
      </c>
      <c r="E83" s="4" t="str">
        <f t="shared" si="3"/>
        <v>REORDER NOW</v>
      </c>
      <c r="F83" s="4"/>
      <c r="G83" s="4"/>
      <c r="H83" s="5">
        <f t="shared" si="4"/>
        <v>3</v>
      </c>
      <c r="I83" s="5">
        <f t="shared" si="5"/>
        <v>1.3</v>
      </c>
    </row>
    <row r="84" spans="1:9" ht="18" customHeight="1" x14ac:dyDescent="0.25">
      <c r="A84" s="2" t="s">
        <v>163</v>
      </c>
      <c r="B84" s="2" t="s">
        <v>164</v>
      </c>
      <c r="C84" s="3">
        <v>0</v>
      </c>
      <c r="D84" s="3">
        <v>6</v>
      </c>
      <c r="E84" s="2" t="str">
        <f t="shared" si="3"/>
        <v>REORDER NOW</v>
      </c>
      <c r="F84" s="2"/>
      <c r="G84" s="2"/>
      <c r="H84" s="3">
        <f t="shared" si="4"/>
        <v>3</v>
      </c>
      <c r="I84" s="3">
        <f t="shared" si="5"/>
        <v>0</v>
      </c>
    </row>
    <row r="85" spans="1:9" ht="18" customHeight="1" x14ac:dyDescent="0.25">
      <c r="A85" s="4" t="s">
        <v>165</v>
      </c>
      <c r="B85" s="4" t="s">
        <v>166</v>
      </c>
      <c r="C85" s="5">
        <v>0</v>
      </c>
      <c r="D85" s="5">
        <v>6</v>
      </c>
      <c r="E85" s="4" t="str">
        <f t="shared" si="3"/>
        <v>REORDER NOW</v>
      </c>
      <c r="F85" s="4"/>
      <c r="G85" s="4"/>
      <c r="H85" s="5">
        <f t="shared" si="4"/>
        <v>3</v>
      </c>
      <c r="I85" s="5">
        <f t="shared" si="5"/>
        <v>0</v>
      </c>
    </row>
    <row r="86" spans="1:9" ht="18" customHeight="1" x14ac:dyDescent="0.25">
      <c r="A86" s="2" t="s">
        <v>167</v>
      </c>
      <c r="B86" s="2" t="s">
        <v>168</v>
      </c>
      <c r="C86" s="3">
        <v>0</v>
      </c>
      <c r="D86" s="3">
        <v>6</v>
      </c>
      <c r="E86" s="2" t="str">
        <f t="shared" si="3"/>
        <v>REORDER NOW</v>
      </c>
      <c r="F86" s="2"/>
      <c r="G86" s="2"/>
      <c r="H86" s="3">
        <f t="shared" si="4"/>
        <v>3</v>
      </c>
      <c r="I86" s="3">
        <f t="shared" si="5"/>
        <v>0</v>
      </c>
    </row>
    <row r="87" spans="1:9" ht="18" customHeight="1" x14ac:dyDescent="0.25">
      <c r="A87" s="4" t="s">
        <v>169</v>
      </c>
      <c r="B87" s="4" t="s">
        <v>170</v>
      </c>
      <c r="C87" s="5">
        <v>10</v>
      </c>
      <c r="D87" s="5">
        <v>10</v>
      </c>
      <c r="E87" s="4" t="str">
        <f t="shared" si="3"/>
        <v>REORDER NOW</v>
      </c>
      <c r="F87" s="4"/>
      <c r="G87" s="4"/>
      <c r="H87" s="5">
        <f t="shared" si="4"/>
        <v>5</v>
      </c>
      <c r="I87" s="5">
        <f t="shared" si="5"/>
        <v>2</v>
      </c>
    </row>
    <row r="88" spans="1:9" ht="18" customHeight="1" x14ac:dyDescent="0.25">
      <c r="A88" s="2" t="s">
        <v>171</v>
      </c>
      <c r="B88" s="2" t="s">
        <v>150</v>
      </c>
      <c r="C88" s="3">
        <v>0</v>
      </c>
      <c r="D88" s="3">
        <v>6</v>
      </c>
      <c r="E88" s="2" t="str">
        <f t="shared" si="3"/>
        <v>REORDER NOW</v>
      </c>
      <c r="F88" s="2"/>
      <c r="G88" s="2"/>
      <c r="H88" s="3">
        <f t="shared" si="4"/>
        <v>3</v>
      </c>
      <c r="I88" s="3">
        <f t="shared" si="5"/>
        <v>0</v>
      </c>
    </row>
    <row r="89" spans="1:9" ht="18" customHeight="1" x14ac:dyDescent="0.25">
      <c r="A89" s="4" t="s">
        <v>172</v>
      </c>
      <c r="B89" s="4" t="s">
        <v>173</v>
      </c>
      <c r="C89" s="5">
        <v>0</v>
      </c>
      <c r="D89" s="5">
        <v>6</v>
      </c>
      <c r="E89" s="4" t="str">
        <f t="shared" si="3"/>
        <v>REORDER NOW</v>
      </c>
      <c r="F89" s="4"/>
      <c r="G89" s="4"/>
      <c r="H89" s="5">
        <f t="shared" si="4"/>
        <v>3</v>
      </c>
      <c r="I89" s="5">
        <f t="shared" si="5"/>
        <v>0</v>
      </c>
    </row>
    <row r="90" spans="1:9" ht="18" customHeight="1" x14ac:dyDescent="0.25">
      <c r="A90" s="2" t="s">
        <v>174</v>
      </c>
      <c r="B90" s="2" t="s">
        <v>175</v>
      </c>
      <c r="C90" s="3">
        <v>0</v>
      </c>
      <c r="D90" s="3">
        <v>6</v>
      </c>
      <c r="E90" s="2" t="str">
        <f t="shared" si="3"/>
        <v>REORDER NOW</v>
      </c>
      <c r="F90" s="2"/>
      <c r="G90" s="2"/>
      <c r="H90" s="3">
        <f t="shared" si="4"/>
        <v>3</v>
      </c>
      <c r="I90" s="3">
        <f t="shared" si="5"/>
        <v>0</v>
      </c>
    </row>
    <row r="91" spans="1:9" ht="18" customHeight="1" x14ac:dyDescent="0.25">
      <c r="A91" s="4" t="s">
        <v>176</v>
      </c>
      <c r="B91" s="4" t="s">
        <v>177</v>
      </c>
      <c r="C91" s="5">
        <v>0</v>
      </c>
      <c r="D91" s="5">
        <v>6</v>
      </c>
      <c r="E91" s="4" t="str">
        <f t="shared" si="3"/>
        <v>REORDER NOW</v>
      </c>
      <c r="F91" s="4"/>
      <c r="G91" s="4"/>
      <c r="H91" s="5">
        <f t="shared" si="4"/>
        <v>3</v>
      </c>
      <c r="I91" s="5">
        <f t="shared" si="5"/>
        <v>0</v>
      </c>
    </row>
    <row r="92" spans="1:9" ht="18" customHeight="1" x14ac:dyDescent="0.25">
      <c r="A92" s="2" t="s">
        <v>178</v>
      </c>
      <c r="B92" s="2" t="s">
        <v>179</v>
      </c>
      <c r="C92" s="3">
        <v>0</v>
      </c>
      <c r="D92" s="3">
        <v>6</v>
      </c>
      <c r="E92" s="2" t="str">
        <f t="shared" si="3"/>
        <v>REORDER NOW</v>
      </c>
      <c r="F92" s="2"/>
      <c r="G92" s="2"/>
      <c r="H92" s="3">
        <f t="shared" si="4"/>
        <v>3</v>
      </c>
      <c r="I92" s="3">
        <f t="shared" si="5"/>
        <v>0</v>
      </c>
    </row>
    <row r="93" spans="1:9" ht="18" customHeight="1" x14ac:dyDescent="0.25">
      <c r="A93" s="4" t="s">
        <v>180</v>
      </c>
      <c r="B93" s="4" t="s">
        <v>181</v>
      </c>
      <c r="C93" s="5">
        <v>0</v>
      </c>
      <c r="D93" s="5">
        <v>6</v>
      </c>
      <c r="E93" s="4" t="str">
        <f t="shared" si="3"/>
        <v>REORDER NOW</v>
      </c>
      <c r="F93" s="4"/>
      <c r="G93" s="4"/>
      <c r="H93" s="5">
        <f t="shared" si="4"/>
        <v>3</v>
      </c>
      <c r="I93" s="5">
        <f t="shared" si="5"/>
        <v>0</v>
      </c>
    </row>
    <row r="94" spans="1:9" ht="18" customHeight="1" x14ac:dyDescent="0.25">
      <c r="A94" s="2" t="s">
        <v>182</v>
      </c>
      <c r="B94" s="2" t="s">
        <v>183</v>
      </c>
      <c r="C94" s="3">
        <v>2</v>
      </c>
      <c r="D94" s="3">
        <v>6</v>
      </c>
      <c r="E94" s="2" t="str">
        <f t="shared" si="3"/>
        <v>REORDER NOW</v>
      </c>
      <c r="F94" s="2"/>
      <c r="G94" s="2"/>
      <c r="H94" s="3">
        <f t="shared" si="4"/>
        <v>3</v>
      </c>
      <c r="I94" s="3">
        <f t="shared" si="5"/>
        <v>0.7</v>
      </c>
    </row>
    <row r="95" spans="1:9" ht="18" customHeight="1" x14ac:dyDescent="0.25">
      <c r="A95" s="4" t="s">
        <v>184</v>
      </c>
      <c r="B95" s="4" t="s">
        <v>185</v>
      </c>
      <c r="C95" s="5">
        <v>0</v>
      </c>
      <c r="D95" s="5">
        <v>6</v>
      </c>
      <c r="E95" s="4" t="str">
        <f t="shared" si="3"/>
        <v>REORDER NOW</v>
      </c>
      <c r="F95" s="4"/>
      <c r="G95" s="4"/>
      <c r="H95" s="5">
        <f t="shared" si="4"/>
        <v>3</v>
      </c>
      <c r="I95" s="5">
        <f t="shared" si="5"/>
        <v>0</v>
      </c>
    </row>
    <row r="96" spans="1:9" ht="18" customHeight="1" x14ac:dyDescent="0.25">
      <c r="A96" s="2" t="s">
        <v>186</v>
      </c>
      <c r="B96" s="2" t="s">
        <v>187</v>
      </c>
      <c r="C96" s="3">
        <v>31</v>
      </c>
      <c r="D96" s="3">
        <v>20</v>
      </c>
      <c r="E96" s="2" t="str">
        <f t="shared" si="3"/>
        <v>OK</v>
      </c>
      <c r="F96" s="2"/>
      <c r="G96" s="2"/>
      <c r="H96" s="3">
        <f t="shared" si="4"/>
        <v>10</v>
      </c>
      <c r="I96" s="3">
        <f t="shared" si="5"/>
        <v>3.1</v>
      </c>
    </row>
    <row r="97" spans="1:9" ht="18" customHeight="1" x14ac:dyDescent="0.25">
      <c r="A97" s="4" t="s">
        <v>188</v>
      </c>
      <c r="B97" s="4" t="s">
        <v>189</v>
      </c>
      <c r="C97" s="5">
        <v>207</v>
      </c>
      <c r="D97" s="5">
        <v>100</v>
      </c>
      <c r="E97" s="4" t="str">
        <f t="shared" si="3"/>
        <v>OK</v>
      </c>
      <c r="F97" s="4"/>
      <c r="G97" s="4"/>
      <c r="H97" s="5">
        <f t="shared" si="4"/>
        <v>50</v>
      </c>
      <c r="I97" s="5">
        <f t="shared" si="5"/>
        <v>4.0999999999999996</v>
      </c>
    </row>
    <row r="98" spans="1:9" ht="18" customHeight="1" x14ac:dyDescent="0.25">
      <c r="A98" s="2" t="s">
        <v>190</v>
      </c>
      <c r="B98" s="2" t="s">
        <v>191</v>
      </c>
      <c r="C98" s="3">
        <v>325</v>
      </c>
      <c r="D98" s="3">
        <v>100</v>
      </c>
      <c r="E98" s="2" t="str">
        <f t="shared" si="3"/>
        <v>OK</v>
      </c>
      <c r="F98" s="2"/>
      <c r="G98" s="2"/>
      <c r="H98" s="3">
        <f t="shared" si="4"/>
        <v>50</v>
      </c>
      <c r="I98" s="3">
        <f t="shared" si="5"/>
        <v>6.5</v>
      </c>
    </row>
    <row r="99" spans="1:9" ht="18" customHeight="1" x14ac:dyDescent="0.25">
      <c r="A99" s="4" t="s">
        <v>192</v>
      </c>
      <c r="B99" s="4" t="s">
        <v>193</v>
      </c>
      <c r="C99" s="5">
        <v>2</v>
      </c>
      <c r="D99" s="5">
        <v>6</v>
      </c>
      <c r="E99" s="4" t="str">
        <f t="shared" si="3"/>
        <v>REORDER NOW</v>
      </c>
      <c r="F99" s="4"/>
      <c r="G99" s="4"/>
      <c r="H99" s="5">
        <f t="shared" si="4"/>
        <v>3</v>
      </c>
      <c r="I99" s="5">
        <f t="shared" si="5"/>
        <v>0.7</v>
      </c>
    </row>
    <row r="100" spans="1:9" ht="18" customHeight="1" x14ac:dyDescent="0.25">
      <c r="A100" s="2" t="s">
        <v>194</v>
      </c>
      <c r="B100" s="2" t="s">
        <v>195</v>
      </c>
      <c r="C100" s="3">
        <v>0</v>
      </c>
      <c r="D100" s="3">
        <v>6</v>
      </c>
      <c r="E100" s="2" t="str">
        <f t="shared" si="3"/>
        <v>REORDER NOW</v>
      </c>
      <c r="F100" s="2"/>
      <c r="G100" s="2"/>
      <c r="H100" s="3">
        <f t="shared" si="4"/>
        <v>3</v>
      </c>
      <c r="I100" s="3">
        <f t="shared" si="5"/>
        <v>0</v>
      </c>
    </row>
    <row r="101" spans="1:9" ht="18" customHeight="1" x14ac:dyDescent="0.25">
      <c r="A101" s="4" t="s">
        <v>196</v>
      </c>
      <c r="B101" s="4" t="s">
        <v>197</v>
      </c>
      <c r="C101" s="5">
        <v>0</v>
      </c>
      <c r="D101" s="5">
        <v>6</v>
      </c>
      <c r="E101" s="4" t="str">
        <f t="shared" si="3"/>
        <v>REORDER NOW</v>
      </c>
      <c r="F101" s="4"/>
      <c r="G101" s="4"/>
      <c r="H101" s="5">
        <f t="shared" si="4"/>
        <v>3</v>
      </c>
      <c r="I101" s="5">
        <f t="shared" si="5"/>
        <v>0</v>
      </c>
    </row>
    <row r="102" spans="1:9" ht="18" customHeight="1" x14ac:dyDescent="0.25">
      <c r="A102" s="2" t="s">
        <v>198</v>
      </c>
      <c r="B102" s="2" t="s">
        <v>199</v>
      </c>
      <c r="C102" s="3">
        <v>0</v>
      </c>
      <c r="D102" s="3">
        <v>6</v>
      </c>
      <c r="E102" s="2" t="str">
        <f t="shared" si="3"/>
        <v>REORDER NOW</v>
      </c>
      <c r="F102" s="2"/>
      <c r="G102" s="2"/>
      <c r="H102" s="3">
        <f t="shared" si="4"/>
        <v>3</v>
      </c>
      <c r="I102" s="3">
        <f t="shared" si="5"/>
        <v>0</v>
      </c>
    </row>
    <row r="103" spans="1:9" ht="18" customHeight="1" x14ac:dyDescent="0.25">
      <c r="A103" s="4" t="s">
        <v>200</v>
      </c>
      <c r="B103" s="4" t="s">
        <v>201</v>
      </c>
      <c r="C103" s="5">
        <v>0</v>
      </c>
      <c r="D103" s="5">
        <v>6</v>
      </c>
      <c r="E103" s="4" t="str">
        <f t="shared" si="3"/>
        <v>REORDER NOW</v>
      </c>
      <c r="F103" s="4"/>
      <c r="G103" s="4"/>
      <c r="H103" s="5">
        <f t="shared" si="4"/>
        <v>3</v>
      </c>
      <c r="I103" s="5">
        <f t="shared" si="5"/>
        <v>0</v>
      </c>
    </row>
    <row r="104" spans="1:9" ht="18" customHeight="1" x14ac:dyDescent="0.25">
      <c r="A104" s="2" t="s">
        <v>202</v>
      </c>
      <c r="B104" s="2" t="s">
        <v>203</v>
      </c>
      <c r="C104" s="3">
        <v>0</v>
      </c>
      <c r="D104" s="3">
        <v>6</v>
      </c>
      <c r="E104" s="2" t="str">
        <f t="shared" si="3"/>
        <v>REORDER NOW</v>
      </c>
      <c r="F104" s="2"/>
      <c r="G104" s="2"/>
      <c r="H104" s="3">
        <f t="shared" si="4"/>
        <v>3</v>
      </c>
      <c r="I104" s="3">
        <f t="shared" si="5"/>
        <v>0</v>
      </c>
    </row>
    <row r="105" spans="1:9" ht="18" customHeight="1" x14ac:dyDescent="0.25">
      <c r="A105" s="4" t="s">
        <v>204</v>
      </c>
      <c r="B105" s="4" t="s">
        <v>205</v>
      </c>
      <c r="C105" s="5">
        <v>0</v>
      </c>
      <c r="D105" s="5">
        <v>6</v>
      </c>
      <c r="E105" s="4" t="str">
        <f t="shared" si="3"/>
        <v>REORDER NOW</v>
      </c>
      <c r="F105" s="4"/>
      <c r="G105" s="4"/>
      <c r="H105" s="5">
        <f t="shared" si="4"/>
        <v>3</v>
      </c>
      <c r="I105" s="5">
        <f t="shared" si="5"/>
        <v>0</v>
      </c>
    </row>
    <row r="106" spans="1:9" ht="18" customHeight="1" x14ac:dyDescent="0.25">
      <c r="A106" s="2" t="s">
        <v>206</v>
      </c>
      <c r="B106" s="2" t="s">
        <v>207</v>
      </c>
      <c r="C106" s="3">
        <v>18</v>
      </c>
      <c r="D106" s="3">
        <v>10</v>
      </c>
      <c r="E106" s="2" t="str">
        <f t="shared" si="3"/>
        <v>OK</v>
      </c>
      <c r="F106" s="2"/>
      <c r="G106" s="2"/>
      <c r="H106" s="3">
        <f t="shared" si="4"/>
        <v>5</v>
      </c>
      <c r="I106" s="3">
        <f t="shared" si="5"/>
        <v>3.6</v>
      </c>
    </row>
    <row r="107" spans="1:9" ht="18" customHeight="1" x14ac:dyDescent="0.25">
      <c r="A107" s="4" t="s">
        <v>208</v>
      </c>
      <c r="B107" s="4" t="s">
        <v>209</v>
      </c>
      <c r="C107" s="5">
        <v>8</v>
      </c>
      <c r="D107" s="5">
        <v>10</v>
      </c>
      <c r="E107" s="4" t="str">
        <f t="shared" si="3"/>
        <v>REORDER NOW</v>
      </c>
      <c r="F107" s="4"/>
      <c r="G107" s="4"/>
      <c r="H107" s="5">
        <f t="shared" si="4"/>
        <v>5</v>
      </c>
      <c r="I107" s="5">
        <f t="shared" si="5"/>
        <v>1.6</v>
      </c>
    </row>
    <row r="108" spans="1:9" ht="18" customHeight="1" x14ac:dyDescent="0.25">
      <c r="A108" s="2" t="s">
        <v>210</v>
      </c>
      <c r="B108" s="2" t="s">
        <v>211</v>
      </c>
      <c r="C108" s="3">
        <v>0</v>
      </c>
      <c r="D108" s="3">
        <v>6</v>
      </c>
      <c r="E108" s="2" t="str">
        <f t="shared" si="3"/>
        <v>REORDER NOW</v>
      </c>
      <c r="F108" s="2"/>
      <c r="G108" s="2"/>
      <c r="H108" s="3">
        <f t="shared" si="4"/>
        <v>3</v>
      </c>
      <c r="I108" s="3">
        <f t="shared" si="5"/>
        <v>0</v>
      </c>
    </row>
    <row r="109" spans="1:9" ht="18" customHeight="1" x14ac:dyDescent="0.25">
      <c r="A109" s="4" t="s">
        <v>212</v>
      </c>
      <c r="B109" s="4" t="s">
        <v>213</v>
      </c>
      <c r="C109" s="5">
        <v>11</v>
      </c>
      <c r="D109" s="5">
        <v>10</v>
      </c>
      <c r="E109" s="4" t="str">
        <f t="shared" si="3"/>
        <v>OK</v>
      </c>
      <c r="F109" s="4"/>
      <c r="G109" s="4"/>
      <c r="H109" s="5">
        <f t="shared" si="4"/>
        <v>5</v>
      </c>
      <c r="I109" s="5">
        <f t="shared" si="5"/>
        <v>2.2000000000000002</v>
      </c>
    </row>
    <row r="110" spans="1:9" ht="18" customHeight="1" x14ac:dyDescent="0.25">
      <c r="A110" s="2" t="s">
        <v>214</v>
      </c>
      <c r="B110" s="2" t="s">
        <v>215</v>
      </c>
      <c r="C110" s="3">
        <v>0</v>
      </c>
      <c r="D110" s="3">
        <v>6</v>
      </c>
      <c r="E110" s="2" t="str">
        <f t="shared" si="3"/>
        <v>REORDER NOW</v>
      </c>
      <c r="F110" s="2"/>
      <c r="G110" s="2"/>
      <c r="H110" s="3">
        <f t="shared" si="4"/>
        <v>3</v>
      </c>
      <c r="I110" s="3">
        <f t="shared" si="5"/>
        <v>0</v>
      </c>
    </row>
    <row r="111" spans="1:9" ht="18" customHeight="1" x14ac:dyDescent="0.25">
      <c r="A111" s="4" t="s">
        <v>216</v>
      </c>
      <c r="B111" s="4" t="s">
        <v>217</v>
      </c>
      <c r="C111" s="5">
        <v>0</v>
      </c>
      <c r="D111" s="5">
        <v>6</v>
      </c>
      <c r="E111" s="4" t="str">
        <f t="shared" si="3"/>
        <v>REORDER NOW</v>
      </c>
      <c r="F111" s="4"/>
      <c r="G111" s="4"/>
      <c r="H111" s="5">
        <f t="shared" si="4"/>
        <v>3</v>
      </c>
      <c r="I111" s="5">
        <f t="shared" si="5"/>
        <v>0</v>
      </c>
    </row>
    <row r="112" spans="1:9" ht="18" customHeight="1" x14ac:dyDescent="0.25">
      <c r="A112" s="2" t="s">
        <v>218</v>
      </c>
      <c r="B112" s="2" t="s">
        <v>219</v>
      </c>
      <c r="C112" s="3">
        <v>0</v>
      </c>
      <c r="D112" s="3">
        <v>6</v>
      </c>
      <c r="E112" s="2" t="str">
        <f t="shared" si="3"/>
        <v>REORDER NOW</v>
      </c>
      <c r="F112" s="2"/>
      <c r="G112" s="2"/>
      <c r="H112" s="3">
        <f t="shared" si="4"/>
        <v>3</v>
      </c>
      <c r="I112" s="3">
        <f t="shared" si="5"/>
        <v>0</v>
      </c>
    </row>
    <row r="113" spans="1:9" ht="18" customHeight="1" x14ac:dyDescent="0.25">
      <c r="A113" s="4" t="s">
        <v>220</v>
      </c>
      <c r="B113" s="4" t="s">
        <v>221</v>
      </c>
      <c r="C113" s="5">
        <v>4</v>
      </c>
      <c r="D113" s="5">
        <v>6</v>
      </c>
      <c r="E113" s="4" t="str">
        <f t="shared" si="3"/>
        <v>REORDER NOW</v>
      </c>
      <c r="F113" s="4"/>
      <c r="G113" s="4"/>
      <c r="H113" s="5">
        <f t="shared" si="4"/>
        <v>3</v>
      </c>
      <c r="I113" s="5">
        <f t="shared" si="5"/>
        <v>1.3</v>
      </c>
    </row>
    <row r="114" spans="1:9" ht="18" customHeight="1" x14ac:dyDescent="0.25">
      <c r="A114" s="2" t="s">
        <v>222</v>
      </c>
      <c r="B114" s="2" t="s">
        <v>223</v>
      </c>
      <c r="C114" s="3">
        <v>4</v>
      </c>
      <c r="D114" s="3">
        <v>6</v>
      </c>
      <c r="E114" s="2" t="str">
        <f t="shared" si="3"/>
        <v>REORDER NOW</v>
      </c>
      <c r="F114" s="2"/>
      <c r="G114" s="2"/>
      <c r="H114" s="3">
        <f t="shared" si="4"/>
        <v>3</v>
      </c>
      <c r="I114" s="3">
        <f t="shared" si="5"/>
        <v>1.3</v>
      </c>
    </row>
    <row r="115" spans="1:9" ht="18" customHeight="1" x14ac:dyDescent="0.25">
      <c r="A115" s="4" t="s">
        <v>224</v>
      </c>
      <c r="B115" s="4" t="s">
        <v>225</v>
      </c>
      <c r="C115" s="5">
        <v>0</v>
      </c>
      <c r="D115" s="5">
        <v>6</v>
      </c>
      <c r="E115" s="4" t="str">
        <f t="shared" si="3"/>
        <v>REORDER NOW</v>
      </c>
      <c r="F115" s="4"/>
      <c r="G115" s="4"/>
      <c r="H115" s="5">
        <f t="shared" si="4"/>
        <v>3</v>
      </c>
      <c r="I115" s="5">
        <f t="shared" si="5"/>
        <v>0</v>
      </c>
    </row>
    <row r="116" spans="1:9" ht="18" customHeight="1" x14ac:dyDescent="0.25">
      <c r="A116" s="2" t="s">
        <v>226</v>
      </c>
      <c r="B116" s="2" t="s">
        <v>227</v>
      </c>
      <c r="C116" s="3">
        <v>1</v>
      </c>
      <c r="D116" s="3">
        <v>6</v>
      </c>
      <c r="E116" s="2" t="str">
        <f t="shared" si="3"/>
        <v>REORDER NOW</v>
      </c>
      <c r="F116" s="2"/>
      <c r="G116" s="2"/>
      <c r="H116" s="3">
        <f t="shared" si="4"/>
        <v>3</v>
      </c>
      <c r="I116" s="3">
        <f t="shared" si="5"/>
        <v>0.3</v>
      </c>
    </row>
    <row r="117" spans="1:9" ht="18" customHeight="1" x14ac:dyDescent="0.25">
      <c r="A117" s="4" t="s">
        <v>228</v>
      </c>
      <c r="B117" s="4" t="s">
        <v>229</v>
      </c>
      <c r="C117" s="5">
        <v>3</v>
      </c>
      <c r="D117" s="5">
        <v>6</v>
      </c>
      <c r="E117" s="4" t="str">
        <f t="shared" si="3"/>
        <v>REORDER NOW</v>
      </c>
      <c r="F117" s="4"/>
      <c r="G117" s="4"/>
      <c r="H117" s="5">
        <f t="shared" si="4"/>
        <v>3</v>
      </c>
      <c r="I117" s="5">
        <f t="shared" si="5"/>
        <v>1</v>
      </c>
    </row>
    <row r="118" spans="1:9" ht="18" customHeight="1" x14ac:dyDescent="0.25">
      <c r="A118" s="2" t="s">
        <v>230</v>
      </c>
      <c r="B118" s="2" t="s">
        <v>231</v>
      </c>
      <c r="C118" s="3">
        <v>2</v>
      </c>
      <c r="D118" s="3">
        <v>6</v>
      </c>
      <c r="E118" s="2" t="str">
        <f t="shared" si="3"/>
        <v>REORDER NOW</v>
      </c>
      <c r="F118" s="2"/>
      <c r="G118" s="2"/>
      <c r="H118" s="3">
        <f t="shared" si="4"/>
        <v>3</v>
      </c>
      <c r="I118" s="3">
        <f t="shared" si="5"/>
        <v>0.7</v>
      </c>
    </row>
    <row r="119" spans="1:9" ht="18" customHeight="1" x14ac:dyDescent="0.25">
      <c r="A119" s="4" t="s">
        <v>232</v>
      </c>
      <c r="B119" s="4" t="s">
        <v>233</v>
      </c>
      <c r="C119" s="5">
        <v>15</v>
      </c>
      <c r="D119" s="5">
        <v>10</v>
      </c>
      <c r="E119" s="4" t="str">
        <f t="shared" si="3"/>
        <v>OK</v>
      </c>
      <c r="F119" s="4"/>
      <c r="G119" s="4"/>
      <c r="H119" s="5">
        <f t="shared" si="4"/>
        <v>5</v>
      </c>
      <c r="I119" s="5">
        <f t="shared" si="5"/>
        <v>3</v>
      </c>
    </row>
    <row r="120" spans="1:9" ht="18" customHeight="1" x14ac:dyDescent="0.25">
      <c r="A120" s="2" t="s">
        <v>234</v>
      </c>
      <c r="B120" s="2" t="s">
        <v>235</v>
      </c>
      <c r="C120" s="3">
        <v>0</v>
      </c>
      <c r="D120" s="3">
        <v>6</v>
      </c>
      <c r="E120" s="2" t="str">
        <f t="shared" si="3"/>
        <v>REORDER NOW</v>
      </c>
      <c r="F120" s="2"/>
      <c r="G120" s="2"/>
      <c r="H120" s="3">
        <f t="shared" si="4"/>
        <v>3</v>
      </c>
      <c r="I120" s="3">
        <f t="shared" si="5"/>
        <v>0</v>
      </c>
    </row>
    <row r="121" spans="1:9" ht="18" customHeight="1" x14ac:dyDescent="0.25">
      <c r="A121" s="4" t="s">
        <v>236</v>
      </c>
      <c r="B121" s="4" t="s">
        <v>237</v>
      </c>
      <c r="C121" s="5">
        <v>2</v>
      </c>
      <c r="D121" s="5">
        <v>6</v>
      </c>
      <c r="E121" s="4" t="str">
        <f t="shared" si="3"/>
        <v>REORDER NOW</v>
      </c>
      <c r="F121" s="4"/>
      <c r="G121" s="4"/>
      <c r="H121" s="5">
        <f t="shared" si="4"/>
        <v>3</v>
      </c>
      <c r="I121" s="5">
        <f t="shared" si="5"/>
        <v>0.7</v>
      </c>
    </row>
    <row r="122" spans="1:9" ht="18" customHeight="1" x14ac:dyDescent="0.25">
      <c r="A122" s="2" t="s">
        <v>238</v>
      </c>
      <c r="B122" s="2" t="s">
        <v>239</v>
      </c>
      <c r="C122" s="3">
        <v>0</v>
      </c>
      <c r="D122" s="3">
        <v>6</v>
      </c>
      <c r="E122" s="2" t="str">
        <f t="shared" si="3"/>
        <v>REORDER NOW</v>
      </c>
      <c r="F122" s="2"/>
      <c r="G122" s="2"/>
      <c r="H122" s="3">
        <f t="shared" si="4"/>
        <v>3</v>
      </c>
      <c r="I122" s="3">
        <f t="shared" si="5"/>
        <v>0</v>
      </c>
    </row>
    <row r="123" spans="1:9" ht="18" customHeight="1" x14ac:dyDescent="0.25">
      <c r="A123" s="4" t="s">
        <v>240</v>
      </c>
      <c r="B123" s="4" t="s">
        <v>241</v>
      </c>
      <c r="C123" s="5">
        <v>0</v>
      </c>
      <c r="D123" s="5">
        <v>6</v>
      </c>
      <c r="E123" s="4" t="str">
        <f t="shared" si="3"/>
        <v>REORDER NOW</v>
      </c>
      <c r="F123" s="4"/>
      <c r="G123" s="4"/>
      <c r="H123" s="5">
        <f t="shared" si="4"/>
        <v>3</v>
      </c>
      <c r="I123" s="5">
        <f t="shared" si="5"/>
        <v>0</v>
      </c>
    </row>
    <row r="124" spans="1:9" ht="18" customHeight="1" x14ac:dyDescent="0.25">
      <c r="A124" s="2" t="s">
        <v>242</v>
      </c>
      <c r="B124" s="2" t="s">
        <v>243</v>
      </c>
      <c r="C124" s="3">
        <v>4</v>
      </c>
      <c r="D124" s="3">
        <v>6</v>
      </c>
      <c r="E124" s="2" t="str">
        <f t="shared" si="3"/>
        <v>REORDER NOW</v>
      </c>
      <c r="F124" s="2"/>
      <c r="G124" s="2"/>
      <c r="H124" s="3">
        <f t="shared" si="4"/>
        <v>3</v>
      </c>
      <c r="I124" s="3">
        <f t="shared" si="5"/>
        <v>1.3</v>
      </c>
    </row>
    <row r="125" spans="1:9" ht="18" customHeight="1" x14ac:dyDescent="0.25">
      <c r="A125" s="4" t="s">
        <v>244</v>
      </c>
      <c r="B125" s="4" t="s">
        <v>245</v>
      </c>
      <c r="C125" s="5">
        <v>8</v>
      </c>
      <c r="D125" s="5">
        <v>10</v>
      </c>
      <c r="E125" s="4" t="str">
        <f t="shared" si="3"/>
        <v>REORDER NOW</v>
      </c>
      <c r="F125" s="4"/>
      <c r="G125" s="4"/>
      <c r="H125" s="5">
        <f t="shared" si="4"/>
        <v>5</v>
      </c>
      <c r="I125" s="5">
        <f t="shared" si="5"/>
        <v>1.6</v>
      </c>
    </row>
    <row r="126" spans="1:9" ht="18" customHeight="1" x14ac:dyDescent="0.25">
      <c r="A126" s="2" t="s">
        <v>246</v>
      </c>
      <c r="B126" s="2" t="s">
        <v>247</v>
      </c>
      <c r="C126" s="3">
        <v>0</v>
      </c>
      <c r="D126" s="3">
        <v>6</v>
      </c>
      <c r="E126" s="2" t="str">
        <f t="shared" si="3"/>
        <v>REORDER NOW</v>
      </c>
      <c r="F126" s="2"/>
      <c r="G126" s="2"/>
      <c r="H126" s="3">
        <f t="shared" si="4"/>
        <v>3</v>
      </c>
      <c r="I126" s="3">
        <f t="shared" si="5"/>
        <v>0</v>
      </c>
    </row>
    <row r="127" spans="1:9" ht="18" customHeight="1" x14ac:dyDescent="0.25">
      <c r="A127" s="4" t="s">
        <v>248</v>
      </c>
      <c r="B127" s="4" t="s">
        <v>249</v>
      </c>
      <c r="C127" s="5">
        <v>0</v>
      </c>
      <c r="D127" s="5">
        <v>6</v>
      </c>
      <c r="E127" s="4" t="str">
        <f t="shared" si="3"/>
        <v>REORDER NOW</v>
      </c>
      <c r="F127" s="4"/>
      <c r="G127" s="4"/>
      <c r="H127" s="5">
        <f t="shared" si="4"/>
        <v>3</v>
      </c>
      <c r="I127" s="5">
        <f t="shared" si="5"/>
        <v>0</v>
      </c>
    </row>
    <row r="128" spans="1:9" ht="18" customHeight="1" x14ac:dyDescent="0.25">
      <c r="A128" s="2" t="s">
        <v>250</v>
      </c>
      <c r="B128" s="2" t="s">
        <v>251</v>
      </c>
      <c r="C128" s="3">
        <v>4</v>
      </c>
      <c r="D128" s="3">
        <v>6</v>
      </c>
      <c r="E128" s="2" t="str">
        <f t="shared" si="3"/>
        <v>REORDER NOW</v>
      </c>
      <c r="F128" s="2"/>
      <c r="G128" s="2"/>
      <c r="H128" s="3">
        <f t="shared" si="4"/>
        <v>3</v>
      </c>
      <c r="I128" s="3">
        <f t="shared" si="5"/>
        <v>1.3</v>
      </c>
    </row>
    <row r="129" spans="1:9" ht="18" customHeight="1" x14ac:dyDescent="0.25">
      <c r="A129" s="4" t="s">
        <v>252</v>
      </c>
      <c r="B129" s="4" t="s">
        <v>253</v>
      </c>
      <c r="C129" s="5">
        <v>5</v>
      </c>
      <c r="D129" s="5">
        <v>6</v>
      </c>
      <c r="E129" s="4" t="str">
        <f t="shared" si="3"/>
        <v>REORDER NOW</v>
      </c>
      <c r="F129" s="4"/>
      <c r="G129" s="4"/>
      <c r="H129" s="5">
        <f t="shared" si="4"/>
        <v>3</v>
      </c>
      <c r="I129" s="5">
        <f t="shared" si="5"/>
        <v>1.7</v>
      </c>
    </row>
    <row r="130" spans="1:9" ht="18" customHeight="1" x14ac:dyDescent="0.25">
      <c r="A130" s="2" t="s">
        <v>254</v>
      </c>
      <c r="B130" s="2" t="s">
        <v>255</v>
      </c>
      <c r="C130" s="3">
        <v>17</v>
      </c>
      <c r="D130" s="3">
        <v>10</v>
      </c>
      <c r="E130" s="2" t="str">
        <f t="shared" si="3"/>
        <v>OK</v>
      </c>
      <c r="F130" s="2"/>
      <c r="G130" s="2"/>
      <c r="H130" s="3">
        <f t="shared" si="4"/>
        <v>5</v>
      </c>
      <c r="I130" s="3">
        <f t="shared" si="5"/>
        <v>3.4</v>
      </c>
    </row>
    <row r="131" spans="1:9" ht="18" customHeight="1" x14ac:dyDescent="0.25">
      <c r="A131" s="4" t="s">
        <v>256</v>
      </c>
      <c r="B131" s="4" t="s">
        <v>257</v>
      </c>
      <c r="C131" s="5">
        <v>0</v>
      </c>
      <c r="D131" s="5">
        <v>6</v>
      </c>
      <c r="E131" s="4" t="str">
        <f t="shared" si="3"/>
        <v>REORDER NOW</v>
      </c>
      <c r="F131" s="4"/>
      <c r="G131" s="4"/>
      <c r="H131" s="5">
        <f t="shared" si="4"/>
        <v>3</v>
      </c>
      <c r="I131" s="5">
        <f t="shared" si="5"/>
        <v>0</v>
      </c>
    </row>
    <row r="132" spans="1:9" ht="18" customHeight="1" x14ac:dyDescent="0.25">
      <c r="A132" s="2" t="s">
        <v>258</v>
      </c>
      <c r="B132" s="2" t="s">
        <v>259</v>
      </c>
      <c r="C132" s="3">
        <v>0</v>
      </c>
      <c r="D132" s="3">
        <v>6</v>
      </c>
      <c r="E132" s="2" t="str">
        <f t="shared" ref="E132:E195" si="6">IF(C132&lt;=D132,"REORDER NOW","OK")</f>
        <v>REORDER NOW</v>
      </c>
      <c r="F132" s="2"/>
      <c r="G132" s="2"/>
      <c r="H132" s="3">
        <f t="shared" ref="H132:H195" si="7">D132/2</f>
        <v>3</v>
      </c>
      <c r="I132" s="3">
        <f t="shared" ref="I132:I195" si="8">IF(H132=0,"N/A",ROUND(C132/H132,1))</f>
        <v>0</v>
      </c>
    </row>
    <row r="133" spans="1:9" ht="18" customHeight="1" x14ac:dyDescent="0.25">
      <c r="A133" s="4" t="s">
        <v>260</v>
      </c>
      <c r="B133" s="4" t="s">
        <v>261</v>
      </c>
      <c r="C133" s="5">
        <v>0</v>
      </c>
      <c r="D133" s="5">
        <v>6</v>
      </c>
      <c r="E133" s="4" t="str">
        <f t="shared" si="6"/>
        <v>REORDER NOW</v>
      </c>
      <c r="F133" s="4"/>
      <c r="G133" s="4"/>
      <c r="H133" s="5">
        <f t="shared" si="7"/>
        <v>3</v>
      </c>
      <c r="I133" s="5">
        <f t="shared" si="8"/>
        <v>0</v>
      </c>
    </row>
    <row r="134" spans="1:9" ht="18" customHeight="1" x14ac:dyDescent="0.25">
      <c r="A134" s="2" t="s">
        <v>262</v>
      </c>
      <c r="B134" s="2" t="s">
        <v>263</v>
      </c>
      <c r="C134" s="3">
        <v>0</v>
      </c>
      <c r="D134" s="3">
        <v>6</v>
      </c>
      <c r="E134" s="2" t="str">
        <f t="shared" si="6"/>
        <v>REORDER NOW</v>
      </c>
      <c r="F134" s="2"/>
      <c r="G134" s="2"/>
      <c r="H134" s="3">
        <f t="shared" si="7"/>
        <v>3</v>
      </c>
      <c r="I134" s="3">
        <f t="shared" si="8"/>
        <v>0</v>
      </c>
    </row>
    <row r="135" spans="1:9" ht="18" customHeight="1" x14ac:dyDescent="0.25">
      <c r="A135" s="4" t="s">
        <v>264</v>
      </c>
      <c r="B135" s="4" t="s">
        <v>265</v>
      </c>
      <c r="C135" s="5">
        <v>0</v>
      </c>
      <c r="D135" s="5">
        <v>6</v>
      </c>
      <c r="E135" s="4" t="str">
        <f t="shared" si="6"/>
        <v>REORDER NOW</v>
      </c>
      <c r="F135" s="4"/>
      <c r="G135" s="4"/>
      <c r="H135" s="5">
        <f t="shared" si="7"/>
        <v>3</v>
      </c>
      <c r="I135" s="5">
        <f t="shared" si="8"/>
        <v>0</v>
      </c>
    </row>
    <row r="136" spans="1:9" ht="18" customHeight="1" x14ac:dyDescent="0.25">
      <c r="A136" s="2" t="s">
        <v>266</v>
      </c>
      <c r="B136" s="2" t="s">
        <v>267</v>
      </c>
      <c r="C136" s="3">
        <v>0</v>
      </c>
      <c r="D136" s="3">
        <v>6</v>
      </c>
      <c r="E136" s="2" t="str">
        <f t="shared" si="6"/>
        <v>REORDER NOW</v>
      </c>
      <c r="F136" s="2"/>
      <c r="G136" s="2"/>
      <c r="H136" s="3">
        <f t="shared" si="7"/>
        <v>3</v>
      </c>
      <c r="I136" s="3">
        <f t="shared" si="8"/>
        <v>0</v>
      </c>
    </row>
    <row r="137" spans="1:9" ht="18" customHeight="1" x14ac:dyDescent="0.25">
      <c r="A137" s="4" t="s">
        <v>268</v>
      </c>
      <c r="B137" s="4" t="s">
        <v>269</v>
      </c>
      <c r="C137" s="5">
        <v>0</v>
      </c>
      <c r="D137" s="5">
        <v>6</v>
      </c>
      <c r="E137" s="4" t="str">
        <f t="shared" si="6"/>
        <v>REORDER NOW</v>
      </c>
      <c r="F137" s="4"/>
      <c r="G137" s="4"/>
      <c r="H137" s="5">
        <f t="shared" si="7"/>
        <v>3</v>
      </c>
      <c r="I137" s="5">
        <f t="shared" si="8"/>
        <v>0</v>
      </c>
    </row>
    <row r="138" spans="1:9" ht="18" customHeight="1" x14ac:dyDescent="0.25">
      <c r="A138" s="2" t="s">
        <v>270</v>
      </c>
      <c r="B138" s="2" t="s">
        <v>271</v>
      </c>
      <c r="C138" s="3">
        <v>0</v>
      </c>
      <c r="D138" s="3">
        <v>6</v>
      </c>
      <c r="E138" s="2" t="str">
        <f t="shared" si="6"/>
        <v>REORDER NOW</v>
      </c>
      <c r="F138" s="2"/>
      <c r="G138" s="2"/>
      <c r="H138" s="3">
        <f t="shared" si="7"/>
        <v>3</v>
      </c>
      <c r="I138" s="3">
        <f t="shared" si="8"/>
        <v>0</v>
      </c>
    </row>
    <row r="139" spans="1:9" ht="18" customHeight="1" x14ac:dyDescent="0.25">
      <c r="A139" s="4" t="s">
        <v>272</v>
      </c>
      <c r="B139" s="4" t="s">
        <v>273</v>
      </c>
      <c r="C139" s="5">
        <v>0</v>
      </c>
      <c r="D139" s="5">
        <v>6</v>
      </c>
      <c r="E139" s="4" t="str">
        <f t="shared" si="6"/>
        <v>REORDER NOW</v>
      </c>
      <c r="F139" s="4"/>
      <c r="G139" s="4"/>
      <c r="H139" s="5">
        <f t="shared" si="7"/>
        <v>3</v>
      </c>
      <c r="I139" s="5">
        <f t="shared" si="8"/>
        <v>0</v>
      </c>
    </row>
    <row r="140" spans="1:9" ht="18" customHeight="1" x14ac:dyDescent="0.25">
      <c r="A140" s="2" t="s">
        <v>274</v>
      </c>
      <c r="B140" s="2" t="s">
        <v>275</v>
      </c>
      <c r="C140" s="3">
        <v>0</v>
      </c>
      <c r="D140" s="3">
        <v>6</v>
      </c>
      <c r="E140" s="2" t="str">
        <f t="shared" si="6"/>
        <v>REORDER NOW</v>
      </c>
      <c r="F140" s="2"/>
      <c r="G140" s="2"/>
      <c r="H140" s="3">
        <f t="shared" si="7"/>
        <v>3</v>
      </c>
      <c r="I140" s="3">
        <f t="shared" si="8"/>
        <v>0</v>
      </c>
    </row>
    <row r="141" spans="1:9" ht="18" customHeight="1" x14ac:dyDescent="0.25">
      <c r="A141" s="4" t="s">
        <v>276</v>
      </c>
      <c r="B141" s="4" t="s">
        <v>277</v>
      </c>
      <c r="C141" s="5">
        <v>0</v>
      </c>
      <c r="D141" s="5">
        <v>6</v>
      </c>
      <c r="E141" s="4" t="str">
        <f t="shared" si="6"/>
        <v>REORDER NOW</v>
      </c>
      <c r="F141" s="4"/>
      <c r="G141" s="4"/>
      <c r="H141" s="5">
        <f t="shared" si="7"/>
        <v>3</v>
      </c>
      <c r="I141" s="5">
        <f t="shared" si="8"/>
        <v>0</v>
      </c>
    </row>
    <row r="142" spans="1:9" ht="18" customHeight="1" x14ac:dyDescent="0.25">
      <c r="A142" s="2" t="s">
        <v>278</v>
      </c>
      <c r="B142" s="2" t="s">
        <v>279</v>
      </c>
      <c r="C142" s="3">
        <v>0</v>
      </c>
      <c r="D142" s="3">
        <v>6</v>
      </c>
      <c r="E142" s="2" t="str">
        <f t="shared" si="6"/>
        <v>REORDER NOW</v>
      </c>
      <c r="F142" s="2"/>
      <c r="G142" s="2"/>
      <c r="H142" s="3">
        <f t="shared" si="7"/>
        <v>3</v>
      </c>
      <c r="I142" s="3">
        <f t="shared" si="8"/>
        <v>0</v>
      </c>
    </row>
    <row r="143" spans="1:9" ht="18" customHeight="1" x14ac:dyDescent="0.25">
      <c r="A143" s="4" t="s">
        <v>280</v>
      </c>
      <c r="B143" s="4" t="s">
        <v>281</v>
      </c>
      <c r="C143" s="5">
        <v>0</v>
      </c>
      <c r="D143" s="5">
        <v>6</v>
      </c>
      <c r="E143" s="4" t="str">
        <f t="shared" si="6"/>
        <v>REORDER NOW</v>
      </c>
      <c r="F143" s="4"/>
      <c r="G143" s="4"/>
      <c r="H143" s="5">
        <f t="shared" si="7"/>
        <v>3</v>
      </c>
      <c r="I143" s="5">
        <f t="shared" si="8"/>
        <v>0</v>
      </c>
    </row>
    <row r="144" spans="1:9" ht="18" customHeight="1" x14ac:dyDescent="0.25">
      <c r="A144" s="2" t="s">
        <v>282</v>
      </c>
      <c r="B144" s="2" t="s">
        <v>283</v>
      </c>
      <c r="C144" s="3">
        <v>0</v>
      </c>
      <c r="D144" s="3">
        <v>6</v>
      </c>
      <c r="E144" s="2" t="str">
        <f t="shared" si="6"/>
        <v>REORDER NOW</v>
      </c>
      <c r="F144" s="2"/>
      <c r="G144" s="2"/>
      <c r="H144" s="3">
        <f t="shared" si="7"/>
        <v>3</v>
      </c>
      <c r="I144" s="3">
        <f t="shared" si="8"/>
        <v>0</v>
      </c>
    </row>
    <row r="145" spans="1:9" ht="18" customHeight="1" x14ac:dyDescent="0.25">
      <c r="A145" s="4" t="s">
        <v>284</v>
      </c>
      <c r="B145" s="4" t="s">
        <v>285</v>
      </c>
      <c r="C145" s="5">
        <v>0</v>
      </c>
      <c r="D145" s="5">
        <v>6</v>
      </c>
      <c r="E145" s="4" t="str">
        <f t="shared" si="6"/>
        <v>REORDER NOW</v>
      </c>
      <c r="F145" s="4"/>
      <c r="G145" s="4"/>
      <c r="H145" s="5">
        <f t="shared" si="7"/>
        <v>3</v>
      </c>
      <c r="I145" s="5">
        <f t="shared" si="8"/>
        <v>0</v>
      </c>
    </row>
    <row r="146" spans="1:9" ht="18" customHeight="1" x14ac:dyDescent="0.25">
      <c r="A146" s="2" t="s">
        <v>286</v>
      </c>
      <c r="B146" s="2" t="s">
        <v>287</v>
      </c>
      <c r="C146" s="3">
        <v>0</v>
      </c>
      <c r="D146" s="3">
        <v>6</v>
      </c>
      <c r="E146" s="2" t="str">
        <f t="shared" si="6"/>
        <v>REORDER NOW</v>
      </c>
      <c r="F146" s="2"/>
      <c r="G146" s="2"/>
      <c r="H146" s="3">
        <f t="shared" si="7"/>
        <v>3</v>
      </c>
      <c r="I146" s="3">
        <f t="shared" si="8"/>
        <v>0</v>
      </c>
    </row>
    <row r="147" spans="1:9" ht="18" customHeight="1" x14ac:dyDescent="0.25">
      <c r="A147" s="4" t="s">
        <v>288</v>
      </c>
      <c r="B147" s="4" t="s">
        <v>289</v>
      </c>
      <c r="C147" s="5">
        <v>0</v>
      </c>
      <c r="D147" s="5">
        <v>6</v>
      </c>
      <c r="E147" s="4" t="str">
        <f t="shared" si="6"/>
        <v>REORDER NOW</v>
      </c>
      <c r="F147" s="4"/>
      <c r="G147" s="4"/>
      <c r="H147" s="5">
        <f t="shared" si="7"/>
        <v>3</v>
      </c>
      <c r="I147" s="5">
        <f t="shared" si="8"/>
        <v>0</v>
      </c>
    </row>
    <row r="148" spans="1:9" ht="18" customHeight="1" x14ac:dyDescent="0.25">
      <c r="A148" s="2" t="s">
        <v>290</v>
      </c>
      <c r="B148" s="2" t="s">
        <v>291</v>
      </c>
      <c r="C148" s="3">
        <v>0</v>
      </c>
      <c r="D148" s="3">
        <v>6</v>
      </c>
      <c r="E148" s="2" t="str">
        <f t="shared" si="6"/>
        <v>REORDER NOW</v>
      </c>
      <c r="F148" s="2"/>
      <c r="G148" s="2"/>
      <c r="H148" s="3">
        <f t="shared" si="7"/>
        <v>3</v>
      </c>
      <c r="I148" s="3">
        <f t="shared" si="8"/>
        <v>0</v>
      </c>
    </row>
    <row r="149" spans="1:9" ht="18" customHeight="1" x14ac:dyDescent="0.25">
      <c r="A149" s="4" t="s">
        <v>292</v>
      </c>
      <c r="B149" s="4" t="s">
        <v>293</v>
      </c>
      <c r="C149" s="5">
        <v>0</v>
      </c>
      <c r="D149" s="5">
        <v>6</v>
      </c>
      <c r="E149" s="4" t="str">
        <f t="shared" si="6"/>
        <v>REORDER NOW</v>
      </c>
      <c r="F149" s="4"/>
      <c r="G149" s="4"/>
      <c r="H149" s="5">
        <f t="shared" si="7"/>
        <v>3</v>
      </c>
      <c r="I149" s="5">
        <f t="shared" si="8"/>
        <v>0</v>
      </c>
    </row>
    <row r="150" spans="1:9" ht="18" customHeight="1" x14ac:dyDescent="0.25">
      <c r="A150" s="2" t="s">
        <v>294</v>
      </c>
      <c r="B150" s="2" t="s">
        <v>295</v>
      </c>
      <c r="C150" s="3">
        <v>0</v>
      </c>
      <c r="D150" s="3">
        <v>6</v>
      </c>
      <c r="E150" s="2" t="str">
        <f t="shared" si="6"/>
        <v>REORDER NOW</v>
      </c>
      <c r="F150" s="2"/>
      <c r="G150" s="2"/>
      <c r="H150" s="3">
        <f t="shared" si="7"/>
        <v>3</v>
      </c>
      <c r="I150" s="3">
        <f t="shared" si="8"/>
        <v>0</v>
      </c>
    </row>
    <row r="151" spans="1:9" ht="18" customHeight="1" x14ac:dyDescent="0.25">
      <c r="A151" s="4" t="s">
        <v>296</v>
      </c>
      <c r="B151" s="4" t="s">
        <v>297</v>
      </c>
      <c r="C151" s="5">
        <v>0</v>
      </c>
      <c r="D151" s="5">
        <v>6</v>
      </c>
      <c r="E151" s="4" t="str">
        <f t="shared" si="6"/>
        <v>REORDER NOW</v>
      </c>
      <c r="F151" s="4"/>
      <c r="G151" s="4"/>
      <c r="H151" s="5">
        <f t="shared" si="7"/>
        <v>3</v>
      </c>
      <c r="I151" s="5">
        <f t="shared" si="8"/>
        <v>0</v>
      </c>
    </row>
    <row r="152" spans="1:9" ht="18" customHeight="1" x14ac:dyDescent="0.25">
      <c r="A152" s="2" t="s">
        <v>298</v>
      </c>
      <c r="B152" s="2" t="s">
        <v>299</v>
      </c>
      <c r="C152" s="3">
        <v>0</v>
      </c>
      <c r="D152" s="3">
        <v>6</v>
      </c>
      <c r="E152" s="2" t="str">
        <f t="shared" si="6"/>
        <v>REORDER NOW</v>
      </c>
      <c r="F152" s="2"/>
      <c r="G152" s="2"/>
      <c r="H152" s="3">
        <f t="shared" si="7"/>
        <v>3</v>
      </c>
      <c r="I152" s="3">
        <f t="shared" si="8"/>
        <v>0</v>
      </c>
    </row>
    <row r="153" spans="1:9" ht="18" customHeight="1" x14ac:dyDescent="0.25">
      <c r="A153" s="4" t="s">
        <v>300</v>
      </c>
      <c r="B153" s="4" t="s">
        <v>301</v>
      </c>
      <c r="C153" s="5">
        <v>0</v>
      </c>
      <c r="D153" s="5">
        <v>6</v>
      </c>
      <c r="E153" s="4" t="str">
        <f t="shared" si="6"/>
        <v>REORDER NOW</v>
      </c>
      <c r="F153" s="4"/>
      <c r="G153" s="4"/>
      <c r="H153" s="5">
        <f t="shared" si="7"/>
        <v>3</v>
      </c>
      <c r="I153" s="5">
        <f t="shared" si="8"/>
        <v>0</v>
      </c>
    </row>
    <row r="154" spans="1:9" ht="18" customHeight="1" x14ac:dyDescent="0.25">
      <c r="A154" s="2" t="s">
        <v>302</v>
      </c>
      <c r="B154" s="2" t="s">
        <v>303</v>
      </c>
      <c r="C154" s="3">
        <v>0</v>
      </c>
      <c r="D154" s="3">
        <v>6</v>
      </c>
      <c r="E154" s="2" t="str">
        <f t="shared" si="6"/>
        <v>REORDER NOW</v>
      </c>
      <c r="F154" s="2"/>
      <c r="G154" s="2"/>
      <c r="H154" s="3">
        <f t="shared" si="7"/>
        <v>3</v>
      </c>
      <c r="I154" s="3">
        <f t="shared" si="8"/>
        <v>0</v>
      </c>
    </row>
    <row r="155" spans="1:9" ht="18" customHeight="1" x14ac:dyDescent="0.25">
      <c r="A155" s="4" t="s">
        <v>304</v>
      </c>
      <c r="B155" s="4" t="s">
        <v>305</v>
      </c>
      <c r="C155" s="5">
        <v>2</v>
      </c>
      <c r="D155" s="5">
        <v>6</v>
      </c>
      <c r="E155" s="4" t="str">
        <f t="shared" si="6"/>
        <v>REORDER NOW</v>
      </c>
      <c r="F155" s="4"/>
      <c r="G155" s="4"/>
      <c r="H155" s="5">
        <f t="shared" si="7"/>
        <v>3</v>
      </c>
      <c r="I155" s="5">
        <f t="shared" si="8"/>
        <v>0.7</v>
      </c>
    </row>
    <row r="156" spans="1:9" ht="18" customHeight="1" x14ac:dyDescent="0.25">
      <c r="A156" s="2" t="s">
        <v>306</v>
      </c>
      <c r="B156" s="2" t="s">
        <v>307</v>
      </c>
      <c r="C156" s="3">
        <v>0</v>
      </c>
      <c r="D156" s="3">
        <v>6</v>
      </c>
      <c r="E156" s="2" t="str">
        <f t="shared" si="6"/>
        <v>REORDER NOW</v>
      </c>
      <c r="F156" s="2"/>
      <c r="G156" s="2"/>
      <c r="H156" s="3">
        <f t="shared" si="7"/>
        <v>3</v>
      </c>
      <c r="I156" s="3">
        <f t="shared" si="8"/>
        <v>0</v>
      </c>
    </row>
    <row r="157" spans="1:9" ht="18" customHeight="1" x14ac:dyDescent="0.25">
      <c r="A157" s="4" t="s">
        <v>308</v>
      </c>
      <c r="B157" s="4" t="s">
        <v>309</v>
      </c>
      <c r="C157" s="5">
        <v>0</v>
      </c>
      <c r="D157" s="5">
        <v>6</v>
      </c>
      <c r="E157" s="4" t="str">
        <f t="shared" si="6"/>
        <v>REORDER NOW</v>
      </c>
      <c r="F157" s="4"/>
      <c r="G157" s="4"/>
      <c r="H157" s="5">
        <f t="shared" si="7"/>
        <v>3</v>
      </c>
      <c r="I157" s="5">
        <f t="shared" si="8"/>
        <v>0</v>
      </c>
    </row>
    <row r="158" spans="1:9" ht="18" customHeight="1" x14ac:dyDescent="0.25">
      <c r="A158" s="2" t="s">
        <v>310</v>
      </c>
      <c r="B158" s="2" t="s">
        <v>311</v>
      </c>
      <c r="C158" s="3">
        <v>0</v>
      </c>
      <c r="D158" s="3">
        <v>6</v>
      </c>
      <c r="E158" s="2" t="str">
        <f t="shared" si="6"/>
        <v>REORDER NOW</v>
      </c>
      <c r="F158" s="2"/>
      <c r="G158" s="2"/>
      <c r="H158" s="3">
        <f t="shared" si="7"/>
        <v>3</v>
      </c>
      <c r="I158" s="3">
        <f t="shared" si="8"/>
        <v>0</v>
      </c>
    </row>
    <row r="159" spans="1:9" ht="18" customHeight="1" x14ac:dyDescent="0.25">
      <c r="A159" s="4" t="s">
        <v>312</v>
      </c>
      <c r="B159" s="4" t="s">
        <v>313</v>
      </c>
      <c r="C159" s="5">
        <v>0</v>
      </c>
      <c r="D159" s="5">
        <v>6</v>
      </c>
      <c r="E159" s="4" t="str">
        <f t="shared" si="6"/>
        <v>REORDER NOW</v>
      </c>
      <c r="F159" s="4"/>
      <c r="G159" s="4"/>
      <c r="H159" s="5">
        <f t="shared" si="7"/>
        <v>3</v>
      </c>
      <c r="I159" s="5">
        <f t="shared" si="8"/>
        <v>0</v>
      </c>
    </row>
    <row r="160" spans="1:9" ht="18" customHeight="1" x14ac:dyDescent="0.25">
      <c r="A160" s="2" t="s">
        <v>314</v>
      </c>
      <c r="B160" s="2" t="s">
        <v>315</v>
      </c>
      <c r="C160" s="3">
        <v>0</v>
      </c>
      <c r="D160" s="3">
        <v>6</v>
      </c>
      <c r="E160" s="2" t="str">
        <f t="shared" si="6"/>
        <v>REORDER NOW</v>
      </c>
      <c r="F160" s="2"/>
      <c r="G160" s="2"/>
      <c r="H160" s="3">
        <f t="shared" si="7"/>
        <v>3</v>
      </c>
      <c r="I160" s="3">
        <f t="shared" si="8"/>
        <v>0</v>
      </c>
    </row>
    <row r="161" spans="1:9" ht="18" customHeight="1" x14ac:dyDescent="0.25">
      <c r="A161" s="4" t="s">
        <v>316</v>
      </c>
      <c r="B161" s="4" t="s">
        <v>317</v>
      </c>
      <c r="C161" s="5">
        <v>1</v>
      </c>
      <c r="D161" s="5">
        <v>6</v>
      </c>
      <c r="E161" s="4" t="str">
        <f t="shared" si="6"/>
        <v>REORDER NOW</v>
      </c>
      <c r="F161" s="4"/>
      <c r="G161" s="4"/>
      <c r="H161" s="5">
        <f t="shared" si="7"/>
        <v>3</v>
      </c>
      <c r="I161" s="5">
        <f t="shared" si="8"/>
        <v>0.3</v>
      </c>
    </row>
    <row r="162" spans="1:9" ht="18" customHeight="1" x14ac:dyDescent="0.25">
      <c r="A162" s="2" t="s">
        <v>318</v>
      </c>
      <c r="B162" s="2" t="s">
        <v>319</v>
      </c>
      <c r="C162" s="3">
        <v>0</v>
      </c>
      <c r="D162" s="3">
        <v>6</v>
      </c>
      <c r="E162" s="2" t="str">
        <f t="shared" si="6"/>
        <v>REORDER NOW</v>
      </c>
      <c r="F162" s="2"/>
      <c r="G162" s="2"/>
      <c r="H162" s="3">
        <f t="shared" si="7"/>
        <v>3</v>
      </c>
      <c r="I162" s="3">
        <f t="shared" si="8"/>
        <v>0</v>
      </c>
    </row>
    <row r="163" spans="1:9" ht="18" customHeight="1" x14ac:dyDescent="0.25">
      <c r="A163" s="4" t="s">
        <v>320</v>
      </c>
      <c r="B163" s="4" t="s">
        <v>321</v>
      </c>
      <c r="C163" s="5">
        <v>3</v>
      </c>
      <c r="D163" s="5">
        <v>6</v>
      </c>
      <c r="E163" s="4" t="str">
        <f t="shared" si="6"/>
        <v>REORDER NOW</v>
      </c>
      <c r="F163" s="4"/>
      <c r="G163" s="4"/>
      <c r="H163" s="5">
        <f t="shared" si="7"/>
        <v>3</v>
      </c>
      <c r="I163" s="5">
        <f t="shared" si="8"/>
        <v>1</v>
      </c>
    </row>
    <row r="164" spans="1:9" ht="18" customHeight="1" x14ac:dyDescent="0.25">
      <c r="A164" s="2" t="s">
        <v>322</v>
      </c>
      <c r="B164" s="2" t="s">
        <v>323</v>
      </c>
      <c r="C164" s="3">
        <v>4</v>
      </c>
      <c r="D164" s="3">
        <v>6</v>
      </c>
      <c r="E164" s="2" t="str">
        <f t="shared" si="6"/>
        <v>REORDER NOW</v>
      </c>
      <c r="F164" s="2"/>
      <c r="G164" s="2"/>
      <c r="H164" s="3">
        <f t="shared" si="7"/>
        <v>3</v>
      </c>
      <c r="I164" s="3">
        <f t="shared" si="8"/>
        <v>1.3</v>
      </c>
    </row>
    <row r="165" spans="1:9" ht="18" customHeight="1" x14ac:dyDescent="0.25">
      <c r="A165" s="4" t="s">
        <v>324</v>
      </c>
      <c r="B165" s="4" t="s">
        <v>325</v>
      </c>
      <c r="C165" s="5">
        <v>6</v>
      </c>
      <c r="D165" s="5">
        <v>10</v>
      </c>
      <c r="E165" s="4" t="str">
        <f t="shared" si="6"/>
        <v>REORDER NOW</v>
      </c>
      <c r="F165" s="4"/>
      <c r="G165" s="4"/>
      <c r="H165" s="5">
        <f t="shared" si="7"/>
        <v>5</v>
      </c>
      <c r="I165" s="5">
        <f t="shared" si="8"/>
        <v>1.2</v>
      </c>
    </row>
    <row r="166" spans="1:9" ht="18" customHeight="1" x14ac:dyDescent="0.25">
      <c r="A166" s="2" t="s">
        <v>326</v>
      </c>
      <c r="B166" s="2" t="s">
        <v>327</v>
      </c>
      <c r="C166" s="3">
        <v>3</v>
      </c>
      <c r="D166" s="3">
        <v>6</v>
      </c>
      <c r="E166" s="2" t="str">
        <f t="shared" si="6"/>
        <v>REORDER NOW</v>
      </c>
      <c r="F166" s="2"/>
      <c r="G166" s="2"/>
      <c r="H166" s="3">
        <f t="shared" si="7"/>
        <v>3</v>
      </c>
      <c r="I166" s="3">
        <f t="shared" si="8"/>
        <v>1</v>
      </c>
    </row>
    <row r="167" spans="1:9" ht="18" customHeight="1" x14ac:dyDescent="0.25">
      <c r="A167" s="4" t="s">
        <v>328</v>
      </c>
      <c r="B167" s="4" t="s">
        <v>329</v>
      </c>
      <c r="C167" s="5">
        <v>2</v>
      </c>
      <c r="D167" s="5">
        <v>6</v>
      </c>
      <c r="E167" s="4" t="str">
        <f t="shared" si="6"/>
        <v>REORDER NOW</v>
      </c>
      <c r="F167" s="4"/>
      <c r="G167" s="4"/>
      <c r="H167" s="5">
        <f t="shared" si="7"/>
        <v>3</v>
      </c>
      <c r="I167" s="5">
        <f t="shared" si="8"/>
        <v>0.7</v>
      </c>
    </row>
    <row r="168" spans="1:9" ht="18" customHeight="1" x14ac:dyDescent="0.25">
      <c r="A168" s="2" t="s">
        <v>330</v>
      </c>
      <c r="B168" s="2" t="s">
        <v>331</v>
      </c>
      <c r="C168" s="3">
        <v>17</v>
      </c>
      <c r="D168" s="3">
        <v>10</v>
      </c>
      <c r="E168" s="2" t="str">
        <f t="shared" si="6"/>
        <v>OK</v>
      </c>
      <c r="F168" s="2"/>
      <c r="G168" s="2"/>
      <c r="H168" s="3">
        <f t="shared" si="7"/>
        <v>5</v>
      </c>
      <c r="I168" s="3">
        <f t="shared" si="8"/>
        <v>3.4</v>
      </c>
    </row>
    <row r="169" spans="1:9" ht="18" customHeight="1" x14ac:dyDescent="0.25">
      <c r="A169" s="4" t="s">
        <v>332</v>
      </c>
      <c r="B169" s="4" t="s">
        <v>333</v>
      </c>
      <c r="C169" s="5">
        <v>7</v>
      </c>
      <c r="D169" s="5">
        <v>10</v>
      </c>
      <c r="E169" s="4" t="str">
        <f t="shared" si="6"/>
        <v>REORDER NOW</v>
      </c>
      <c r="F169" s="4"/>
      <c r="G169" s="4"/>
      <c r="H169" s="5">
        <f t="shared" si="7"/>
        <v>5</v>
      </c>
      <c r="I169" s="5">
        <f t="shared" si="8"/>
        <v>1.4</v>
      </c>
    </row>
    <row r="170" spans="1:9" ht="18" customHeight="1" x14ac:dyDescent="0.25">
      <c r="A170" s="2" t="s">
        <v>334</v>
      </c>
      <c r="B170" s="2" t="s">
        <v>335</v>
      </c>
      <c r="C170" s="3">
        <v>3</v>
      </c>
      <c r="D170" s="3">
        <v>6</v>
      </c>
      <c r="E170" s="2" t="str">
        <f t="shared" si="6"/>
        <v>REORDER NOW</v>
      </c>
      <c r="F170" s="2"/>
      <c r="G170" s="2"/>
      <c r="H170" s="3">
        <f t="shared" si="7"/>
        <v>3</v>
      </c>
      <c r="I170" s="3">
        <f t="shared" si="8"/>
        <v>1</v>
      </c>
    </row>
    <row r="171" spans="1:9" ht="18" customHeight="1" x14ac:dyDescent="0.25">
      <c r="A171" s="4" t="s">
        <v>336</v>
      </c>
      <c r="B171" s="4" t="s">
        <v>337</v>
      </c>
      <c r="C171" s="5">
        <v>0</v>
      </c>
      <c r="D171" s="5">
        <v>6</v>
      </c>
      <c r="E171" s="4" t="str">
        <f t="shared" si="6"/>
        <v>REORDER NOW</v>
      </c>
      <c r="F171" s="4"/>
      <c r="G171" s="4"/>
      <c r="H171" s="5">
        <f t="shared" si="7"/>
        <v>3</v>
      </c>
      <c r="I171" s="5">
        <f t="shared" si="8"/>
        <v>0</v>
      </c>
    </row>
    <row r="172" spans="1:9" ht="18" customHeight="1" x14ac:dyDescent="0.25">
      <c r="A172" s="2" t="s">
        <v>338</v>
      </c>
      <c r="B172" s="2" t="s">
        <v>339</v>
      </c>
      <c r="C172" s="3">
        <v>2</v>
      </c>
      <c r="D172" s="3">
        <v>6</v>
      </c>
      <c r="E172" s="2" t="str">
        <f t="shared" si="6"/>
        <v>REORDER NOW</v>
      </c>
      <c r="F172" s="2"/>
      <c r="G172" s="2"/>
      <c r="H172" s="3">
        <f t="shared" si="7"/>
        <v>3</v>
      </c>
      <c r="I172" s="3">
        <f t="shared" si="8"/>
        <v>0.7</v>
      </c>
    </row>
    <row r="173" spans="1:9" ht="18" customHeight="1" x14ac:dyDescent="0.25">
      <c r="A173" s="4" t="s">
        <v>340</v>
      </c>
      <c r="B173" s="4" t="s">
        <v>341</v>
      </c>
      <c r="C173" s="5">
        <v>1</v>
      </c>
      <c r="D173" s="5">
        <v>6</v>
      </c>
      <c r="E173" s="4" t="str">
        <f t="shared" si="6"/>
        <v>REORDER NOW</v>
      </c>
      <c r="F173" s="4"/>
      <c r="G173" s="4"/>
      <c r="H173" s="5">
        <f t="shared" si="7"/>
        <v>3</v>
      </c>
      <c r="I173" s="5">
        <f t="shared" si="8"/>
        <v>0.3</v>
      </c>
    </row>
    <row r="174" spans="1:9" ht="18" customHeight="1" x14ac:dyDescent="0.25">
      <c r="A174" s="2" t="s">
        <v>342</v>
      </c>
      <c r="B174" s="2" t="s">
        <v>343</v>
      </c>
      <c r="C174" s="3">
        <v>6</v>
      </c>
      <c r="D174" s="3">
        <v>10</v>
      </c>
      <c r="E174" s="2" t="str">
        <f t="shared" si="6"/>
        <v>REORDER NOW</v>
      </c>
      <c r="F174" s="2"/>
      <c r="G174" s="2"/>
      <c r="H174" s="3">
        <f t="shared" si="7"/>
        <v>5</v>
      </c>
      <c r="I174" s="3">
        <f t="shared" si="8"/>
        <v>1.2</v>
      </c>
    </row>
    <row r="175" spans="1:9" ht="18" customHeight="1" x14ac:dyDescent="0.25">
      <c r="A175" s="4" t="s">
        <v>344</v>
      </c>
      <c r="B175" s="4" t="s">
        <v>345</v>
      </c>
      <c r="C175" s="5">
        <v>1</v>
      </c>
      <c r="D175" s="5">
        <v>6</v>
      </c>
      <c r="E175" s="4" t="str">
        <f t="shared" si="6"/>
        <v>REORDER NOW</v>
      </c>
      <c r="F175" s="4"/>
      <c r="G175" s="4"/>
      <c r="H175" s="5">
        <f t="shared" si="7"/>
        <v>3</v>
      </c>
      <c r="I175" s="5">
        <f t="shared" si="8"/>
        <v>0.3</v>
      </c>
    </row>
    <row r="176" spans="1:9" ht="18" customHeight="1" x14ac:dyDescent="0.25">
      <c r="A176" s="2" t="s">
        <v>346</v>
      </c>
      <c r="B176" s="2" t="s">
        <v>347</v>
      </c>
      <c r="C176" s="3">
        <v>0</v>
      </c>
      <c r="D176" s="3">
        <v>6</v>
      </c>
      <c r="E176" s="2" t="str">
        <f t="shared" si="6"/>
        <v>REORDER NOW</v>
      </c>
      <c r="F176" s="2"/>
      <c r="G176" s="2"/>
      <c r="H176" s="3">
        <f t="shared" si="7"/>
        <v>3</v>
      </c>
      <c r="I176" s="3">
        <f t="shared" si="8"/>
        <v>0</v>
      </c>
    </row>
    <row r="177" spans="1:9" ht="18" customHeight="1" x14ac:dyDescent="0.25">
      <c r="A177" s="4" t="s">
        <v>348</v>
      </c>
      <c r="B177" s="4" t="s">
        <v>349</v>
      </c>
      <c r="C177" s="5">
        <v>3</v>
      </c>
      <c r="D177" s="5">
        <v>6</v>
      </c>
      <c r="E177" s="4" t="str">
        <f t="shared" si="6"/>
        <v>REORDER NOW</v>
      </c>
      <c r="F177" s="4"/>
      <c r="G177" s="4"/>
      <c r="H177" s="5">
        <f t="shared" si="7"/>
        <v>3</v>
      </c>
      <c r="I177" s="5">
        <f t="shared" si="8"/>
        <v>1</v>
      </c>
    </row>
    <row r="178" spans="1:9" ht="18" customHeight="1" x14ac:dyDescent="0.25">
      <c r="A178" s="2" t="s">
        <v>350</v>
      </c>
      <c r="B178" s="2" t="s">
        <v>351</v>
      </c>
      <c r="C178" s="3">
        <v>1</v>
      </c>
      <c r="D178" s="3">
        <v>6</v>
      </c>
      <c r="E178" s="2" t="str">
        <f t="shared" si="6"/>
        <v>REORDER NOW</v>
      </c>
      <c r="F178" s="2"/>
      <c r="G178" s="2"/>
      <c r="H178" s="3">
        <f t="shared" si="7"/>
        <v>3</v>
      </c>
      <c r="I178" s="3">
        <f t="shared" si="8"/>
        <v>0.3</v>
      </c>
    </row>
    <row r="179" spans="1:9" ht="18" customHeight="1" x14ac:dyDescent="0.25">
      <c r="A179" s="4" t="s">
        <v>352</v>
      </c>
      <c r="B179" s="4" t="s">
        <v>353</v>
      </c>
      <c r="C179" s="5">
        <v>3</v>
      </c>
      <c r="D179" s="5">
        <v>6</v>
      </c>
      <c r="E179" s="4" t="str">
        <f t="shared" si="6"/>
        <v>REORDER NOW</v>
      </c>
      <c r="F179" s="4"/>
      <c r="G179" s="4"/>
      <c r="H179" s="5">
        <f t="shared" si="7"/>
        <v>3</v>
      </c>
      <c r="I179" s="5">
        <f t="shared" si="8"/>
        <v>1</v>
      </c>
    </row>
    <row r="180" spans="1:9" ht="18" customHeight="1" x14ac:dyDescent="0.25">
      <c r="A180" s="2" t="s">
        <v>354</v>
      </c>
      <c r="B180" s="2" t="s">
        <v>355</v>
      </c>
      <c r="C180" s="3">
        <v>1</v>
      </c>
      <c r="D180" s="3">
        <v>6</v>
      </c>
      <c r="E180" s="2" t="str">
        <f t="shared" si="6"/>
        <v>REORDER NOW</v>
      </c>
      <c r="F180" s="2"/>
      <c r="G180" s="2"/>
      <c r="H180" s="3">
        <f t="shared" si="7"/>
        <v>3</v>
      </c>
      <c r="I180" s="3">
        <f t="shared" si="8"/>
        <v>0.3</v>
      </c>
    </row>
    <row r="181" spans="1:9" ht="18" customHeight="1" x14ac:dyDescent="0.25">
      <c r="A181" s="4" t="s">
        <v>356</v>
      </c>
      <c r="B181" s="4" t="s">
        <v>357</v>
      </c>
      <c r="C181" s="5">
        <v>2</v>
      </c>
      <c r="D181" s="5">
        <v>6</v>
      </c>
      <c r="E181" s="4" t="str">
        <f t="shared" si="6"/>
        <v>REORDER NOW</v>
      </c>
      <c r="F181" s="4"/>
      <c r="G181" s="4"/>
      <c r="H181" s="5">
        <f t="shared" si="7"/>
        <v>3</v>
      </c>
      <c r="I181" s="5">
        <f t="shared" si="8"/>
        <v>0.7</v>
      </c>
    </row>
    <row r="182" spans="1:9" ht="18" customHeight="1" x14ac:dyDescent="0.25">
      <c r="A182" s="2" t="s">
        <v>358</v>
      </c>
      <c r="B182" s="2" t="s">
        <v>359</v>
      </c>
      <c r="C182" s="3">
        <v>0</v>
      </c>
      <c r="D182" s="3">
        <v>6</v>
      </c>
      <c r="E182" s="2" t="str">
        <f t="shared" si="6"/>
        <v>REORDER NOW</v>
      </c>
      <c r="F182" s="2"/>
      <c r="G182" s="2"/>
      <c r="H182" s="3">
        <f t="shared" si="7"/>
        <v>3</v>
      </c>
      <c r="I182" s="3">
        <f t="shared" si="8"/>
        <v>0</v>
      </c>
    </row>
    <row r="183" spans="1:9" ht="18" customHeight="1" x14ac:dyDescent="0.25">
      <c r="A183" s="4" t="s">
        <v>360</v>
      </c>
      <c r="B183" s="4" t="s">
        <v>361</v>
      </c>
      <c r="C183" s="5">
        <v>0</v>
      </c>
      <c r="D183" s="5">
        <v>6</v>
      </c>
      <c r="E183" s="4" t="str">
        <f t="shared" si="6"/>
        <v>REORDER NOW</v>
      </c>
      <c r="F183" s="4"/>
      <c r="G183" s="4"/>
      <c r="H183" s="5">
        <f t="shared" si="7"/>
        <v>3</v>
      </c>
      <c r="I183" s="5">
        <f t="shared" si="8"/>
        <v>0</v>
      </c>
    </row>
    <row r="184" spans="1:9" ht="18" customHeight="1" x14ac:dyDescent="0.25">
      <c r="A184" s="2" t="s">
        <v>362</v>
      </c>
      <c r="B184" s="2" t="s">
        <v>363</v>
      </c>
      <c r="C184" s="3">
        <v>3</v>
      </c>
      <c r="D184" s="3">
        <v>6</v>
      </c>
      <c r="E184" s="2" t="str">
        <f t="shared" si="6"/>
        <v>REORDER NOW</v>
      </c>
      <c r="F184" s="2"/>
      <c r="G184" s="2"/>
      <c r="H184" s="3">
        <f t="shared" si="7"/>
        <v>3</v>
      </c>
      <c r="I184" s="3">
        <f t="shared" si="8"/>
        <v>1</v>
      </c>
    </row>
    <row r="185" spans="1:9" ht="18" customHeight="1" x14ac:dyDescent="0.25">
      <c r="A185" s="4" t="s">
        <v>364</v>
      </c>
      <c r="B185" s="4" t="s">
        <v>365</v>
      </c>
      <c r="C185" s="5">
        <v>0</v>
      </c>
      <c r="D185" s="5">
        <v>6</v>
      </c>
      <c r="E185" s="4" t="str">
        <f t="shared" si="6"/>
        <v>REORDER NOW</v>
      </c>
      <c r="F185" s="4"/>
      <c r="G185" s="4"/>
      <c r="H185" s="5">
        <f t="shared" si="7"/>
        <v>3</v>
      </c>
      <c r="I185" s="5">
        <f t="shared" si="8"/>
        <v>0</v>
      </c>
    </row>
    <row r="186" spans="1:9" ht="18" customHeight="1" x14ac:dyDescent="0.25">
      <c r="A186" s="2" t="s">
        <v>366</v>
      </c>
      <c r="B186" s="2" t="s">
        <v>367</v>
      </c>
      <c r="C186" s="3">
        <v>0</v>
      </c>
      <c r="D186" s="3">
        <v>6</v>
      </c>
      <c r="E186" s="2" t="str">
        <f t="shared" si="6"/>
        <v>REORDER NOW</v>
      </c>
      <c r="F186" s="2"/>
      <c r="G186" s="2"/>
      <c r="H186" s="3">
        <f t="shared" si="7"/>
        <v>3</v>
      </c>
      <c r="I186" s="3">
        <f t="shared" si="8"/>
        <v>0</v>
      </c>
    </row>
    <row r="187" spans="1:9" ht="18" customHeight="1" x14ac:dyDescent="0.25">
      <c r="A187" s="4" t="s">
        <v>368</v>
      </c>
      <c r="B187" s="4" t="s">
        <v>369</v>
      </c>
      <c r="C187" s="5">
        <v>0</v>
      </c>
      <c r="D187" s="5">
        <v>6</v>
      </c>
      <c r="E187" s="4" t="str">
        <f t="shared" si="6"/>
        <v>REORDER NOW</v>
      </c>
      <c r="F187" s="4"/>
      <c r="G187" s="4"/>
      <c r="H187" s="5">
        <f t="shared" si="7"/>
        <v>3</v>
      </c>
      <c r="I187" s="5">
        <f t="shared" si="8"/>
        <v>0</v>
      </c>
    </row>
    <row r="188" spans="1:9" ht="18" customHeight="1" x14ac:dyDescent="0.25">
      <c r="A188" s="2" t="s">
        <v>370</v>
      </c>
      <c r="B188" s="2" t="s">
        <v>371</v>
      </c>
      <c r="C188" s="3">
        <v>0</v>
      </c>
      <c r="D188" s="3">
        <v>6</v>
      </c>
      <c r="E188" s="2" t="str">
        <f t="shared" si="6"/>
        <v>REORDER NOW</v>
      </c>
      <c r="F188" s="2"/>
      <c r="G188" s="2"/>
      <c r="H188" s="3">
        <f t="shared" si="7"/>
        <v>3</v>
      </c>
      <c r="I188" s="3">
        <f t="shared" si="8"/>
        <v>0</v>
      </c>
    </row>
    <row r="189" spans="1:9" ht="18" customHeight="1" x14ac:dyDescent="0.25">
      <c r="A189" s="4" t="s">
        <v>372</v>
      </c>
      <c r="B189" s="4" t="s">
        <v>373</v>
      </c>
      <c r="C189" s="5">
        <v>0</v>
      </c>
      <c r="D189" s="5">
        <v>6</v>
      </c>
      <c r="E189" s="4" t="str">
        <f t="shared" si="6"/>
        <v>REORDER NOW</v>
      </c>
      <c r="F189" s="4"/>
      <c r="G189" s="4"/>
      <c r="H189" s="5">
        <f t="shared" si="7"/>
        <v>3</v>
      </c>
      <c r="I189" s="5">
        <f t="shared" si="8"/>
        <v>0</v>
      </c>
    </row>
    <row r="190" spans="1:9" ht="18" customHeight="1" x14ac:dyDescent="0.25">
      <c r="A190" s="2" t="s">
        <v>374</v>
      </c>
      <c r="B190" s="2" t="s">
        <v>375</v>
      </c>
      <c r="C190" s="3">
        <v>0</v>
      </c>
      <c r="D190" s="3">
        <v>6</v>
      </c>
      <c r="E190" s="2" t="str">
        <f t="shared" si="6"/>
        <v>REORDER NOW</v>
      </c>
      <c r="F190" s="2"/>
      <c r="G190" s="2"/>
      <c r="H190" s="3">
        <f t="shared" si="7"/>
        <v>3</v>
      </c>
      <c r="I190" s="3">
        <f t="shared" si="8"/>
        <v>0</v>
      </c>
    </row>
    <row r="191" spans="1:9" ht="18" customHeight="1" x14ac:dyDescent="0.25">
      <c r="A191" s="4" t="s">
        <v>376</v>
      </c>
      <c r="B191" s="4" t="s">
        <v>377</v>
      </c>
      <c r="C191" s="5">
        <v>0</v>
      </c>
      <c r="D191" s="5">
        <v>6</v>
      </c>
      <c r="E191" s="4" t="str">
        <f t="shared" si="6"/>
        <v>REORDER NOW</v>
      </c>
      <c r="F191" s="4"/>
      <c r="G191" s="4"/>
      <c r="H191" s="5">
        <f t="shared" si="7"/>
        <v>3</v>
      </c>
      <c r="I191" s="5">
        <f t="shared" si="8"/>
        <v>0</v>
      </c>
    </row>
    <row r="192" spans="1:9" ht="18" customHeight="1" x14ac:dyDescent="0.25">
      <c r="A192" s="2" t="s">
        <v>378</v>
      </c>
      <c r="B192" s="2" t="s">
        <v>379</v>
      </c>
      <c r="C192" s="3">
        <v>6</v>
      </c>
      <c r="D192" s="3">
        <v>10</v>
      </c>
      <c r="E192" s="2" t="str">
        <f t="shared" si="6"/>
        <v>REORDER NOW</v>
      </c>
      <c r="F192" s="2"/>
      <c r="G192" s="2"/>
      <c r="H192" s="3">
        <f t="shared" si="7"/>
        <v>5</v>
      </c>
      <c r="I192" s="3">
        <f t="shared" si="8"/>
        <v>1.2</v>
      </c>
    </row>
    <row r="193" spans="1:9" ht="18" customHeight="1" x14ac:dyDescent="0.25">
      <c r="A193" s="4" t="s">
        <v>380</v>
      </c>
      <c r="B193" s="4" t="s">
        <v>381</v>
      </c>
      <c r="C193" s="5">
        <v>46</v>
      </c>
      <c r="D193" s="5">
        <v>20</v>
      </c>
      <c r="E193" s="4" t="str">
        <f t="shared" si="6"/>
        <v>OK</v>
      </c>
      <c r="F193" s="4"/>
      <c r="G193" s="4"/>
      <c r="H193" s="5">
        <f t="shared" si="7"/>
        <v>10</v>
      </c>
      <c r="I193" s="5">
        <f t="shared" si="8"/>
        <v>4.5999999999999996</v>
      </c>
    </row>
    <row r="194" spans="1:9" ht="18" customHeight="1" x14ac:dyDescent="0.25">
      <c r="A194" s="2" t="s">
        <v>382</v>
      </c>
      <c r="B194" s="2" t="s">
        <v>383</v>
      </c>
      <c r="C194" s="3">
        <v>6</v>
      </c>
      <c r="D194" s="3">
        <v>10</v>
      </c>
      <c r="E194" s="2" t="str">
        <f t="shared" si="6"/>
        <v>REORDER NOW</v>
      </c>
      <c r="F194" s="2"/>
      <c r="G194" s="2"/>
      <c r="H194" s="3">
        <f t="shared" si="7"/>
        <v>5</v>
      </c>
      <c r="I194" s="3">
        <f t="shared" si="8"/>
        <v>1.2</v>
      </c>
    </row>
    <row r="195" spans="1:9" ht="18" customHeight="1" x14ac:dyDescent="0.25">
      <c r="A195" s="4" t="s">
        <v>384</v>
      </c>
      <c r="B195" s="4" t="s">
        <v>385</v>
      </c>
      <c r="C195" s="5">
        <v>0</v>
      </c>
      <c r="D195" s="5">
        <v>6</v>
      </c>
      <c r="E195" s="4" t="str">
        <f t="shared" si="6"/>
        <v>REORDER NOW</v>
      </c>
      <c r="F195" s="4"/>
      <c r="G195" s="4"/>
      <c r="H195" s="5">
        <f t="shared" si="7"/>
        <v>3</v>
      </c>
      <c r="I195" s="5">
        <f t="shared" si="8"/>
        <v>0</v>
      </c>
    </row>
    <row r="196" spans="1:9" ht="18" customHeight="1" x14ac:dyDescent="0.25">
      <c r="A196" s="2" t="s">
        <v>386</v>
      </c>
      <c r="B196" s="2" t="s">
        <v>387</v>
      </c>
      <c r="C196" s="3">
        <v>0</v>
      </c>
      <c r="D196" s="3">
        <v>6</v>
      </c>
      <c r="E196" s="2" t="str">
        <f t="shared" ref="E196:E259" si="9">IF(C196&lt;=D196,"REORDER NOW","OK")</f>
        <v>REORDER NOW</v>
      </c>
      <c r="F196" s="2"/>
      <c r="G196" s="2"/>
      <c r="H196" s="3">
        <f t="shared" ref="H196:H259" si="10">D196/2</f>
        <v>3</v>
      </c>
      <c r="I196" s="3">
        <f t="shared" ref="I196:I259" si="11">IF(H196=0,"N/A",ROUND(C196/H196,1))</f>
        <v>0</v>
      </c>
    </row>
    <row r="197" spans="1:9" ht="18" customHeight="1" x14ac:dyDescent="0.25">
      <c r="A197" s="4" t="s">
        <v>388</v>
      </c>
      <c r="B197" s="4" t="s">
        <v>389</v>
      </c>
      <c r="C197" s="5">
        <v>0</v>
      </c>
      <c r="D197" s="5">
        <v>6</v>
      </c>
      <c r="E197" s="4" t="str">
        <f t="shared" si="9"/>
        <v>REORDER NOW</v>
      </c>
      <c r="F197" s="4"/>
      <c r="G197" s="4"/>
      <c r="H197" s="5">
        <f t="shared" si="10"/>
        <v>3</v>
      </c>
      <c r="I197" s="5">
        <f t="shared" si="11"/>
        <v>0</v>
      </c>
    </row>
    <row r="198" spans="1:9" ht="18" customHeight="1" x14ac:dyDescent="0.25">
      <c r="A198" s="2" t="s">
        <v>390</v>
      </c>
      <c r="B198" s="2" t="s">
        <v>391</v>
      </c>
      <c r="C198" s="3">
        <v>0</v>
      </c>
      <c r="D198" s="3">
        <v>6</v>
      </c>
      <c r="E198" s="2" t="str">
        <f t="shared" si="9"/>
        <v>REORDER NOW</v>
      </c>
      <c r="F198" s="2"/>
      <c r="G198" s="2"/>
      <c r="H198" s="3">
        <f t="shared" si="10"/>
        <v>3</v>
      </c>
      <c r="I198" s="3">
        <f t="shared" si="11"/>
        <v>0</v>
      </c>
    </row>
    <row r="199" spans="1:9" ht="18" customHeight="1" x14ac:dyDescent="0.25">
      <c r="A199" s="4" t="s">
        <v>392</v>
      </c>
      <c r="B199" s="4" t="s">
        <v>393</v>
      </c>
      <c r="C199" s="5">
        <v>0</v>
      </c>
      <c r="D199" s="5">
        <v>6</v>
      </c>
      <c r="E199" s="4" t="str">
        <f t="shared" si="9"/>
        <v>REORDER NOW</v>
      </c>
      <c r="F199" s="4"/>
      <c r="G199" s="4"/>
      <c r="H199" s="5">
        <f t="shared" si="10"/>
        <v>3</v>
      </c>
      <c r="I199" s="5">
        <f t="shared" si="11"/>
        <v>0</v>
      </c>
    </row>
    <row r="200" spans="1:9" ht="18" customHeight="1" x14ac:dyDescent="0.25">
      <c r="A200" s="2" t="s">
        <v>394</v>
      </c>
      <c r="B200" s="2" t="s">
        <v>395</v>
      </c>
      <c r="C200" s="3">
        <v>0</v>
      </c>
      <c r="D200" s="3">
        <v>6</v>
      </c>
      <c r="E200" s="2" t="str">
        <f t="shared" si="9"/>
        <v>REORDER NOW</v>
      </c>
      <c r="F200" s="2"/>
      <c r="G200" s="2"/>
      <c r="H200" s="3">
        <f t="shared" si="10"/>
        <v>3</v>
      </c>
      <c r="I200" s="3">
        <f t="shared" si="11"/>
        <v>0</v>
      </c>
    </row>
    <row r="201" spans="1:9" ht="18" customHeight="1" x14ac:dyDescent="0.25">
      <c r="A201" s="4" t="s">
        <v>396</v>
      </c>
      <c r="B201" s="4" t="s">
        <v>397</v>
      </c>
      <c r="C201" s="5">
        <v>0</v>
      </c>
      <c r="D201" s="5">
        <v>6</v>
      </c>
      <c r="E201" s="4" t="str">
        <f t="shared" si="9"/>
        <v>REORDER NOW</v>
      </c>
      <c r="F201" s="4"/>
      <c r="G201" s="4"/>
      <c r="H201" s="5">
        <f t="shared" si="10"/>
        <v>3</v>
      </c>
      <c r="I201" s="5">
        <f t="shared" si="11"/>
        <v>0</v>
      </c>
    </row>
    <row r="202" spans="1:9" ht="18" customHeight="1" x14ac:dyDescent="0.25">
      <c r="A202" s="2" t="s">
        <v>398</v>
      </c>
      <c r="B202" s="2" t="s">
        <v>399</v>
      </c>
      <c r="C202" s="3">
        <v>0</v>
      </c>
      <c r="D202" s="3">
        <v>6</v>
      </c>
      <c r="E202" s="2" t="str">
        <f t="shared" si="9"/>
        <v>REORDER NOW</v>
      </c>
      <c r="F202" s="2"/>
      <c r="G202" s="2"/>
      <c r="H202" s="3">
        <f t="shared" si="10"/>
        <v>3</v>
      </c>
      <c r="I202" s="3">
        <f t="shared" si="11"/>
        <v>0</v>
      </c>
    </row>
    <row r="203" spans="1:9" ht="18" customHeight="1" x14ac:dyDescent="0.25">
      <c r="A203" s="4" t="s">
        <v>400</v>
      </c>
      <c r="B203" s="4" t="s">
        <v>401</v>
      </c>
      <c r="C203" s="5">
        <v>0</v>
      </c>
      <c r="D203" s="5">
        <v>6</v>
      </c>
      <c r="E203" s="4" t="str">
        <f t="shared" si="9"/>
        <v>REORDER NOW</v>
      </c>
      <c r="F203" s="4"/>
      <c r="G203" s="4"/>
      <c r="H203" s="5">
        <f t="shared" si="10"/>
        <v>3</v>
      </c>
      <c r="I203" s="5">
        <f t="shared" si="11"/>
        <v>0</v>
      </c>
    </row>
    <row r="204" spans="1:9" ht="18" customHeight="1" x14ac:dyDescent="0.25">
      <c r="A204" s="2" t="s">
        <v>402</v>
      </c>
      <c r="B204" s="2" t="s">
        <v>403</v>
      </c>
      <c r="C204" s="3">
        <v>0</v>
      </c>
      <c r="D204" s="3">
        <v>6</v>
      </c>
      <c r="E204" s="2" t="str">
        <f t="shared" si="9"/>
        <v>REORDER NOW</v>
      </c>
      <c r="F204" s="2"/>
      <c r="G204" s="2"/>
      <c r="H204" s="3">
        <f t="shared" si="10"/>
        <v>3</v>
      </c>
      <c r="I204" s="3">
        <f t="shared" si="11"/>
        <v>0</v>
      </c>
    </row>
    <row r="205" spans="1:9" ht="18" customHeight="1" x14ac:dyDescent="0.25">
      <c r="A205" s="4" t="s">
        <v>404</v>
      </c>
      <c r="B205" s="4" t="s">
        <v>405</v>
      </c>
      <c r="C205" s="5">
        <v>0</v>
      </c>
      <c r="D205" s="5">
        <v>6</v>
      </c>
      <c r="E205" s="4" t="str">
        <f t="shared" si="9"/>
        <v>REORDER NOW</v>
      </c>
      <c r="F205" s="4"/>
      <c r="G205" s="4"/>
      <c r="H205" s="5">
        <f t="shared" si="10"/>
        <v>3</v>
      </c>
      <c r="I205" s="5">
        <f t="shared" si="11"/>
        <v>0</v>
      </c>
    </row>
    <row r="206" spans="1:9" ht="18" customHeight="1" x14ac:dyDescent="0.25">
      <c r="A206" s="2" t="s">
        <v>406</v>
      </c>
      <c r="B206" s="2" t="s">
        <v>407</v>
      </c>
      <c r="C206" s="3">
        <v>0</v>
      </c>
      <c r="D206" s="3">
        <v>6</v>
      </c>
      <c r="E206" s="2" t="str">
        <f t="shared" si="9"/>
        <v>REORDER NOW</v>
      </c>
      <c r="F206" s="2"/>
      <c r="G206" s="2"/>
      <c r="H206" s="3">
        <f t="shared" si="10"/>
        <v>3</v>
      </c>
      <c r="I206" s="3">
        <f t="shared" si="11"/>
        <v>0</v>
      </c>
    </row>
    <row r="207" spans="1:9" ht="18" customHeight="1" x14ac:dyDescent="0.25">
      <c r="A207" s="4" t="s">
        <v>408</v>
      </c>
      <c r="B207" s="4" t="s">
        <v>409</v>
      </c>
      <c r="C207" s="5">
        <v>0</v>
      </c>
      <c r="D207" s="5">
        <v>6</v>
      </c>
      <c r="E207" s="4" t="str">
        <f t="shared" si="9"/>
        <v>REORDER NOW</v>
      </c>
      <c r="F207" s="4"/>
      <c r="G207" s="4"/>
      <c r="H207" s="5">
        <f t="shared" si="10"/>
        <v>3</v>
      </c>
      <c r="I207" s="5">
        <f t="shared" si="11"/>
        <v>0</v>
      </c>
    </row>
    <row r="208" spans="1:9" ht="18" customHeight="1" x14ac:dyDescent="0.25">
      <c r="A208" s="2" t="s">
        <v>410</v>
      </c>
      <c r="B208" s="2" t="s">
        <v>411</v>
      </c>
      <c r="C208" s="3">
        <v>0</v>
      </c>
      <c r="D208" s="3">
        <v>6</v>
      </c>
      <c r="E208" s="2" t="str">
        <f t="shared" si="9"/>
        <v>REORDER NOW</v>
      </c>
      <c r="F208" s="2"/>
      <c r="G208" s="2"/>
      <c r="H208" s="3">
        <f t="shared" si="10"/>
        <v>3</v>
      </c>
      <c r="I208" s="3">
        <f t="shared" si="11"/>
        <v>0</v>
      </c>
    </row>
    <row r="209" spans="1:9" ht="18" customHeight="1" x14ac:dyDescent="0.25">
      <c r="A209" s="4" t="s">
        <v>412</v>
      </c>
      <c r="B209" s="4" t="s">
        <v>413</v>
      </c>
      <c r="C209" s="5">
        <v>0</v>
      </c>
      <c r="D209" s="5">
        <v>6</v>
      </c>
      <c r="E209" s="4" t="str">
        <f t="shared" si="9"/>
        <v>REORDER NOW</v>
      </c>
      <c r="F209" s="4"/>
      <c r="G209" s="4"/>
      <c r="H209" s="5">
        <f t="shared" si="10"/>
        <v>3</v>
      </c>
      <c r="I209" s="5">
        <f t="shared" si="11"/>
        <v>0</v>
      </c>
    </row>
    <row r="210" spans="1:9" ht="18" customHeight="1" x14ac:dyDescent="0.25">
      <c r="A210" s="2" t="s">
        <v>414</v>
      </c>
      <c r="B210" s="2" t="s">
        <v>415</v>
      </c>
      <c r="C210" s="3">
        <v>0</v>
      </c>
      <c r="D210" s="3">
        <v>6</v>
      </c>
      <c r="E210" s="2" t="str">
        <f t="shared" si="9"/>
        <v>REORDER NOW</v>
      </c>
      <c r="F210" s="2"/>
      <c r="G210" s="2"/>
      <c r="H210" s="3">
        <f t="shared" si="10"/>
        <v>3</v>
      </c>
      <c r="I210" s="3">
        <f t="shared" si="11"/>
        <v>0</v>
      </c>
    </row>
    <row r="211" spans="1:9" ht="18" customHeight="1" x14ac:dyDescent="0.25">
      <c r="A211" s="4" t="s">
        <v>416</v>
      </c>
      <c r="B211" s="4" t="s">
        <v>417</v>
      </c>
      <c r="C211" s="5">
        <v>0</v>
      </c>
      <c r="D211" s="5">
        <v>6</v>
      </c>
      <c r="E211" s="4" t="str">
        <f t="shared" si="9"/>
        <v>REORDER NOW</v>
      </c>
      <c r="F211" s="4"/>
      <c r="G211" s="4"/>
      <c r="H211" s="5">
        <f t="shared" si="10"/>
        <v>3</v>
      </c>
      <c r="I211" s="5">
        <f t="shared" si="11"/>
        <v>0</v>
      </c>
    </row>
    <row r="212" spans="1:9" ht="18" customHeight="1" x14ac:dyDescent="0.25">
      <c r="A212" s="2" t="s">
        <v>418</v>
      </c>
      <c r="B212" s="2" t="s">
        <v>419</v>
      </c>
      <c r="C212" s="3">
        <v>0</v>
      </c>
      <c r="D212" s="3">
        <v>6</v>
      </c>
      <c r="E212" s="2" t="str">
        <f t="shared" si="9"/>
        <v>REORDER NOW</v>
      </c>
      <c r="F212" s="2"/>
      <c r="G212" s="2"/>
      <c r="H212" s="3">
        <f t="shared" si="10"/>
        <v>3</v>
      </c>
      <c r="I212" s="3">
        <f t="shared" si="11"/>
        <v>0</v>
      </c>
    </row>
    <row r="213" spans="1:9" ht="18" customHeight="1" x14ac:dyDescent="0.25">
      <c r="A213" s="4" t="s">
        <v>420</v>
      </c>
      <c r="B213" s="4" t="s">
        <v>421</v>
      </c>
      <c r="C213" s="5">
        <v>0</v>
      </c>
      <c r="D213" s="5">
        <v>6</v>
      </c>
      <c r="E213" s="4" t="str">
        <f t="shared" si="9"/>
        <v>REORDER NOW</v>
      </c>
      <c r="F213" s="4"/>
      <c r="G213" s="4"/>
      <c r="H213" s="5">
        <f t="shared" si="10"/>
        <v>3</v>
      </c>
      <c r="I213" s="5">
        <f t="shared" si="11"/>
        <v>0</v>
      </c>
    </row>
    <row r="214" spans="1:9" ht="18" customHeight="1" x14ac:dyDescent="0.25">
      <c r="A214" s="2" t="s">
        <v>422</v>
      </c>
      <c r="B214" s="2" t="s">
        <v>423</v>
      </c>
      <c r="C214" s="3">
        <v>0</v>
      </c>
      <c r="D214" s="3">
        <v>6</v>
      </c>
      <c r="E214" s="2" t="str">
        <f t="shared" si="9"/>
        <v>REORDER NOW</v>
      </c>
      <c r="F214" s="2"/>
      <c r="G214" s="2"/>
      <c r="H214" s="3">
        <f t="shared" si="10"/>
        <v>3</v>
      </c>
      <c r="I214" s="3">
        <f t="shared" si="11"/>
        <v>0</v>
      </c>
    </row>
    <row r="215" spans="1:9" ht="18" customHeight="1" x14ac:dyDescent="0.25">
      <c r="A215" s="4" t="s">
        <v>424</v>
      </c>
      <c r="B215" s="4" t="s">
        <v>425</v>
      </c>
      <c r="C215" s="5">
        <v>13</v>
      </c>
      <c r="D215" s="5">
        <v>10</v>
      </c>
      <c r="E215" s="4" t="str">
        <f t="shared" si="9"/>
        <v>OK</v>
      </c>
      <c r="F215" s="4"/>
      <c r="G215" s="4"/>
      <c r="H215" s="5">
        <f t="shared" si="10"/>
        <v>5</v>
      </c>
      <c r="I215" s="5">
        <f t="shared" si="11"/>
        <v>2.6</v>
      </c>
    </row>
    <row r="216" spans="1:9" ht="18" customHeight="1" x14ac:dyDescent="0.25">
      <c r="A216" s="2" t="s">
        <v>426</v>
      </c>
      <c r="B216" s="2" t="s">
        <v>427</v>
      </c>
      <c r="C216" s="3">
        <v>0</v>
      </c>
      <c r="D216" s="3">
        <v>6</v>
      </c>
      <c r="E216" s="2" t="str">
        <f t="shared" si="9"/>
        <v>REORDER NOW</v>
      </c>
      <c r="F216" s="2"/>
      <c r="G216" s="2"/>
      <c r="H216" s="3">
        <f t="shared" si="10"/>
        <v>3</v>
      </c>
      <c r="I216" s="3">
        <f t="shared" si="11"/>
        <v>0</v>
      </c>
    </row>
    <row r="217" spans="1:9" ht="18" customHeight="1" x14ac:dyDescent="0.25">
      <c r="A217" s="4" t="s">
        <v>428</v>
      </c>
      <c r="B217" s="4" t="s">
        <v>429</v>
      </c>
      <c r="C217" s="5">
        <v>10</v>
      </c>
      <c r="D217" s="5">
        <v>10</v>
      </c>
      <c r="E217" s="4" t="str">
        <f t="shared" si="9"/>
        <v>REORDER NOW</v>
      </c>
      <c r="F217" s="4"/>
      <c r="G217" s="4"/>
      <c r="H217" s="5">
        <f t="shared" si="10"/>
        <v>5</v>
      </c>
      <c r="I217" s="5">
        <f t="shared" si="11"/>
        <v>2</v>
      </c>
    </row>
    <row r="218" spans="1:9" ht="18" customHeight="1" x14ac:dyDescent="0.25">
      <c r="A218" s="2" t="s">
        <v>430</v>
      </c>
      <c r="B218" s="2" t="s">
        <v>431</v>
      </c>
      <c r="C218" s="3">
        <v>4</v>
      </c>
      <c r="D218" s="3">
        <v>6</v>
      </c>
      <c r="E218" s="2" t="str">
        <f t="shared" si="9"/>
        <v>REORDER NOW</v>
      </c>
      <c r="F218" s="2"/>
      <c r="G218" s="2"/>
      <c r="H218" s="3">
        <f t="shared" si="10"/>
        <v>3</v>
      </c>
      <c r="I218" s="3">
        <f t="shared" si="11"/>
        <v>1.3</v>
      </c>
    </row>
    <row r="219" spans="1:9" ht="18" customHeight="1" x14ac:dyDescent="0.25">
      <c r="A219" s="4" t="s">
        <v>432</v>
      </c>
      <c r="B219" s="4" t="s">
        <v>433</v>
      </c>
      <c r="C219" s="5">
        <v>0</v>
      </c>
      <c r="D219" s="5">
        <v>6</v>
      </c>
      <c r="E219" s="4" t="str">
        <f t="shared" si="9"/>
        <v>REORDER NOW</v>
      </c>
      <c r="F219" s="4"/>
      <c r="G219" s="4"/>
      <c r="H219" s="5">
        <f t="shared" si="10"/>
        <v>3</v>
      </c>
      <c r="I219" s="5">
        <f t="shared" si="11"/>
        <v>0</v>
      </c>
    </row>
    <row r="220" spans="1:9" ht="18" customHeight="1" x14ac:dyDescent="0.25">
      <c r="A220" s="2" t="s">
        <v>434</v>
      </c>
      <c r="B220" s="2" t="s">
        <v>435</v>
      </c>
      <c r="C220" s="3">
        <v>0</v>
      </c>
      <c r="D220" s="3">
        <v>6</v>
      </c>
      <c r="E220" s="2" t="str">
        <f t="shared" si="9"/>
        <v>REORDER NOW</v>
      </c>
      <c r="F220" s="2"/>
      <c r="G220" s="2"/>
      <c r="H220" s="3">
        <f t="shared" si="10"/>
        <v>3</v>
      </c>
      <c r="I220" s="3">
        <f t="shared" si="11"/>
        <v>0</v>
      </c>
    </row>
    <row r="221" spans="1:9" ht="18" customHeight="1" x14ac:dyDescent="0.25">
      <c r="A221" s="4" t="s">
        <v>436</v>
      </c>
      <c r="B221" s="4" t="s">
        <v>437</v>
      </c>
      <c r="C221" s="5">
        <v>14</v>
      </c>
      <c r="D221" s="5">
        <v>10</v>
      </c>
      <c r="E221" s="4" t="str">
        <f t="shared" si="9"/>
        <v>OK</v>
      </c>
      <c r="F221" s="4"/>
      <c r="G221" s="4"/>
      <c r="H221" s="5">
        <f t="shared" si="10"/>
        <v>5</v>
      </c>
      <c r="I221" s="5">
        <f t="shared" si="11"/>
        <v>2.8</v>
      </c>
    </row>
    <row r="222" spans="1:9" ht="18" customHeight="1" x14ac:dyDescent="0.25">
      <c r="A222" s="2" t="s">
        <v>438</v>
      </c>
      <c r="B222" s="2" t="s">
        <v>439</v>
      </c>
      <c r="C222" s="3">
        <v>11</v>
      </c>
      <c r="D222" s="3">
        <v>10</v>
      </c>
      <c r="E222" s="2" t="str">
        <f t="shared" si="9"/>
        <v>OK</v>
      </c>
      <c r="F222" s="2"/>
      <c r="G222" s="2"/>
      <c r="H222" s="3">
        <f t="shared" si="10"/>
        <v>5</v>
      </c>
      <c r="I222" s="3">
        <f t="shared" si="11"/>
        <v>2.2000000000000002</v>
      </c>
    </row>
    <row r="223" spans="1:9" ht="18" customHeight="1" x14ac:dyDescent="0.25">
      <c r="A223" s="4" t="s">
        <v>440</v>
      </c>
      <c r="B223" s="4" t="s">
        <v>441</v>
      </c>
      <c r="C223" s="5">
        <v>3</v>
      </c>
      <c r="D223" s="5">
        <v>6</v>
      </c>
      <c r="E223" s="4" t="str">
        <f t="shared" si="9"/>
        <v>REORDER NOW</v>
      </c>
      <c r="F223" s="4"/>
      <c r="G223" s="4"/>
      <c r="H223" s="5">
        <f t="shared" si="10"/>
        <v>3</v>
      </c>
      <c r="I223" s="5">
        <f t="shared" si="11"/>
        <v>1</v>
      </c>
    </row>
    <row r="224" spans="1:9" ht="18" customHeight="1" x14ac:dyDescent="0.25">
      <c r="A224" s="2" t="s">
        <v>442</v>
      </c>
      <c r="B224" s="2" t="s">
        <v>443</v>
      </c>
      <c r="C224" s="3">
        <v>3</v>
      </c>
      <c r="D224" s="3">
        <v>6</v>
      </c>
      <c r="E224" s="2" t="str">
        <f t="shared" si="9"/>
        <v>REORDER NOW</v>
      </c>
      <c r="F224" s="2"/>
      <c r="G224" s="2"/>
      <c r="H224" s="3">
        <f t="shared" si="10"/>
        <v>3</v>
      </c>
      <c r="I224" s="3">
        <f t="shared" si="11"/>
        <v>1</v>
      </c>
    </row>
    <row r="225" spans="1:9" ht="18" customHeight="1" x14ac:dyDescent="0.25">
      <c r="A225" s="4" t="s">
        <v>444</v>
      </c>
      <c r="B225" s="4" t="s">
        <v>445</v>
      </c>
      <c r="C225" s="5">
        <v>0</v>
      </c>
      <c r="D225" s="5">
        <v>6</v>
      </c>
      <c r="E225" s="4" t="str">
        <f t="shared" si="9"/>
        <v>REORDER NOW</v>
      </c>
      <c r="F225" s="4"/>
      <c r="G225" s="4"/>
      <c r="H225" s="5">
        <f t="shared" si="10"/>
        <v>3</v>
      </c>
      <c r="I225" s="5">
        <f t="shared" si="11"/>
        <v>0</v>
      </c>
    </row>
    <row r="226" spans="1:9" ht="18" customHeight="1" x14ac:dyDescent="0.25">
      <c r="A226" s="2" t="s">
        <v>446</v>
      </c>
      <c r="B226" s="2" t="s">
        <v>447</v>
      </c>
      <c r="C226" s="3">
        <v>0</v>
      </c>
      <c r="D226" s="3">
        <v>6</v>
      </c>
      <c r="E226" s="2" t="str">
        <f t="shared" si="9"/>
        <v>REORDER NOW</v>
      </c>
      <c r="F226" s="2"/>
      <c r="G226" s="2"/>
      <c r="H226" s="3">
        <f t="shared" si="10"/>
        <v>3</v>
      </c>
      <c r="I226" s="3">
        <f t="shared" si="11"/>
        <v>0</v>
      </c>
    </row>
    <row r="227" spans="1:9" ht="18" customHeight="1" x14ac:dyDescent="0.25">
      <c r="A227" s="4" t="s">
        <v>448</v>
      </c>
      <c r="B227" s="4" t="s">
        <v>449</v>
      </c>
      <c r="C227" s="5">
        <v>18</v>
      </c>
      <c r="D227" s="5">
        <v>10</v>
      </c>
      <c r="E227" s="4" t="str">
        <f t="shared" si="9"/>
        <v>OK</v>
      </c>
      <c r="F227" s="4"/>
      <c r="G227" s="4"/>
      <c r="H227" s="5">
        <f t="shared" si="10"/>
        <v>5</v>
      </c>
      <c r="I227" s="5">
        <f t="shared" si="11"/>
        <v>3.6</v>
      </c>
    </row>
    <row r="228" spans="1:9" ht="18" customHeight="1" x14ac:dyDescent="0.25">
      <c r="A228" s="2" t="s">
        <v>450</v>
      </c>
      <c r="B228" s="2" t="s">
        <v>451</v>
      </c>
      <c r="C228" s="3">
        <v>0</v>
      </c>
      <c r="D228" s="3">
        <v>6</v>
      </c>
      <c r="E228" s="2" t="str">
        <f t="shared" si="9"/>
        <v>REORDER NOW</v>
      </c>
      <c r="F228" s="2"/>
      <c r="G228" s="2"/>
      <c r="H228" s="3">
        <f t="shared" si="10"/>
        <v>3</v>
      </c>
      <c r="I228" s="3">
        <f t="shared" si="11"/>
        <v>0</v>
      </c>
    </row>
    <row r="229" spans="1:9" ht="18" customHeight="1" x14ac:dyDescent="0.25">
      <c r="A229" s="4" t="s">
        <v>452</v>
      </c>
      <c r="B229" s="4" t="s">
        <v>453</v>
      </c>
      <c r="C229" s="5">
        <v>28</v>
      </c>
      <c r="D229" s="5">
        <v>20</v>
      </c>
      <c r="E229" s="4" t="str">
        <f t="shared" si="9"/>
        <v>OK</v>
      </c>
      <c r="F229" s="4"/>
      <c r="G229" s="4"/>
      <c r="H229" s="5">
        <f t="shared" si="10"/>
        <v>10</v>
      </c>
      <c r="I229" s="5">
        <f t="shared" si="11"/>
        <v>2.8</v>
      </c>
    </row>
    <row r="230" spans="1:9" ht="18" customHeight="1" x14ac:dyDescent="0.25">
      <c r="A230" s="2" t="s">
        <v>454</v>
      </c>
      <c r="B230" s="2" t="s">
        <v>455</v>
      </c>
      <c r="C230" s="3">
        <v>1</v>
      </c>
      <c r="D230" s="3">
        <v>6</v>
      </c>
      <c r="E230" s="2" t="str">
        <f t="shared" si="9"/>
        <v>REORDER NOW</v>
      </c>
      <c r="F230" s="2"/>
      <c r="G230" s="2"/>
      <c r="H230" s="3">
        <f t="shared" si="10"/>
        <v>3</v>
      </c>
      <c r="I230" s="3">
        <f t="shared" si="11"/>
        <v>0.3</v>
      </c>
    </row>
    <row r="231" spans="1:9" ht="18" customHeight="1" x14ac:dyDescent="0.25">
      <c r="A231" s="4" t="s">
        <v>456</v>
      </c>
      <c r="B231" s="4" t="s">
        <v>457</v>
      </c>
      <c r="C231" s="5">
        <v>21</v>
      </c>
      <c r="D231" s="5">
        <v>20</v>
      </c>
      <c r="E231" s="4" t="str">
        <f t="shared" si="9"/>
        <v>OK</v>
      </c>
      <c r="F231" s="4"/>
      <c r="G231" s="4"/>
      <c r="H231" s="5">
        <f t="shared" si="10"/>
        <v>10</v>
      </c>
      <c r="I231" s="5">
        <f t="shared" si="11"/>
        <v>2.1</v>
      </c>
    </row>
    <row r="232" spans="1:9" ht="18" customHeight="1" x14ac:dyDescent="0.25">
      <c r="A232" s="2" t="s">
        <v>458</v>
      </c>
      <c r="B232" s="2" t="s">
        <v>459</v>
      </c>
      <c r="C232" s="3">
        <v>2</v>
      </c>
      <c r="D232" s="3">
        <v>6</v>
      </c>
      <c r="E232" s="2" t="str">
        <f t="shared" si="9"/>
        <v>REORDER NOW</v>
      </c>
      <c r="F232" s="2"/>
      <c r="G232" s="2"/>
      <c r="H232" s="3">
        <f t="shared" si="10"/>
        <v>3</v>
      </c>
      <c r="I232" s="3">
        <f t="shared" si="11"/>
        <v>0.7</v>
      </c>
    </row>
    <row r="233" spans="1:9" ht="18" customHeight="1" x14ac:dyDescent="0.25">
      <c r="A233" s="4" t="s">
        <v>460</v>
      </c>
      <c r="B233" s="4" t="s">
        <v>461</v>
      </c>
      <c r="C233" s="5">
        <v>11</v>
      </c>
      <c r="D233" s="5">
        <v>10</v>
      </c>
      <c r="E233" s="4" t="str">
        <f t="shared" si="9"/>
        <v>OK</v>
      </c>
      <c r="F233" s="4"/>
      <c r="G233" s="4"/>
      <c r="H233" s="5">
        <f t="shared" si="10"/>
        <v>5</v>
      </c>
      <c r="I233" s="5">
        <f t="shared" si="11"/>
        <v>2.2000000000000002</v>
      </c>
    </row>
    <row r="234" spans="1:9" ht="18" customHeight="1" x14ac:dyDescent="0.25">
      <c r="A234" s="2" t="s">
        <v>462</v>
      </c>
      <c r="B234" s="2" t="s">
        <v>463</v>
      </c>
      <c r="C234" s="3">
        <v>2</v>
      </c>
      <c r="D234" s="3">
        <v>6</v>
      </c>
      <c r="E234" s="2" t="str">
        <f t="shared" si="9"/>
        <v>REORDER NOW</v>
      </c>
      <c r="F234" s="2"/>
      <c r="G234" s="2"/>
      <c r="H234" s="3">
        <f t="shared" si="10"/>
        <v>3</v>
      </c>
      <c r="I234" s="3">
        <f t="shared" si="11"/>
        <v>0.7</v>
      </c>
    </row>
    <row r="235" spans="1:9" ht="18" customHeight="1" x14ac:dyDescent="0.25">
      <c r="A235" s="4" t="s">
        <v>464</v>
      </c>
      <c r="B235" s="4" t="s">
        <v>465</v>
      </c>
      <c r="C235" s="5">
        <v>0</v>
      </c>
      <c r="D235" s="5">
        <v>6</v>
      </c>
      <c r="E235" s="4" t="str">
        <f t="shared" si="9"/>
        <v>REORDER NOW</v>
      </c>
      <c r="F235" s="4"/>
      <c r="G235" s="4"/>
      <c r="H235" s="5">
        <f t="shared" si="10"/>
        <v>3</v>
      </c>
      <c r="I235" s="5">
        <f t="shared" si="11"/>
        <v>0</v>
      </c>
    </row>
    <row r="236" spans="1:9" ht="18" customHeight="1" x14ac:dyDescent="0.25">
      <c r="A236" s="2" t="s">
        <v>466</v>
      </c>
      <c r="B236" s="2" t="s">
        <v>467</v>
      </c>
      <c r="C236" s="3">
        <v>12</v>
      </c>
      <c r="D236" s="3">
        <v>10</v>
      </c>
      <c r="E236" s="2" t="str">
        <f t="shared" si="9"/>
        <v>OK</v>
      </c>
      <c r="F236" s="2"/>
      <c r="G236" s="2"/>
      <c r="H236" s="3">
        <f t="shared" si="10"/>
        <v>5</v>
      </c>
      <c r="I236" s="3">
        <f t="shared" si="11"/>
        <v>2.4</v>
      </c>
    </row>
    <row r="237" spans="1:9" ht="18" customHeight="1" x14ac:dyDescent="0.25">
      <c r="A237" s="4" t="s">
        <v>468</v>
      </c>
      <c r="B237" s="4" t="s">
        <v>469</v>
      </c>
      <c r="C237" s="5">
        <v>68</v>
      </c>
      <c r="D237" s="5">
        <v>40</v>
      </c>
      <c r="E237" s="4" t="str">
        <f t="shared" si="9"/>
        <v>OK</v>
      </c>
      <c r="F237" s="4"/>
      <c r="G237" s="4"/>
      <c r="H237" s="5">
        <f t="shared" si="10"/>
        <v>20</v>
      </c>
      <c r="I237" s="5">
        <f t="shared" si="11"/>
        <v>3.4</v>
      </c>
    </row>
    <row r="238" spans="1:9" ht="18" customHeight="1" x14ac:dyDescent="0.25">
      <c r="A238" s="2" t="s">
        <v>470</v>
      </c>
      <c r="B238" s="2" t="s">
        <v>471</v>
      </c>
      <c r="C238" s="3">
        <v>9</v>
      </c>
      <c r="D238" s="3">
        <v>10</v>
      </c>
      <c r="E238" s="2" t="str">
        <f t="shared" si="9"/>
        <v>REORDER NOW</v>
      </c>
      <c r="F238" s="2"/>
      <c r="G238" s="2"/>
      <c r="H238" s="3">
        <f t="shared" si="10"/>
        <v>5</v>
      </c>
      <c r="I238" s="3">
        <f t="shared" si="11"/>
        <v>1.8</v>
      </c>
    </row>
    <row r="239" spans="1:9" ht="18" customHeight="1" x14ac:dyDescent="0.25">
      <c r="A239" s="4" t="s">
        <v>472</v>
      </c>
      <c r="B239" s="4" t="s">
        <v>473</v>
      </c>
      <c r="C239" s="5">
        <v>0</v>
      </c>
      <c r="D239" s="5">
        <v>6</v>
      </c>
      <c r="E239" s="4" t="str">
        <f t="shared" si="9"/>
        <v>REORDER NOW</v>
      </c>
      <c r="F239" s="4"/>
      <c r="G239" s="4"/>
      <c r="H239" s="5">
        <f t="shared" si="10"/>
        <v>3</v>
      </c>
      <c r="I239" s="5">
        <f t="shared" si="11"/>
        <v>0</v>
      </c>
    </row>
    <row r="240" spans="1:9" ht="18" customHeight="1" x14ac:dyDescent="0.25">
      <c r="A240" s="2" t="s">
        <v>474</v>
      </c>
      <c r="B240" s="2" t="s">
        <v>475</v>
      </c>
      <c r="C240" s="3">
        <v>0</v>
      </c>
      <c r="D240" s="3">
        <v>6</v>
      </c>
      <c r="E240" s="2" t="str">
        <f t="shared" si="9"/>
        <v>REORDER NOW</v>
      </c>
      <c r="F240" s="2"/>
      <c r="G240" s="2"/>
      <c r="H240" s="3">
        <f t="shared" si="10"/>
        <v>3</v>
      </c>
      <c r="I240" s="3">
        <f t="shared" si="11"/>
        <v>0</v>
      </c>
    </row>
    <row r="241" spans="1:9" ht="18" customHeight="1" x14ac:dyDescent="0.25">
      <c r="A241" s="4" t="s">
        <v>476</v>
      </c>
      <c r="B241" s="4" t="s">
        <v>477</v>
      </c>
      <c r="C241" s="5">
        <v>0</v>
      </c>
      <c r="D241" s="5">
        <v>6</v>
      </c>
      <c r="E241" s="4" t="str">
        <f t="shared" si="9"/>
        <v>REORDER NOW</v>
      </c>
      <c r="F241" s="4"/>
      <c r="G241" s="4"/>
      <c r="H241" s="5">
        <f t="shared" si="10"/>
        <v>3</v>
      </c>
      <c r="I241" s="5">
        <f t="shared" si="11"/>
        <v>0</v>
      </c>
    </row>
    <row r="242" spans="1:9" ht="18" customHeight="1" x14ac:dyDescent="0.25">
      <c r="A242" s="2" t="s">
        <v>478</v>
      </c>
      <c r="B242" s="2" t="s">
        <v>479</v>
      </c>
      <c r="C242" s="3">
        <v>1</v>
      </c>
      <c r="D242" s="3">
        <v>6</v>
      </c>
      <c r="E242" s="2" t="str">
        <f t="shared" si="9"/>
        <v>REORDER NOW</v>
      </c>
      <c r="F242" s="2"/>
      <c r="G242" s="2"/>
      <c r="H242" s="3">
        <f t="shared" si="10"/>
        <v>3</v>
      </c>
      <c r="I242" s="3">
        <f t="shared" si="11"/>
        <v>0.3</v>
      </c>
    </row>
    <row r="243" spans="1:9" ht="18" customHeight="1" x14ac:dyDescent="0.25">
      <c r="A243" s="4" t="s">
        <v>480</v>
      </c>
      <c r="B243" s="4" t="s">
        <v>481</v>
      </c>
      <c r="C243" s="5">
        <v>0</v>
      </c>
      <c r="D243" s="5">
        <v>6</v>
      </c>
      <c r="E243" s="4" t="str">
        <f t="shared" si="9"/>
        <v>REORDER NOW</v>
      </c>
      <c r="F243" s="4"/>
      <c r="G243" s="4"/>
      <c r="H243" s="5">
        <f t="shared" si="10"/>
        <v>3</v>
      </c>
      <c r="I243" s="5">
        <f t="shared" si="11"/>
        <v>0</v>
      </c>
    </row>
    <row r="244" spans="1:9" ht="18" customHeight="1" x14ac:dyDescent="0.25">
      <c r="A244" s="2" t="s">
        <v>482</v>
      </c>
      <c r="B244" s="2" t="s">
        <v>483</v>
      </c>
      <c r="C244" s="3">
        <v>6</v>
      </c>
      <c r="D244" s="3">
        <v>10</v>
      </c>
      <c r="E244" s="2" t="str">
        <f t="shared" si="9"/>
        <v>REORDER NOW</v>
      </c>
      <c r="F244" s="2"/>
      <c r="G244" s="2"/>
      <c r="H244" s="3">
        <f t="shared" si="10"/>
        <v>5</v>
      </c>
      <c r="I244" s="3">
        <f t="shared" si="11"/>
        <v>1.2</v>
      </c>
    </row>
    <row r="245" spans="1:9" ht="18" customHeight="1" x14ac:dyDescent="0.25">
      <c r="A245" s="4" t="s">
        <v>484</v>
      </c>
      <c r="B245" s="4" t="s">
        <v>485</v>
      </c>
      <c r="C245" s="5">
        <v>4</v>
      </c>
      <c r="D245" s="5">
        <v>6</v>
      </c>
      <c r="E245" s="4" t="str">
        <f t="shared" si="9"/>
        <v>REORDER NOW</v>
      </c>
      <c r="F245" s="4"/>
      <c r="G245" s="4"/>
      <c r="H245" s="5">
        <f t="shared" si="10"/>
        <v>3</v>
      </c>
      <c r="I245" s="5">
        <f t="shared" si="11"/>
        <v>1.3</v>
      </c>
    </row>
    <row r="246" spans="1:9" ht="18" customHeight="1" x14ac:dyDescent="0.25">
      <c r="A246" s="2" t="s">
        <v>486</v>
      </c>
      <c r="B246" s="2" t="s">
        <v>487</v>
      </c>
      <c r="C246" s="3">
        <v>250</v>
      </c>
      <c r="D246" s="3">
        <v>100</v>
      </c>
      <c r="E246" s="2" t="str">
        <f t="shared" si="9"/>
        <v>OK</v>
      </c>
      <c r="F246" s="2"/>
      <c r="G246" s="2"/>
      <c r="H246" s="3">
        <f t="shared" si="10"/>
        <v>50</v>
      </c>
      <c r="I246" s="3">
        <f t="shared" si="11"/>
        <v>5</v>
      </c>
    </row>
    <row r="247" spans="1:9" ht="18" customHeight="1" x14ac:dyDescent="0.25">
      <c r="A247" s="4" t="s">
        <v>488</v>
      </c>
      <c r="B247" s="4" t="s">
        <v>489</v>
      </c>
      <c r="C247" s="5">
        <v>390</v>
      </c>
      <c r="D247" s="5">
        <v>100</v>
      </c>
      <c r="E247" s="4" t="str">
        <f t="shared" si="9"/>
        <v>OK</v>
      </c>
      <c r="F247" s="4"/>
      <c r="G247" s="4"/>
      <c r="H247" s="5">
        <f t="shared" si="10"/>
        <v>50</v>
      </c>
      <c r="I247" s="5">
        <f t="shared" si="11"/>
        <v>7.8</v>
      </c>
    </row>
    <row r="248" spans="1:9" ht="18" customHeight="1" x14ac:dyDescent="0.25">
      <c r="A248" s="2" t="s">
        <v>490</v>
      </c>
      <c r="B248" s="2" t="s">
        <v>491</v>
      </c>
      <c r="C248" s="3">
        <v>0</v>
      </c>
      <c r="D248" s="3">
        <v>6</v>
      </c>
      <c r="E248" s="2" t="str">
        <f t="shared" si="9"/>
        <v>REORDER NOW</v>
      </c>
      <c r="F248" s="2"/>
      <c r="G248" s="2"/>
      <c r="H248" s="3">
        <f t="shared" si="10"/>
        <v>3</v>
      </c>
      <c r="I248" s="3">
        <f t="shared" si="11"/>
        <v>0</v>
      </c>
    </row>
    <row r="249" spans="1:9" ht="18" customHeight="1" x14ac:dyDescent="0.25">
      <c r="A249" s="4" t="s">
        <v>492</v>
      </c>
      <c r="B249" s="4" t="s">
        <v>493</v>
      </c>
      <c r="C249" s="5">
        <v>0</v>
      </c>
      <c r="D249" s="5">
        <v>6</v>
      </c>
      <c r="E249" s="4" t="str">
        <f t="shared" si="9"/>
        <v>REORDER NOW</v>
      </c>
      <c r="F249" s="4"/>
      <c r="G249" s="4"/>
      <c r="H249" s="5">
        <f t="shared" si="10"/>
        <v>3</v>
      </c>
      <c r="I249" s="5">
        <f t="shared" si="11"/>
        <v>0</v>
      </c>
    </row>
    <row r="250" spans="1:9" ht="18" customHeight="1" x14ac:dyDescent="0.25">
      <c r="A250" s="2" t="s">
        <v>494</v>
      </c>
      <c r="B250" s="2" t="s">
        <v>495</v>
      </c>
      <c r="C250" s="3">
        <v>0</v>
      </c>
      <c r="D250" s="3">
        <v>6</v>
      </c>
      <c r="E250" s="2" t="str">
        <f t="shared" si="9"/>
        <v>REORDER NOW</v>
      </c>
      <c r="F250" s="2"/>
      <c r="G250" s="2"/>
      <c r="H250" s="3">
        <f t="shared" si="10"/>
        <v>3</v>
      </c>
      <c r="I250" s="3">
        <f t="shared" si="11"/>
        <v>0</v>
      </c>
    </row>
    <row r="251" spans="1:9" ht="18" customHeight="1" x14ac:dyDescent="0.25">
      <c r="A251" s="4" t="s">
        <v>496</v>
      </c>
      <c r="B251" s="4" t="s">
        <v>497</v>
      </c>
      <c r="C251" s="5">
        <v>5</v>
      </c>
      <c r="D251" s="5">
        <v>6</v>
      </c>
      <c r="E251" s="4" t="str">
        <f t="shared" si="9"/>
        <v>REORDER NOW</v>
      </c>
      <c r="F251" s="4"/>
      <c r="G251" s="4"/>
      <c r="H251" s="5">
        <f t="shared" si="10"/>
        <v>3</v>
      </c>
      <c r="I251" s="5">
        <f t="shared" si="11"/>
        <v>1.7</v>
      </c>
    </row>
    <row r="252" spans="1:9" ht="18" customHeight="1" x14ac:dyDescent="0.25">
      <c r="A252" s="2" t="s">
        <v>498</v>
      </c>
      <c r="B252" s="2" t="s">
        <v>499</v>
      </c>
      <c r="C252" s="3">
        <v>1</v>
      </c>
      <c r="D252" s="3">
        <v>6</v>
      </c>
      <c r="E252" s="2" t="str">
        <f t="shared" si="9"/>
        <v>REORDER NOW</v>
      </c>
      <c r="F252" s="2"/>
      <c r="G252" s="2"/>
      <c r="H252" s="3">
        <f t="shared" si="10"/>
        <v>3</v>
      </c>
      <c r="I252" s="3">
        <f t="shared" si="11"/>
        <v>0.3</v>
      </c>
    </row>
    <row r="253" spans="1:9" ht="18" customHeight="1" x14ac:dyDescent="0.25">
      <c r="A253" s="4" t="s">
        <v>500</v>
      </c>
      <c r="B253" s="4" t="s">
        <v>501</v>
      </c>
      <c r="C253" s="5">
        <v>14</v>
      </c>
      <c r="D253" s="5">
        <v>10</v>
      </c>
      <c r="E253" s="4" t="str">
        <f t="shared" si="9"/>
        <v>OK</v>
      </c>
      <c r="F253" s="4"/>
      <c r="G253" s="4"/>
      <c r="H253" s="5">
        <f t="shared" si="10"/>
        <v>5</v>
      </c>
      <c r="I253" s="5">
        <f t="shared" si="11"/>
        <v>2.8</v>
      </c>
    </row>
    <row r="254" spans="1:9" ht="18" customHeight="1" x14ac:dyDescent="0.25">
      <c r="A254" s="2" t="s">
        <v>502</v>
      </c>
      <c r="B254" s="2" t="s">
        <v>503</v>
      </c>
      <c r="C254" s="3">
        <v>4</v>
      </c>
      <c r="D254" s="3">
        <v>6</v>
      </c>
      <c r="E254" s="2" t="str">
        <f t="shared" si="9"/>
        <v>REORDER NOW</v>
      </c>
      <c r="F254" s="2"/>
      <c r="G254" s="2"/>
      <c r="H254" s="3">
        <f t="shared" si="10"/>
        <v>3</v>
      </c>
      <c r="I254" s="3">
        <f t="shared" si="11"/>
        <v>1.3</v>
      </c>
    </row>
    <row r="255" spans="1:9" ht="18" customHeight="1" x14ac:dyDescent="0.25">
      <c r="A255" s="4" t="s">
        <v>504</v>
      </c>
      <c r="B255" s="4" t="s">
        <v>505</v>
      </c>
      <c r="C255" s="5">
        <v>0</v>
      </c>
      <c r="D255" s="5">
        <v>6</v>
      </c>
      <c r="E255" s="4" t="str">
        <f t="shared" si="9"/>
        <v>REORDER NOW</v>
      </c>
      <c r="F255" s="4"/>
      <c r="G255" s="4"/>
      <c r="H255" s="5">
        <f t="shared" si="10"/>
        <v>3</v>
      </c>
      <c r="I255" s="5">
        <f t="shared" si="11"/>
        <v>0</v>
      </c>
    </row>
    <row r="256" spans="1:9" ht="18" customHeight="1" x14ac:dyDescent="0.25">
      <c r="A256" s="2" t="s">
        <v>506</v>
      </c>
      <c r="B256" s="2" t="s">
        <v>507</v>
      </c>
      <c r="C256" s="3">
        <v>251</v>
      </c>
      <c r="D256" s="3">
        <v>100</v>
      </c>
      <c r="E256" s="2" t="str">
        <f t="shared" si="9"/>
        <v>OK</v>
      </c>
      <c r="F256" s="2"/>
      <c r="G256" s="2"/>
      <c r="H256" s="3">
        <f t="shared" si="10"/>
        <v>50</v>
      </c>
      <c r="I256" s="3">
        <f t="shared" si="11"/>
        <v>5</v>
      </c>
    </row>
    <row r="257" spans="1:9" ht="18" customHeight="1" x14ac:dyDescent="0.25">
      <c r="A257" s="4" t="s">
        <v>508</v>
      </c>
      <c r="B257" s="4" t="s">
        <v>509</v>
      </c>
      <c r="C257" s="5">
        <v>0</v>
      </c>
      <c r="D257" s="5">
        <v>6</v>
      </c>
      <c r="E257" s="4" t="str">
        <f t="shared" si="9"/>
        <v>REORDER NOW</v>
      </c>
      <c r="F257" s="4"/>
      <c r="G257" s="4"/>
      <c r="H257" s="5">
        <f t="shared" si="10"/>
        <v>3</v>
      </c>
      <c r="I257" s="5">
        <f t="shared" si="11"/>
        <v>0</v>
      </c>
    </row>
    <row r="258" spans="1:9" ht="18" customHeight="1" x14ac:dyDescent="0.25">
      <c r="A258" s="2" t="s">
        <v>510</v>
      </c>
      <c r="B258" s="2" t="s">
        <v>511</v>
      </c>
      <c r="C258" s="3">
        <v>0</v>
      </c>
      <c r="D258" s="3">
        <v>6</v>
      </c>
      <c r="E258" s="2" t="str">
        <f t="shared" si="9"/>
        <v>REORDER NOW</v>
      </c>
      <c r="F258" s="2"/>
      <c r="G258" s="2"/>
      <c r="H258" s="3">
        <f t="shared" si="10"/>
        <v>3</v>
      </c>
      <c r="I258" s="3">
        <f t="shared" si="11"/>
        <v>0</v>
      </c>
    </row>
    <row r="259" spans="1:9" ht="18" customHeight="1" x14ac:dyDescent="0.25">
      <c r="A259" s="4" t="s">
        <v>512</v>
      </c>
      <c r="B259" s="4" t="s">
        <v>513</v>
      </c>
      <c r="C259" s="5">
        <v>19</v>
      </c>
      <c r="D259" s="5">
        <v>10</v>
      </c>
      <c r="E259" s="4" t="str">
        <f t="shared" si="9"/>
        <v>OK</v>
      </c>
      <c r="F259" s="4"/>
      <c r="G259" s="4"/>
      <c r="H259" s="5">
        <f t="shared" si="10"/>
        <v>5</v>
      </c>
      <c r="I259" s="5">
        <f t="shared" si="11"/>
        <v>3.8</v>
      </c>
    </row>
    <row r="260" spans="1:9" ht="18" customHeight="1" x14ac:dyDescent="0.25">
      <c r="A260" s="2" t="s">
        <v>514</v>
      </c>
      <c r="B260" s="2" t="s">
        <v>515</v>
      </c>
      <c r="C260" s="3">
        <v>0</v>
      </c>
      <c r="D260" s="3">
        <v>6</v>
      </c>
      <c r="E260" s="2" t="str">
        <f t="shared" ref="E260:E323" si="12">IF(C260&lt;=D260,"REORDER NOW","OK")</f>
        <v>REORDER NOW</v>
      </c>
      <c r="F260" s="2"/>
      <c r="G260" s="2"/>
      <c r="H260" s="3">
        <f t="shared" ref="H260:H323" si="13">D260/2</f>
        <v>3</v>
      </c>
      <c r="I260" s="3">
        <f t="shared" ref="I260:I323" si="14">IF(H260=0,"N/A",ROUND(C260/H260,1))</f>
        <v>0</v>
      </c>
    </row>
    <row r="261" spans="1:9" ht="18" customHeight="1" x14ac:dyDescent="0.25">
      <c r="A261" s="4" t="s">
        <v>516</v>
      </c>
      <c r="B261" s="4" t="s">
        <v>517</v>
      </c>
      <c r="C261" s="5">
        <v>1</v>
      </c>
      <c r="D261" s="5">
        <v>6</v>
      </c>
      <c r="E261" s="4" t="str">
        <f t="shared" si="12"/>
        <v>REORDER NOW</v>
      </c>
      <c r="F261" s="4"/>
      <c r="G261" s="4"/>
      <c r="H261" s="5">
        <f t="shared" si="13"/>
        <v>3</v>
      </c>
      <c r="I261" s="5">
        <f t="shared" si="14"/>
        <v>0.3</v>
      </c>
    </row>
    <row r="262" spans="1:9" ht="18" customHeight="1" x14ac:dyDescent="0.25">
      <c r="A262" s="2" t="s">
        <v>518</v>
      </c>
      <c r="B262" s="2" t="s">
        <v>519</v>
      </c>
      <c r="C262" s="3">
        <v>6</v>
      </c>
      <c r="D262" s="3">
        <v>10</v>
      </c>
      <c r="E262" s="2" t="str">
        <f t="shared" si="12"/>
        <v>REORDER NOW</v>
      </c>
      <c r="F262" s="2"/>
      <c r="G262" s="2"/>
      <c r="H262" s="3">
        <f t="shared" si="13"/>
        <v>5</v>
      </c>
      <c r="I262" s="3">
        <f t="shared" si="14"/>
        <v>1.2</v>
      </c>
    </row>
    <row r="263" spans="1:9" ht="18" customHeight="1" x14ac:dyDescent="0.25">
      <c r="A263" s="4" t="s">
        <v>520</v>
      </c>
      <c r="B263" s="4" t="s">
        <v>521</v>
      </c>
      <c r="C263" s="5">
        <v>194</v>
      </c>
      <c r="D263" s="5">
        <v>100</v>
      </c>
      <c r="E263" s="4" t="str">
        <f t="shared" si="12"/>
        <v>OK</v>
      </c>
      <c r="F263" s="4"/>
      <c r="G263" s="4"/>
      <c r="H263" s="5">
        <f t="shared" si="13"/>
        <v>50</v>
      </c>
      <c r="I263" s="5">
        <f t="shared" si="14"/>
        <v>3.9</v>
      </c>
    </row>
    <row r="264" spans="1:9" ht="18" customHeight="1" x14ac:dyDescent="0.25">
      <c r="A264" s="2" t="s">
        <v>522</v>
      </c>
      <c r="B264" s="2" t="s">
        <v>523</v>
      </c>
      <c r="C264" s="3">
        <v>0</v>
      </c>
      <c r="D264" s="3">
        <v>6</v>
      </c>
      <c r="E264" s="2" t="str">
        <f t="shared" si="12"/>
        <v>REORDER NOW</v>
      </c>
      <c r="F264" s="2"/>
      <c r="G264" s="2"/>
      <c r="H264" s="3">
        <f t="shared" si="13"/>
        <v>3</v>
      </c>
      <c r="I264" s="3">
        <f t="shared" si="14"/>
        <v>0</v>
      </c>
    </row>
    <row r="265" spans="1:9" ht="18" customHeight="1" x14ac:dyDescent="0.25">
      <c r="A265" s="4" t="s">
        <v>524</v>
      </c>
      <c r="B265" s="4" t="s">
        <v>525</v>
      </c>
      <c r="C265" s="5">
        <v>2</v>
      </c>
      <c r="D265" s="5">
        <v>6</v>
      </c>
      <c r="E265" s="4" t="str">
        <f t="shared" si="12"/>
        <v>REORDER NOW</v>
      </c>
      <c r="F265" s="4"/>
      <c r="G265" s="4"/>
      <c r="H265" s="5">
        <f t="shared" si="13"/>
        <v>3</v>
      </c>
      <c r="I265" s="5">
        <f t="shared" si="14"/>
        <v>0.7</v>
      </c>
    </row>
    <row r="266" spans="1:9" ht="18" customHeight="1" x14ac:dyDescent="0.25">
      <c r="A266" s="2" t="s">
        <v>526</v>
      </c>
      <c r="B266" s="2" t="s">
        <v>527</v>
      </c>
      <c r="C266" s="3">
        <v>0</v>
      </c>
      <c r="D266" s="3">
        <v>6</v>
      </c>
      <c r="E266" s="2" t="str">
        <f t="shared" si="12"/>
        <v>REORDER NOW</v>
      </c>
      <c r="F266" s="2"/>
      <c r="G266" s="2"/>
      <c r="H266" s="3">
        <f t="shared" si="13"/>
        <v>3</v>
      </c>
      <c r="I266" s="3">
        <f t="shared" si="14"/>
        <v>0</v>
      </c>
    </row>
    <row r="267" spans="1:9" ht="18" customHeight="1" x14ac:dyDescent="0.25">
      <c r="A267" s="4" t="s">
        <v>528</v>
      </c>
      <c r="B267" s="4" t="s">
        <v>529</v>
      </c>
      <c r="C267" s="5">
        <v>0</v>
      </c>
      <c r="D267" s="5">
        <v>6</v>
      </c>
      <c r="E267" s="4" t="str">
        <f t="shared" si="12"/>
        <v>REORDER NOW</v>
      </c>
      <c r="F267" s="4"/>
      <c r="G267" s="4"/>
      <c r="H267" s="5">
        <f t="shared" si="13"/>
        <v>3</v>
      </c>
      <c r="I267" s="5">
        <f t="shared" si="14"/>
        <v>0</v>
      </c>
    </row>
    <row r="268" spans="1:9" ht="18" customHeight="1" x14ac:dyDescent="0.25">
      <c r="A268" s="2" t="s">
        <v>530</v>
      </c>
      <c r="B268" s="2" t="s">
        <v>531</v>
      </c>
      <c r="C268" s="3">
        <v>0</v>
      </c>
      <c r="D268" s="3">
        <v>6</v>
      </c>
      <c r="E268" s="2" t="str">
        <f t="shared" si="12"/>
        <v>REORDER NOW</v>
      </c>
      <c r="F268" s="2"/>
      <c r="G268" s="2"/>
      <c r="H268" s="3">
        <f t="shared" si="13"/>
        <v>3</v>
      </c>
      <c r="I268" s="3">
        <f t="shared" si="14"/>
        <v>0</v>
      </c>
    </row>
    <row r="269" spans="1:9" ht="18" customHeight="1" x14ac:dyDescent="0.25">
      <c r="A269" s="4" t="s">
        <v>532</v>
      </c>
      <c r="B269" s="4" t="s">
        <v>533</v>
      </c>
      <c r="C269" s="5">
        <v>0</v>
      </c>
      <c r="D269" s="5">
        <v>6</v>
      </c>
      <c r="E269" s="4" t="str">
        <f t="shared" si="12"/>
        <v>REORDER NOW</v>
      </c>
      <c r="F269" s="4"/>
      <c r="G269" s="4"/>
      <c r="H269" s="5">
        <f t="shared" si="13"/>
        <v>3</v>
      </c>
      <c r="I269" s="5">
        <f t="shared" si="14"/>
        <v>0</v>
      </c>
    </row>
    <row r="270" spans="1:9" ht="18" customHeight="1" x14ac:dyDescent="0.25">
      <c r="A270" s="2" t="s">
        <v>534</v>
      </c>
      <c r="B270" s="2" t="s">
        <v>535</v>
      </c>
      <c r="C270" s="3">
        <v>0</v>
      </c>
      <c r="D270" s="3">
        <v>6</v>
      </c>
      <c r="E270" s="2" t="str">
        <f t="shared" si="12"/>
        <v>REORDER NOW</v>
      </c>
      <c r="F270" s="2"/>
      <c r="G270" s="2"/>
      <c r="H270" s="3">
        <f t="shared" si="13"/>
        <v>3</v>
      </c>
      <c r="I270" s="3">
        <f t="shared" si="14"/>
        <v>0</v>
      </c>
    </row>
    <row r="271" spans="1:9" ht="18" customHeight="1" x14ac:dyDescent="0.25">
      <c r="A271" s="4" t="s">
        <v>536</v>
      </c>
      <c r="B271" s="4" t="s">
        <v>537</v>
      </c>
      <c r="C271" s="5">
        <v>3</v>
      </c>
      <c r="D271" s="5">
        <v>6</v>
      </c>
      <c r="E271" s="4" t="str">
        <f t="shared" si="12"/>
        <v>REORDER NOW</v>
      </c>
      <c r="F271" s="4"/>
      <c r="G271" s="4"/>
      <c r="H271" s="5">
        <f t="shared" si="13"/>
        <v>3</v>
      </c>
      <c r="I271" s="5">
        <f t="shared" si="14"/>
        <v>1</v>
      </c>
    </row>
    <row r="272" spans="1:9" ht="18" customHeight="1" x14ac:dyDescent="0.25">
      <c r="A272" s="2" t="s">
        <v>538</v>
      </c>
      <c r="B272" s="2" t="s">
        <v>539</v>
      </c>
      <c r="C272" s="3">
        <v>2</v>
      </c>
      <c r="D272" s="3">
        <v>6</v>
      </c>
      <c r="E272" s="2" t="str">
        <f t="shared" si="12"/>
        <v>REORDER NOW</v>
      </c>
      <c r="F272" s="2"/>
      <c r="G272" s="2"/>
      <c r="H272" s="3">
        <f t="shared" si="13"/>
        <v>3</v>
      </c>
      <c r="I272" s="3">
        <f t="shared" si="14"/>
        <v>0.7</v>
      </c>
    </row>
    <row r="273" spans="1:9" ht="18" customHeight="1" x14ac:dyDescent="0.25">
      <c r="A273" s="4" t="s">
        <v>540</v>
      </c>
      <c r="B273" s="4" t="s">
        <v>541</v>
      </c>
      <c r="C273" s="5">
        <v>0</v>
      </c>
      <c r="D273" s="5">
        <v>6</v>
      </c>
      <c r="E273" s="4" t="str">
        <f t="shared" si="12"/>
        <v>REORDER NOW</v>
      </c>
      <c r="F273" s="4"/>
      <c r="G273" s="4"/>
      <c r="H273" s="5">
        <f t="shared" si="13"/>
        <v>3</v>
      </c>
      <c r="I273" s="5">
        <f t="shared" si="14"/>
        <v>0</v>
      </c>
    </row>
    <row r="274" spans="1:9" ht="18" customHeight="1" x14ac:dyDescent="0.25">
      <c r="A274" s="2" t="s">
        <v>542</v>
      </c>
      <c r="B274" s="2" t="s">
        <v>543</v>
      </c>
      <c r="C274" s="3">
        <v>6</v>
      </c>
      <c r="D274" s="3">
        <v>10</v>
      </c>
      <c r="E274" s="2" t="str">
        <f t="shared" si="12"/>
        <v>REORDER NOW</v>
      </c>
      <c r="F274" s="2"/>
      <c r="G274" s="2"/>
      <c r="H274" s="3">
        <f t="shared" si="13"/>
        <v>5</v>
      </c>
      <c r="I274" s="3">
        <f t="shared" si="14"/>
        <v>1.2</v>
      </c>
    </row>
    <row r="275" spans="1:9" ht="18" customHeight="1" x14ac:dyDescent="0.25">
      <c r="A275" s="4" t="s">
        <v>544</v>
      </c>
      <c r="B275" s="4" t="s">
        <v>545</v>
      </c>
      <c r="C275" s="5">
        <v>0</v>
      </c>
      <c r="D275" s="5">
        <v>6</v>
      </c>
      <c r="E275" s="4" t="str">
        <f t="shared" si="12"/>
        <v>REORDER NOW</v>
      </c>
      <c r="F275" s="4"/>
      <c r="G275" s="4"/>
      <c r="H275" s="5">
        <f t="shared" si="13"/>
        <v>3</v>
      </c>
      <c r="I275" s="5">
        <f t="shared" si="14"/>
        <v>0</v>
      </c>
    </row>
    <row r="276" spans="1:9" ht="18" customHeight="1" x14ac:dyDescent="0.25">
      <c r="A276" s="2" t="s">
        <v>546</v>
      </c>
      <c r="B276" s="2" t="s">
        <v>547</v>
      </c>
      <c r="C276" s="3">
        <v>0</v>
      </c>
      <c r="D276" s="3">
        <v>6</v>
      </c>
      <c r="E276" s="2" t="str">
        <f t="shared" si="12"/>
        <v>REORDER NOW</v>
      </c>
      <c r="F276" s="2"/>
      <c r="G276" s="2"/>
      <c r="H276" s="3">
        <f t="shared" si="13"/>
        <v>3</v>
      </c>
      <c r="I276" s="3">
        <f t="shared" si="14"/>
        <v>0</v>
      </c>
    </row>
    <row r="277" spans="1:9" ht="18" customHeight="1" x14ac:dyDescent="0.25">
      <c r="A277" s="4" t="s">
        <v>548</v>
      </c>
      <c r="B277" s="4" t="s">
        <v>549</v>
      </c>
      <c r="C277" s="5">
        <v>0</v>
      </c>
      <c r="D277" s="5">
        <v>6</v>
      </c>
      <c r="E277" s="4" t="str">
        <f t="shared" si="12"/>
        <v>REORDER NOW</v>
      </c>
      <c r="F277" s="4"/>
      <c r="G277" s="4"/>
      <c r="H277" s="5">
        <f t="shared" si="13"/>
        <v>3</v>
      </c>
      <c r="I277" s="5">
        <f t="shared" si="14"/>
        <v>0</v>
      </c>
    </row>
    <row r="278" spans="1:9" ht="18" customHeight="1" x14ac:dyDescent="0.25">
      <c r="A278" s="2" t="s">
        <v>550</v>
      </c>
      <c r="B278" s="2" t="s">
        <v>551</v>
      </c>
      <c r="C278" s="3">
        <v>0</v>
      </c>
      <c r="D278" s="3">
        <v>6</v>
      </c>
      <c r="E278" s="2" t="str">
        <f t="shared" si="12"/>
        <v>REORDER NOW</v>
      </c>
      <c r="F278" s="2"/>
      <c r="G278" s="2"/>
      <c r="H278" s="3">
        <f t="shared" si="13"/>
        <v>3</v>
      </c>
      <c r="I278" s="3">
        <f t="shared" si="14"/>
        <v>0</v>
      </c>
    </row>
    <row r="279" spans="1:9" ht="18" customHeight="1" x14ac:dyDescent="0.25">
      <c r="A279" s="4" t="s">
        <v>552</v>
      </c>
      <c r="B279" s="4" t="s">
        <v>553</v>
      </c>
      <c r="C279" s="5">
        <v>0</v>
      </c>
      <c r="D279" s="5">
        <v>6</v>
      </c>
      <c r="E279" s="4" t="str">
        <f t="shared" si="12"/>
        <v>REORDER NOW</v>
      </c>
      <c r="F279" s="4"/>
      <c r="G279" s="4"/>
      <c r="H279" s="5">
        <f t="shared" si="13"/>
        <v>3</v>
      </c>
      <c r="I279" s="5">
        <f t="shared" si="14"/>
        <v>0</v>
      </c>
    </row>
    <row r="280" spans="1:9" ht="18" customHeight="1" x14ac:dyDescent="0.25">
      <c r="A280" s="2" t="s">
        <v>554</v>
      </c>
      <c r="B280" s="2" t="s">
        <v>555</v>
      </c>
      <c r="C280" s="3">
        <v>0</v>
      </c>
      <c r="D280" s="3">
        <v>6</v>
      </c>
      <c r="E280" s="2" t="str">
        <f t="shared" si="12"/>
        <v>REORDER NOW</v>
      </c>
      <c r="F280" s="2"/>
      <c r="G280" s="2"/>
      <c r="H280" s="3">
        <f t="shared" si="13"/>
        <v>3</v>
      </c>
      <c r="I280" s="3">
        <f t="shared" si="14"/>
        <v>0</v>
      </c>
    </row>
    <row r="281" spans="1:9" ht="18" customHeight="1" x14ac:dyDescent="0.25">
      <c r="A281" s="4" t="s">
        <v>556</v>
      </c>
      <c r="B281" s="4" t="s">
        <v>557</v>
      </c>
      <c r="C281" s="5">
        <v>5</v>
      </c>
      <c r="D281" s="5">
        <v>6</v>
      </c>
      <c r="E281" s="4" t="str">
        <f t="shared" si="12"/>
        <v>REORDER NOW</v>
      </c>
      <c r="F281" s="4"/>
      <c r="G281" s="4"/>
      <c r="H281" s="5">
        <f t="shared" si="13"/>
        <v>3</v>
      </c>
      <c r="I281" s="5">
        <f t="shared" si="14"/>
        <v>1.7</v>
      </c>
    </row>
    <row r="282" spans="1:9" ht="18" customHeight="1" x14ac:dyDescent="0.25">
      <c r="A282" s="2" t="s">
        <v>558</v>
      </c>
      <c r="B282" s="2" t="s">
        <v>559</v>
      </c>
      <c r="C282" s="3">
        <v>2</v>
      </c>
      <c r="D282" s="3">
        <v>6</v>
      </c>
      <c r="E282" s="2" t="str">
        <f t="shared" si="12"/>
        <v>REORDER NOW</v>
      </c>
      <c r="F282" s="2"/>
      <c r="G282" s="2"/>
      <c r="H282" s="3">
        <f t="shared" si="13"/>
        <v>3</v>
      </c>
      <c r="I282" s="3">
        <f t="shared" si="14"/>
        <v>0.7</v>
      </c>
    </row>
    <row r="283" spans="1:9" ht="18" customHeight="1" x14ac:dyDescent="0.25">
      <c r="A283" s="4" t="s">
        <v>560</v>
      </c>
      <c r="B283" s="4" t="s">
        <v>561</v>
      </c>
      <c r="C283" s="5">
        <v>0</v>
      </c>
      <c r="D283" s="5">
        <v>6</v>
      </c>
      <c r="E283" s="4" t="str">
        <f t="shared" si="12"/>
        <v>REORDER NOW</v>
      </c>
      <c r="F283" s="4"/>
      <c r="G283" s="4"/>
      <c r="H283" s="5">
        <f t="shared" si="13"/>
        <v>3</v>
      </c>
      <c r="I283" s="5">
        <f t="shared" si="14"/>
        <v>0</v>
      </c>
    </row>
    <row r="284" spans="1:9" ht="18" customHeight="1" x14ac:dyDescent="0.25">
      <c r="A284" s="2" t="s">
        <v>562</v>
      </c>
      <c r="B284" s="2" t="s">
        <v>563</v>
      </c>
      <c r="C284" s="3">
        <v>0</v>
      </c>
      <c r="D284" s="3">
        <v>6</v>
      </c>
      <c r="E284" s="2" t="str">
        <f t="shared" si="12"/>
        <v>REORDER NOW</v>
      </c>
      <c r="F284" s="2"/>
      <c r="G284" s="2"/>
      <c r="H284" s="3">
        <f t="shared" si="13"/>
        <v>3</v>
      </c>
      <c r="I284" s="3">
        <f t="shared" si="14"/>
        <v>0</v>
      </c>
    </row>
    <row r="285" spans="1:9" ht="18" customHeight="1" x14ac:dyDescent="0.25">
      <c r="A285" s="4" t="s">
        <v>564</v>
      </c>
      <c r="B285" s="4" t="s">
        <v>565</v>
      </c>
      <c r="C285" s="5">
        <v>0</v>
      </c>
      <c r="D285" s="5">
        <v>6</v>
      </c>
      <c r="E285" s="4" t="str">
        <f t="shared" si="12"/>
        <v>REORDER NOW</v>
      </c>
      <c r="F285" s="4"/>
      <c r="G285" s="4"/>
      <c r="H285" s="5">
        <f t="shared" si="13"/>
        <v>3</v>
      </c>
      <c r="I285" s="5">
        <f t="shared" si="14"/>
        <v>0</v>
      </c>
    </row>
    <row r="286" spans="1:9" ht="18" customHeight="1" x14ac:dyDescent="0.25">
      <c r="A286" s="2" t="s">
        <v>566</v>
      </c>
      <c r="B286" s="2" t="s">
        <v>567</v>
      </c>
      <c r="C286" s="3">
        <v>0</v>
      </c>
      <c r="D286" s="3">
        <v>6</v>
      </c>
      <c r="E286" s="2" t="str">
        <f t="shared" si="12"/>
        <v>REORDER NOW</v>
      </c>
      <c r="F286" s="2"/>
      <c r="G286" s="2"/>
      <c r="H286" s="3">
        <f t="shared" si="13"/>
        <v>3</v>
      </c>
      <c r="I286" s="3">
        <f t="shared" si="14"/>
        <v>0</v>
      </c>
    </row>
    <row r="287" spans="1:9" ht="18" customHeight="1" x14ac:dyDescent="0.25">
      <c r="A287" s="4" t="s">
        <v>568</v>
      </c>
      <c r="B287" s="4" t="s">
        <v>569</v>
      </c>
      <c r="C287" s="5">
        <v>0</v>
      </c>
      <c r="D287" s="5">
        <v>6</v>
      </c>
      <c r="E287" s="4" t="str">
        <f t="shared" si="12"/>
        <v>REORDER NOW</v>
      </c>
      <c r="F287" s="4"/>
      <c r="G287" s="4"/>
      <c r="H287" s="5">
        <f t="shared" si="13"/>
        <v>3</v>
      </c>
      <c r="I287" s="5">
        <f t="shared" si="14"/>
        <v>0</v>
      </c>
    </row>
    <row r="288" spans="1:9" ht="18" customHeight="1" x14ac:dyDescent="0.25">
      <c r="A288" s="2" t="s">
        <v>570</v>
      </c>
      <c r="B288" s="2" t="s">
        <v>571</v>
      </c>
      <c r="C288" s="3">
        <v>1</v>
      </c>
      <c r="D288" s="3">
        <v>6</v>
      </c>
      <c r="E288" s="2" t="str">
        <f t="shared" si="12"/>
        <v>REORDER NOW</v>
      </c>
      <c r="F288" s="2"/>
      <c r="G288" s="2"/>
      <c r="H288" s="3">
        <f t="shared" si="13"/>
        <v>3</v>
      </c>
      <c r="I288" s="3">
        <f t="shared" si="14"/>
        <v>0.3</v>
      </c>
    </row>
    <row r="289" spans="1:9" ht="18" customHeight="1" x14ac:dyDescent="0.25">
      <c r="A289" s="4" t="s">
        <v>572</v>
      </c>
      <c r="B289" s="4" t="s">
        <v>573</v>
      </c>
      <c r="C289" s="5">
        <v>24</v>
      </c>
      <c r="D289" s="5">
        <v>20</v>
      </c>
      <c r="E289" s="4" t="str">
        <f t="shared" si="12"/>
        <v>OK</v>
      </c>
      <c r="F289" s="4"/>
      <c r="G289" s="4"/>
      <c r="H289" s="5">
        <f t="shared" si="13"/>
        <v>10</v>
      </c>
      <c r="I289" s="5">
        <f t="shared" si="14"/>
        <v>2.4</v>
      </c>
    </row>
    <row r="290" spans="1:9" ht="18" customHeight="1" x14ac:dyDescent="0.25">
      <c r="A290" s="2" t="s">
        <v>574</v>
      </c>
      <c r="B290" s="2" t="s">
        <v>575</v>
      </c>
      <c r="C290" s="3">
        <v>0</v>
      </c>
      <c r="D290" s="3">
        <v>6</v>
      </c>
      <c r="E290" s="2" t="str">
        <f t="shared" si="12"/>
        <v>REORDER NOW</v>
      </c>
      <c r="F290" s="2"/>
      <c r="G290" s="2"/>
      <c r="H290" s="3">
        <f t="shared" si="13"/>
        <v>3</v>
      </c>
      <c r="I290" s="3">
        <f t="shared" si="14"/>
        <v>0</v>
      </c>
    </row>
    <row r="291" spans="1:9" ht="18" customHeight="1" x14ac:dyDescent="0.25">
      <c r="A291" s="4" t="s">
        <v>576</v>
      </c>
      <c r="B291" s="4" t="s">
        <v>577</v>
      </c>
      <c r="C291" s="5">
        <v>0</v>
      </c>
      <c r="D291" s="5">
        <v>6</v>
      </c>
      <c r="E291" s="4" t="str">
        <f t="shared" si="12"/>
        <v>REORDER NOW</v>
      </c>
      <c r="F291" s="4"/>
      <c r="G291" s="4"/>
      <c r="H291" s="5">
        <f t="shared" si="13"/>
        <v>3</v>
      </c>
      <c r="I291" s="5">
        <f t="shared" si="14"/>
        <v>0</v>
      </c>
    </row>
    <row r="292" spans="1:9" ht="18" customHeight="1" x14ac:dyDescent="0.25">
      <c r="A292" s="2" t="s">
        <v>578</v>
      </c>
      <c r="B292" s="2" t="s">
        <v>579</v>
      </c>
      <c r="C292" s="3">
        <v>0</v>
      </c>
      <c r="D292" s="3">
        <v>6</v>
      </c>
      <c r="E292" s="2" t="str">
        <f t="shared" si="12"/>
        <v>REORDER NOW</v>
      </c>
      <c r="F292" s="2"/>
      <c r="G292" s="2"/>
      <c r="H292" s="3">
        <f t="shared" si="13"/>
        <v>3</v>
      </c>
      <c r="I292" s="3">
        <f t="shared" si="14"/>
        <v>0</v>
      </c>
    </row>
    <row r="293" spans="1:9" ht="18" customHeight="1" x14ac:dyDescent="0.25">
      <c r="A293" s="4" t="s">
        <v>580</v>
      </c>
      <c r="B293" s="4" t="s">
        <v>581</v>
      </c>
      <c r="C293" s="5">
        <v>0</v>
      </c>
      <c r="D293" s="5">
        <v>6</v>
      </c>
      <c r="E293" s="4" t="str">
        <f t="shared" si="12"/>
        <v>REORDER NOW</v>
      </c>
      <c r="F293" s="4"/>
      <c r="G293" s="4"/>
      <c r="H293" s="5">
        <f t="shared" si="13"/>
        <v>3</v>
      </c>
      <c r="I293" s="5">
        <f t="shared" si="14"/>
        <v>0</v>
      </c>
    </row>
    <row r="294" spans="1:9" ht="18" customHeight="1" x14ac:dyDescent="0.25">
      <c r="A294" s="2" t="s">
        <v>582</v>
      </c>
      <c r="B294" s="2" t="s">
        <v>583</v>
      </c>
      <c r="C294" s="3">
        <v>0</v>
      </c>
      <c r="D294" s="3">
        <v>6</v>
      </c>
      <c r="E294" s="2" t="str">
        <f t="shared" si="12"/>
        <v>REORDER NOW</v>
      </c>
      <c r="F294" s="2"/>
      <c r="G294" s="2"/>
      <c r="H294" s="3">
        <f t="shared" si="13"/>
        <v>3</v>
      </c>
      <c r="I294" s="3">
        <f t="shared" si="14"/>
        <v>0</v>
      </c>
    </row>
    <row r="295" spans="1:9" ht="18" customHeight="1" x14ac:dyDescent="0.25">
      <c r="A295" s="4" t="s">
        <v>584</v>
      </c>
      <c r="B295" s="4" t="s">
        <v>585</v>
      </c>
      <c r="C295" s="5">
        <v>0</v>
      </c>
      <c r="D295" s="5">
        <v>6</v>
      </c>
      <c r="E295" s="4" t="str">
        <f t="shared" si="12"/>
        <v>REORDER NOW</v>
      </c>
      <c r="F295" s="4"/>
      <c r="G295" s="4"/>
      <c r="H295" s="5">
        <f t="shared" si="13"/>
        <v>3</v>
      </c>
      <c r="I295" s="5">
        <f t="shared" si="14"/>
        <v>0</v>
      </c>
    </row>
    <row r="296" spans="1:9" ht="18" customHeight="1" x14ac:dyDescent="0.25">
      <c r="A296" s="2" t="s">
        <v>586</v>
      </c>
      <c r="B296" s="2" t="s">
        <v>587</v>
      </c>
      <c r="C296" s="3">
        <v>0</v>
      </c>
      <c r="D296" s="3">
        <v>6</v>
      </c>
      <c r="E296" s="2" t="str">
        <f t="shared" si="12"/>
        <v>REORDER NOW</v>
      </c>
      <c r="F296" s="2"/>
      <c r="G296" s="2"/>
      <c r="H296" s="3">
        <f t="shared" si="13"/>
        <v>3</v>
      </c>
      <c r="I296" s="3">
        <f t="shared" si="14"/>
        <v>0</v>
      </c>
    </row>
    <row r="297" spans="1:9" ht="18" customHeight="1" x14ac:dyDescent="0.25">
      <c r="A297" s="4" t="s">
        <v>588</v>
      </c>
      <c r="B297" s="4" t="s">
        <v>589</v>
      </c>
      <c r="C297" s="5">
        <v>0</v>
      </c>
      <c r="D297" s="5">
        <v>6</v>
      </c>
      <c r="E297" s="4" t="str">
        <f t="shared" si="12"/>
        <v>REORDER NOW</v>
      </c>
      <c r="F297" s="4"/>
      <c r="G297" s="4"/>
      <c r="H297" s="5">
        <f t="shared" si="13"/>
        <v>3</v>
      </c>
      <c r="I297" s="5">
        <f t="shared" si="14"/>
        <v>0</v>
      </c>
    </row>
    <row r="298" spans="1:9" ht="18" customHeight="1" x14ac:dyDescent="0.25">
      <c r="A298" s="2" t="s">
        <v>590</v>
      </c>
      <c r="B298" s="2" t="s">
        <v>591</v>
      </c>
      <c r="C298" s="3">
        <v>0</v>
      </c>
      <c r="D298" s="3">
        <v>6</v>
      </c>
      <c r="E298" s="2" t="str">
        <f t="shared" si="12"/>
        <v>REORDER NOW</v>
      </c>
      <c r="F298" s="2"/>
      <c r="G298" s="2"/>
      <c r="H298" s="3">
        <f t="shared" si="13"/>
        <v>3</v>
      </c>
      <c r="I298" s="3">
        <f t="shared" si="14"/>
        <v>0</v>
      </c>
    </row>
    <row r="299" spans="1:9" ht="18" customHeight="1" x14ac:dyDescent="0.25">
      <c r="A299" s="4" t="s">
        <v>592</v>
      </c>
      <c r="B299" s="4" t="s">
        <v>593</v>
      </c>
      <c r="C299" s="5">
        <v>0</v>
      </c>
      <c r="D299" s="5">
        <v>6</v>
      </c>
      <c r="E299" s="4" t="str">
        <f t="shared" si="12"/>
        <v>REORDER NOW</v>
      </c>
      <c r="F299" s="4"/>
      <c r="G299" s="4"/>
      <c r="H299" s="5">
        <f t="shared" si="13"/>
        <v>3</v>
      </c>
      <c r="I299" s="5">
        <f t="shared" si="14"/>
        <v>0</v>
      </c>
    </row>
    <row r="300" spans="1:9" ht="18" customHeight="1" x14ac:dyDescent="0.25">
      <c r="A300" s="2" t="s">
        <v>594</v>
      </c>
      <c r="B300" s="2" t="s">
        <v>595</v>
      </c>
      <c r="C300" s="3">
        <v>0</v>
      </c>
      <c r="D300" s="3">
        <v>6</v>
      </c>
      <c r="E300" s="2" t="str">
        <f t="shared" si="12"/>
        <v>REORDER NOW</v>
      </c>
      <c r="F300" s="2"/>
      <c r="G300" s="2"/>
      <c r="H300" s="3">
        <f t="shared" si="13"/>
        <v>3</v>
      </c>
      <c r="I300" s="3">
        <f t="shared" si="14"/>
        <v>0</v>
      </c>
    </row>
    <row r="301" spans="1:9" ht="18" customHeight="1" x14ac:dyDescent="0.25">
      <c r="A301" s="4" t="s">
        <v>596</v>
      </c>
      <c r="B301" s="4" t="s">
        <v>597</v>
      </c>
      <c r="C301" s="5">
        <v>0</v>
      </c>
      <c r="D301" s="5">
        <v>6</v>
      </c>
      <c r="E301" s="4" t="str">
        <f t="shared" si="12"/>
        <v>REORDER NOW</v>
      </c>
      <c r="F301" s="4"/>
      <c r="G301" s="4"/>
      <c r="H301" s="5">
        <f t="shared" si="13"/>
        <v>3</v>
      </c>
      <c r="I301" s="5">
        <f t="shared" si="14"/>
        <v>0</v>
      </c>
    </row>
    <row r="302" spans="1:9" ht="18" customHeight="1" x14ac:dyDescent="0.25">
      <c r="A302" s="2" t="s">
        <v>598</v>
      </c>
      <c r="B302" s="2" t="s">
        <v>599</v>
      </c>
      <c r="C302" s="3">
        <v>0</v>
      </c>
      <c r="D302" s="3">
        <v>6</v>
      </c>
      <c r="E302" s="2" t="str">
        <f t="shared" si="12"/>
        <v>REORDER NOW</v>
      </c>
      <c r="F302" s="2"/>
      <c r="G302" s="2"/>
      <c r="H302" s="3">
        <f t="shared" si="13"/>
        <v>3</v>
      </c>
      <c r="I302" s="3">
        <f t="shared" si="14"/>
        <v>0</v>
      </c>
    </row>
    <row r="303" spans="1:9" ht="18" customHeight="1" x14ac:dyDescent="0.25">
      <c r="A303" s="4" t="s">
        <v>600</v>
      </c>
      <c r="B303" s="4" t="s">
        <v>601</v>
      </c>
      <c r="C303" s="5">
        <v>0</v>
      </c>
      <c r="D303" s="5">
        <v>6</v>
      </c>
      <c r="E303" s="4" t="str">
        <f t="shared" si="12"/>
        <v>REORDER NOW</v>
      </c>
      <c r="F303" s="4"/>
      <c r="G303" s="4"/>
      <c r="H303" s="5">
        <f t="shared" si="13"/>
        <v>3</v>
      </c>
      <c r="I303" s="5">
        <f t="shared" si="14"/>
        <v>0</v>
      </c>
    </row>
    <row r="304" spans="1:9" ht="18" customHeight="1" x14ac:dyDescent="0.25">
      <c r="A304" s="2" t="s">
        <v>602</v>
      </c>
      <c r="B304" s="2" t="s">
        <v>603</v>
      </c>
      <c r="C304" s="3">
        <v>0</v>
      </c>
      <c r="D304" s="3">
        <v>6</v>
      </c>
      <c r="E304" s="2" t="str">
        <f t="shared" si="12"/>
        <v>REORDER NOW</v>
      </c>
      <c r="F304" s="2"/>
      <c r="G304" s="2"/>
      <c r="H304" s="3">
        <f t="shared" si="13"/>
        <v>3</v>
      </c>
      <c r="I304" s="3">
        <f t="shared" si="14"/>
        <v>0</v>
      </c>
    </row>
    <row r="305" spans="1:9" ht="18" customHeight="1" x14ac:dyDescent="0.25">
      <c r="A305" s="4" t="s">
        <v>604</v>
      </c>
      <c r="B305" s="4" t="s">
        <v>605</v>
      </c>
      <c r="C305" s="5">
        <v>0</v>
      </c>
      <c r="D305" s="5">
        <v>6</v>
      </c>
      <c r="E305" s="4" t="str">
        <f t="shared" si="12"/>
        <v>REORDER NOW</v>
      </c>
      <c r="F305" s="4"/>
      <c r="G305" s="4"/>
      <c r="H305" s="5">
        <f t="shared" si="13"/>
        <v>3</v>
      </c>
      <c r="I305" s="5">
        <f t="shared" si="14"/>
        <v>0</v>
      </c>
    </row>
    <row r="306" spans="1:9" ht="18" customHeight="1" x14ac:dyDescent="0.25">
      <c r="A306" s="2" t="s">
        <v>606</v>
      </c>
      <c r="B306" s="2" t="s">
        <v>607</v>
      </c>
      <c r="C306" s="3">
        <v>0</v>
      </c>
      <c r="D306" s="3">
        <v>6</v>
      </c>
      <c r="E306" s="2" t="str">
        <f t="shared" si="12"/>
        <v>REORDER NOW</v>
      </c>
      <c r="F306" s="2"/>
      <c r="G306" s="2"/>
      <c r="H306" s="3">
        <f t="shared" si="13"/>
        <v>3</v>
      </c>
      <c r="I306" s="3">
        <f t="shared" si="14"/>
        <v>0</v>
      </c>
    </row>
    <row r="307" spans="1:9" ht="18" customHeight="1" x14ac:dyDescent="0.25">
      <c r="A307" s="4" t="s">
        <v>608</v>
      </c>
      <c r="B307" s="4" t="s">
        <v>609</v>
      </c>
      <c r="C307" s="5">
        <v>0</v>
      </c>
      <c r="D307" s="5">
        <v>6</v>
      </c>
      <c r="E307" s="4" t="str">
        <f t="shared" si="12"/>
        <v>REORDER NOW</v>
      </c>
      <c r="F307" s="4"/>
      <c r="G307" s="4"/>
      <c r="H307" s="5">
        <f t="shared" si="13"/>
        <v>3</v>
      </c>
      <c r="I307" s="5">
        <f t="shared" si="14"/>
        <v>0</v>
      </c>
    </row>
    <row r="308" spans="1:9" ht="18" customHeight="1" x14ac:dyDescent="0.25">
      <c r="A308" s="2" t="s">
        <v>610</v>
      </c>
      <c r="B308" s="2" t="s">
        <v>611</v>
      </c>
      <c r="C308" s="3">
        <v>4</v>
      </c>
      <c r="D308" s="3">
        <v>6</v>
      </c>
      <c r="E308" s="2" t="str">
        <f t="shared" si="12"/>
        <v>REORDER NOW</v>
      </c>
      <c r="F308" s="2"/>
      <c r="G308" s="2"/>
      <c r="H308" s="3">
        <f t="shared" si="13"/>
        <v>3</v>
      </c>
      <c r="I308" s="3">
        <f t="shared" si="14"/>
        <v>1.3</v>
      </c>
    </row>
    <row r="309" spans="1:9" ht="18" customHeight="1" x14ac:dyDescent="0.25">
      <c r="A309" s="4" t="s">
        <v>612</v>
      </c>
      <c r="B309" s="4" t="s">
        <v>613</v>
      </c>
      <c r="C309" s="5">
        <v>20</v>
      </c>
      <c r="D309" s="5">
        <v>10</v>
      </c>
      <c r="E309" s="4" t="str">
        <f t="shared" si="12"/>
        <v>OK</v>
      </c>
      <c r="F309" s="4"/>
      <c r="G309" s="4"/>
      <c r="H309" s="5">
        <f t="shared" si="13"/>
        <v>5</v>
      </c>
      <c r="I309" s="5">
        <f t="shared" si="14"/>
        <v>4</v>
      </c>
    </row>
    <row r="310" spans="1:9" ht="18" customHeight="1" x14ac:dyDescent="0.25">
      <c r="A310" s="2" t="s">
        <v>614</v>
      </c>
      <c r="B310" s="2" t="s">
        <v>615</v>
      </c>
      <c r="C310" s="3">
        <v>7</v>
      </c>
      <c r="D310" s="3">
        <v>10</v>
      </c>
      <c r="E310" s="2" t="str">
        <f t="shared" si="12"/>
        <v>REORDER NOW</v>
      </c>
      <c r="F310" s="2"/>
      <c r="G310" s="2"/>
      <c r="H310" s="3">
        <f t="shared" si="13"/>
        <v>5</v>
      </c>
      <c r="I310" s="3">
        <f t="shared" si="14"/>
        <v>1.4</v>
      </c>
    </row>
    <row r="311" spans="1:9" ht="18" customHeight="1" x14ac:dyDescent="0.25">
      <c r="A311" s="4" t="s">
        <v>616</v>
      </c>
      <c r="B311" s="4" t="s">
        <v>617</v>
      </c>
      <c r="C311" s="5">
        <v>2</v>
      </c>
      <c r="D311" s="5">
        <v>6</v>
      </c>
      <c r="E311" s="4" t="str">
        <f t="shared" si="12"/>
        <v>REORDER NOW</v>
      </c>
      <c r="F311" s="4"/>
      <c r="G311" s="4"/>
      <c r="H311" s="5">
        <f t="shared" si="13"/>
        <v>3</v>
      </c>
      <c r="I311" s="5">
        <f t="shared" si="14"/>
        <v>0.7</v>
      </c>
    </row>
    <row r="312" spans="1:9" ht="18" customHeight="1" x14ac:dyDescent="0.25">
      <c r="A312" s="2" t="s">
        <v>618</v>
      </c>
      <c r="B312" s="2" t="s">
        <v>619</v>
      </c>
      <c r="C312" s="3">
        <v>14</v>
      </c>
      <c r="D312" s="3">
        <v>10</v>
      </c>
      <c r="E312" s="2" t="str">
        <f t="shared" si="12"/>
        <v>OK</v>
      </c>
      <c r="F312" s="2"/>
      <c r="G312" s="2"/>
      <c r="H312" s="3">
        <f t="shared" si="13"/>
        <v>5</v>
      </c>
      <c r="I312" s="3">
        <f t="shared" si="14"/>
        <v>2.8</v>
      </c>
    </row>
    <row r="313" spans="1:9" ht="18" customHeight="1" x14ac:dyDescent="0.25">
      <c r="A313" s="4" t="s">
        <v>620</v>
      </c>
      <c r="B313" s="4" t="s">
        <v>621</v>
      </c>
      <c r="C313" s="5">
        <v>2</v>
      </c>
      <c r="D313" s="5">
        <v>6</v>
      </c>
      <c r="E313" s="4" t="str">
        <f t="shared" si="12"/>
        <v>REORDER NOW</v>
      </c>
      <c r="F313" s="4"/>
      <c r="G313" s="4"/>
      <c r="H313" s="5">
        <f t="shared" si="13"/>
        <v>3</v>
      </c>
      <c r="I313" s="5">
        <f t="shared" si="14"/>
        <v>0.7</v>
      </c>
    </row>
    <row r="314" spans="1:9" ht="18" customHeight="1" x14ac:dyDescent="0.25">
      <c r="A314" s="2" t="s">
        <v>622</v>
      </c>
      <c r="B314" s="2" t="s">
        <v>623</v>
      </c>
      <c r="C314" s="3">
        <v>10</v>
      </c>
      <c r="D314" s="3">
        <v>10</v>
      </c>
      <c r="E314" s="2" t="str">
        <f t="shared" si="12"/>
        <v>REORDER NOW</v>
      </c>
      <c r="F314" s="2"/>
      <c r="G314" s="2"/>
      <c r="H314" s="3">
        <f t="shared" si="13"/>
        <v>5</v>
      </c>
      <c r="I314" s="3">
        <f t="shared" si="14"/>
        <v>2</v>
      </c>
    </row>
    <row r="315" spans="1:9" ht="18" customHeight="1" x14ac:dyDescent="0.25">
      <c r="A315" s="4" t="s">
        <v>624</v>
      </c>
      <c r="B315" s="4" t="s">
        <v>625</v>
      </c>
      <c r="C315" s="5">
        <v>6</v>
      </c>
      <c r="D315" s="5">
        <v>10</v>
      </c>
      <c r="E315" s="4" t="str">
        <f t="shared" si="12"/>
        <v>REORDER NOW</v>
      </c>
      <c r="F315" s="4"/>
      <c r="G315" s="4"/>
      <c r="H315" s="5">
        <f t="shared" si="13"/>
        <v>5</v>
      </c>
      <c r="I315" s="5">
        <f t="shared" si="14"/>
        <v>1.2</v>
      </c>
    </row>
    <row r="316" spans="1:9" ht="18" customHeight="1" x14ac:dyDescent="0.25">
      <c r="A316" s="2" t="s">
        <v>626</v>
      </c>
      <c r="B316" s="2" t="s">
        <v>627</v>
      </c>
      <c r="C316" s="3">
        <v>2</v>
      </c>
      <c r="D316" s="3">
        <v>6</v>
      </c>
      <c r="E316" s="2" t="str">
        <f t="shared" si="12"/>
        <v>REORDER NOW</v>
      </c>
      <c r="F316" s="2"/>
      <c r="G316" s="2"/>
      <c r="H316" s="3">
        <f t="shared" si="13"/>
        <v>3</v>
      </c>
      <c r="I316" s="3">
        <f t="shared" si="14"/>
        <v>0.7</v>
      </c>
    </row>
    <row r="317" spans="1:9" ht="18" customHeight="1" x14ac:dyDescent="0.25">
      <c r="A317" s="4" t="s">
        <v>628</v>
      </c>
      <c r="B317" s="4" t="s">
        <v>629</v>
      </c>
      <c r="C317" s="5">
        <v>4</v>
      </c>
      <c r="D317" s="5">
        <v>6</v>
      </c>
      <c r="E317" s="4" t="str">
        <f t="shared" si="12"/>
        <v>REORDER NOW</v>
      </c>
      <c r="F317" s="4"/>
      <c r="G317" s="4"/>
      <c r="H317" s="5">
        <f t="shared" si="13"/>
        <v>3</v>
      </c>
      <c r="I317" s="5">
        <f t="shared" si="14"/>
        <v>1.3</v>
      </c>
    </row>
    <row r="318" spans="1:9" ht="18" customHeight="1" x14ac:dyDescent="0.25">
      <c r="A318" s="2" t="s">
        <v>630</v>
      </c>
      <c r="B318" s="2" t="s">
        <v>631</v>
      </c>
      <c r="C318" s="3">
        <v>2</v>
      </c>
      <c r="D318" s="3">
        <v>6</v>
      </c>
      <c r="E318" s="2" t="str">
        <f t="shared" si="12"/>
        <v>REORDER NOW</v>
      </c>
      <c r="F318" s="2"/>
      <c r="G318" s="2"/>
      <c r="H318" s="3">
        <f t="shared" si="13"/>
        <v>3</v>
      </c>
      <c r="I318" s="3">
        <f t="shared" si="14"/>
        <v>0.7</v>
      </c>
    </row>
    <row r="319" spans="1:9" ht="18" customHeight="1" x14ac:dyDescent="0.25">
      <c r="A319" s="4" t="s">
        <v>632</v>
      </c>
      <c r="B319" s="4" t="s">
        <v>633</v>
      </c>
      <c r="C319" s="5">
        <v>12</v>
      </c>
      <c r="D319" s="5">
        <v>10</v>
      </c>
      <c r="E319" s="4" t="str">
        <f t="shared" si="12"/>
        <v>OK</v>
      </c>
      <c r="F319" s="4"/>
      <c r="G319" s="4"/>
      <c r="H319" s="5">
        <f t="shared" si="13"/>
        <v>5</v>
      </c>
      <c r="I319" s="5">
        <f t="shared" si="14"/>
        <v>2.4</v>
      </c>
    </row>
    <row r="320" spans="1:9" ht="18" customHeight="1" x14ac:dyDescent="0.25">
      <c r="A320" s="2" t="s">
        <v>634</v>
      </c>
      <c r="B320" s="2" t="s">
        <v>635</v>
      </c>
      <c r="C320" s="3">
        <v>6</v>
      </c>
      <c r="D320" s="3">
        <v>10</v>
      </c>
      <c r="E320" s="2" t="str">
        <f t="shared" si="12"/>
        <v>REORDER NOW</v>
      </c>
      <c r="F320" s="2"/>
      <c r="G320" s="2"/>
      <c r="H320" s="3">
        <f t="shared" si="13"/>
        <v>5</v>
      </c>
      <c r="I320" s="3">
        <f t="shared" si="14"/>
        <v>1.2</v>
      </c>
    </row>
    <row r="321" spans="1:9" ht="18" customHeight="1" x14ac:dyDescent="0.25">
      <c r="A321" s="4" t="s">
        <v>636</v>
      </c>
      <c r="B321" s="4" t="s">
        <v>637</v>
      </c>
      <c r="C321" s="5">
        <v>7</v>
      </c>
      <c r="D321" s="5">
        <v>10</v>
      </c>
      <c r="E321" s="4" t="str">
        <f t="shared" si="12"/>
        <v>REORDER NOW</v>
      </c>
      <c r="F321" s="4"/>
      <c r="G321" s="4"/>
      <c r="H321" s="5">
        <f t="shared" si="13"/>
        <v>5</v>
      </c>
      <c r="I321" s="5">
        <f t="shared" si="14"/>
        <v>1.4</v>
      </c>
    </row>
    <row r="322" spans="1:9" ht="18" customHeight="1" x14ac:dyDescent="0.25">
      <c r="A322" s="2" t="s">
        <v>638</v>
      </c>
      <c r="B322" s="2" t="s">
        <v>639</v>
      </c>
      <c r="C322" s="3">
        <v>5</v>
      </c>
      <c r="D322" s="3">
        <v>6</v>
      </c>
      <c r="E322" s="2" t="str">
        <f t="shared" si="12"/>
        <v>REORDER NOW</v>
      </c>
      <c r="F322" s="2"/>
      <c r="G322" s="2"/>
      <c r="H322" s="3">
        <f t="shared" si="13"/>
        <v>3</v>
      </c>
      <c r="I322" s="3">
        <f t="shared" si="14"/>
        <v>1.7</v>
      </c>
    </row>
    <row r="323" spans="1:9" ht="18" customHeight="1" x14ac:dyDescent="0.25">
      <c r="A323" s="4" t="s">
        <v>640</v>
      </c>
      <c r="B323" s="4" t="s">
        <v>641</v>
      </c>
      <c r="C323" s="5">
        <v>7</v>
      </c>
      <c r="D323" s="5">
        <v>10</v>
      </c>
      <c r="E323" s="4" t="str">
        <f t="shared" si="12"/>
        <v>REORDER NOW</v>
      </c>
      <c r="F323" s="4"/>
      <c r="G323" s="4"/>
      <c r="H323" s="5">
        <f t="shared" si="13"/>
        <v>5</v>
      </c>
      <c r="I323" s="5">
        <f t="shared" si="14"/>
        <v>1.4</v>
      </c>
    </row>
    <row r="324" spans="1:9" ht="18" customHeight="1" x14ac:dyDescent="0.25">
      <c r="A324" s="2" t="s">
        <v>642</v>
      </c>
      <c r="B324" s="2" t="s">
        <v>643</v>
      </c>
      <c r="C324" s="3">
        <v>41</v>
      </c>
      <c r="D324" s="3">
        <v>20</v>
      </c>
      <c r="E324" s="2" t="str">
        <f t="shared" ref="E324:E387" si="15">IF(C324&lt;=D324,"REORDER NOW","OK")</f>
        <v>OK</v>
      </c>
      <c r="F324" s="2"/>
      <c r="G324" s="2"/>
      <c r="H324" s="3">
        <f t="shared" ref="H324:H387" si="16">D324/2</f>
        <v>10</v>
      </c>
      <c r="I324" s="3">
        <f t="shared" ref="I324:I387" si="17">IF(H324=0,"N/A",ROUND(C324/H324,1))</f>
        <v>4.0999999999999996</v>
      </c>
    </row>
    <row r="325" spans="1:9" ht="18" customHeight="1" x14ac:dyDescent="0.25">
      <c r="A325" s="4" t="s">
        <v>644</v>
      </c>
      <c r="B325" s="4" t="s">
        <v>645</v>
      </c>
      <c r="C325" s="5">
        <v>0</v>
      </c>
      <c r="D325" s="5">
        <v>6</v>
      </c>
      <c r="E325" s="4" t="str">
        <f t="shared" si="15"/>
        <v>REORDER NOW</v>
      </c>
      <c r="F325" s="4"/>
      <c r="G325" s="4"/>
      <c r="H325" s="5">
        <f t="shared" si="16"/>
        <v>3</v>
      </c>
      <c r="I325" s="5">
        <f t="shared" si="17"/>
        <v>0</v>
      </c>
    </row>
    <row r="326" spans="1:9" ht="18" customHeight="1" x14ac:dyDescent="0.25">
      <c r="A326" s="2" t="s">
        <v>646</v>
      </c>
      <c r="B326" s="2" t="s">
        <v>647</v>
      </c>
      <c r="C326" s="3">
        <v>42</v>
      </c>
      <c r="D326" s="3">
        <v>20</v>
      </c>
      <c r="E326" s="2" t="str">
        <f t="shared" si="15"/>
        <v>OK</v>
      </c>
      <c r="F326" s="2"/>
      <c r="G326" s="2"/>
      <c r="H326" s="3">
        <f t="shared" si="16"/>
        <v>10</v>
      </c>
      <c r="I326" s="3">
        <f t="shared" si="17"/>
        <v>4.2</v>
      </c>
    </row>
    <row r="327" spans="1:9" ht="18" customHeight="1" x14ac:dyDescent="0.25">
      <c r="A327" s="4" t="s">
        <v>648</v>
      </c>
      <c r="B327" s="4" t="s">
        <v>649</v>
      </c>
      <c r="C327" s="5">
        <v>2</v>
      </c>
      <c r="D327" s="5">
        <v>6</v>
      </c>
      <c r="E327" s="4" t="str">
        <f t="shared" si="15"/>
        <v>REORDER NOW</v>
      </c>
      <c r="F327" s="4"/>
      <c r="G327" s="4"/>
      <c r="H327" s="5">
        <f t="shared" si="16"/>
        <v>3</v>
      </c>
      <c r="I327" s="5">
        <f t="shared" si="17"/>
        <v>0.7</v>
      </c>
    </row>
    <row r="328" spans="1:9" ht="18" customHeight="1" x14ac:dyDescent="0.25">
      <c r="A328" s="2" t="s">
        <v>650</v>
      </c>
      <c r="B328" s="2" t="s">
        <v>651</v>
      </c>
      <c r="C328" s="3">
        <v>17</v>
      </c>
      <c r="D328" s="3">
        <v>10</v>
      </c>
      <c r="E328" s="2" t="str">
        <f t="shared" si="15"/>
        <v>OK</v>
      </c>
      <c r="F328" s="2"/>
      <c r="G328" s="2"/>
      <c r="H328" s="3">
        <f t="shared" si="16"/>
        <v>5</v>
      </c>
      <c r="I328" s="3">
        <f t="shared" si="17"/>
        <v>3.4</v>
      </c>
    </row>
    <row r="329" spans="1:9" ht="18" customHeight="1" x14ac:dyDescent="0.25">
      <c r="A329" s="4" t="s">
        <v>652</v>
      </c>
      <c r="B329" s="4" t="s">
        <v>653</v>
      </c>
      <c r="C329" s="5">
        <v>3</v>
      </c>
      <c r="D329" s="5">
        <v>6</v>
      </c>
      <c r="E329" s="4" t="str">
        <f t="shared" si="15"/>
        <v>REORDER NOW</v>
      </c>
      <c r="F329" s="4"/>
      <c r="G329" s="4"/>
      <c r="H329" s="5">
        <f t="shared" si="16"/>
        <v>3</v>
      </c>
      <c r="I329" s="5">
        <f t="shared" si="17"/>
        <v>1</v>
      </c>
    </row>
    <row r="330" spans="1:9" ht="18" customHeight="1" x14ac:dyDescent="0.25">
      <c r="A330" s="2" t="s">
        <v>654</v>
      </c>
      <c r="B330" s="2" t="s">
        <v>655</v>
      </c>
      <c r="C330" s="3">
        <v>1</v>
      </c>
      <c r="D330" s="3">
        <v>6</v>
      </c>
      <c r="E330" s="2" t="str">
        <f t="shared" si="15"/>
        <v>REORDER NOW</v>
      </c>
      <c r="F330" s="2"/>
      <c r="G330" s="2"/>
      <c r="H330" s="3">
        <f t="shared" si="16"/>
        <v>3</v>
      </c>
      <c r="I330" s="3">
        <f t="shared" si="17"/>
        <v>0.3</v>
      </c>
    </row>
    <row r="331" spans="1:9" ht="18" customHeight="1" x14ac:dyDescent="0.25">
      <c r="A331" s="4" t="s">
        <v>656</v>
      </c>
      <c r="B331" s="4" t="s">
        <v>657</v>
      </c>
      <c r="C331" s="5">
        <v>1</v>
      </c>
      <c r="D331" s="5">
        <v>6</v>
      </c>
      <c r="E331" s="4" t="str">
        <f t="shared" si="15"/>
        <v>REORDER NOW</v>
      </c>
      <c r="F331" s="4"/>
      <c r="G331" s="4"/>
      <c r="H331" s="5">
        <f t="shared" si="16"/>
        <v>3</v>
      </c>
      <c r="I331" s="5">
        <f t="shared" si="17"/>
        <v>0.3</v>
      </c>
    </row>
    <row r="332" spans="1:9" ht="18" customHeight="1" x14ac:dyDescent="0.25">
      <c r="A332" s="2" t="s">
        <v>658</v>
      </c>
      <c r="B332" s="2" t="s">
        <v>659</v>
      </c>
      <c r="C332" s="3">
        <v>0</v>
      </c>
      <c r="D332" s="3">
        <v>6</v>
      </c>
      <c r="E332" s="2" t="str">
        <f t="shared" si="15"/>
        <v>REORDER NOW</v>
      </c>
      <c r="F332" s="2"/>
      <c r="G332" s="2"/>
      <c r="H332" s="3">
        <f t="shared" si="16"/>
        <v>3</v>
      </c>
      <c r="I332" s="3">
        <f t="shared" si="17"/>
        <v>0</v>
      </c>
    </row>
    <row r="333" spans="1:9" ht="18" customHeight="1" x14ac:dyDescent="0.25">
      <c r="A333" s="4" t="s">
        <v>660</v>
      </c>
      <c r="B333" s="4" t="s">
        <v>661</v>
      </c>
      <c r="C333" s="5">
        <v>0</v>
      </c>
      <c r="D333" s="5">
        <v>6</v>
      </c>
      <c r="E333" s="4" t="str">
        <f t="shared" si="15"/>
        <v>REORDER NOW</v>
      </c>
      <c r="F333" s="4"/>
      <c r="G333" s="4"/>
      <c r="H333" s="5">
        <f t="shared" si="16"/>
        <v>3</v>
      </c>
      <c r="I333" s="5">
        <f t="shared" si="17"/>
        <v>0</v>
      </c>
    </row>
    <row r="334" spans="1:9" ht="18" customHeight="1" x14ac:dyDescent="0.25">
      <c r="A334" s="2" t="s">
        <v>662</v>
      </c>
      <c r="B334" s="2" t="s">
        <v>663</v>
      </c>
      <c r="C334" s="3">
        <v>0</v>
      </c>
      <c r="D334" s="3">
        <v>6</v>
      </c>
      <c r="E334" s="2" t="str">
        <f t="shared" si="15"/>
        <v>REORDER NOW</v>
      </c>
      <c r="F334" s="2"/>
      <c r="G334" s="2"/>
      <c r="H334" s="3">
        <f t="shared" si="16"/>
        <v>3</v>
      </c>
      <c r="I334" s="3">
        <f t="shared" si="17"/>
        <v>0</v>
      </c>
    </row>
    <row r="335" spans="1:9" ht="18" customHeight="1" x14ac:dyDescent="0.25">
      <c r="A335" s="4" t="s">
        <v>664</v>
      </c>
      <c r="B335" s="4" t="s">
        <v>665</v>
      </c>
      <c r="C335" s="5">
        <v>0</v>
      </c>
      <c r="D335" s="5">
        <v>6</v>
      </c>
      <c r="E335" s="4" t="str">
        <f t="shared" si="15"/>
        <v>REORDER NOW</v>
      </c>
      <c r="F335" s="4"/>
      <c r="G335" s="4"/>
      <c r="H335" s="5">
        <f t="shared" si="16"/>
        <v>3</v>
      </c>
      <c r="I335" s="5">
        <f t="shared" si="17"/>
        <v>0</v>
      </c>
    </row>
    <row r="336" spans="1:9" ht="18" customHeight="1" x14ac:dyDescent="0.25">
      <c r="A336" s="2" t="s">
        <v>666</v>
      </c>
      <c r="B336" s="2" t="s">
        <v>667</v>
      </c>
      <c r="C336" s="3">
        <v>0</v>
      </c>
      <c r="D336" s="3">
        <v>6</v>
      </c>
      <c r="E336" s="2" t="str">
        <f t="shared" si="15"/>
        <v>REORDER NOW</v>
      </c>
      <c r="F336" s="2"/>
      <c r="G336" s="2"/>
      <c r="H336" s="3">
        <f t="shared" si="16"/>
        <v>3</v>
      </c>
      <c r="I336" s="3">
        <f t="shared" si="17"/>
        <v>0</v>
      </c>
    </row>
    <row r="337" spans="1:9" ht="18" customHeight="1" x14ac:dyDescent="0.25">
      <c r="A337" s="4" t="s">
        <v>668</v>
      </c>
      <c r="B337" s="4" t="s">
        <v>669</v>
      </c>
      <c r="C337" s="5">
        <v>4</v>
      </c>
      <c r="D337" s="5">
        <v>6</v>
      </c>
      <c r="E337" s="4" t="str">
        <f t="shared" si="15"/>
        <v>REORDER NOW</v>
      </c>
      <c r="F337" s="4"/>
      <c r="G337" s="4"/>
      <c r="H337" s="5">
        <f t="shared" si="16"/>
        <v>3</v>
      </c>
      <c r="I337" s="5">
        <f t="shared" si="17"/>
        <v>1.3</v>
      </c>
    </row>
    <row r="338" spans="1:9" ht="18" customHeight="1" x14ac:dyDescent="0.25">
      <c r="A338" s="2" t="s">
        <v>670</v>
      </c>
      <c r="B338" s="2" t="s">
        <v>671</v>
      </c>
      <c r="C338" s="3">
        <v>9</v>
      </c>
      <c r="D338" s="3">
        <v>10</v>
      </c>
      <c r="E338" s="2" t="str">
        <f t="shared" si="15"/>
        <v>REORDER NOW</v>
      </c>
      <c r="F338" s="2"/>
      <c r="G338" s="2"/>
      <c r="H338" s="3">
        <f t="shared" si="16"/>
        <v>5</v>
      </c>
      <c r="I338" s="3">
        <f t="shared" si="17"/>
        <v>1.8</v>
      </c>
    </row>
    <row r="339" spans="1:9" ht="18" customHeight="1" x14ac:dyDescent="0.25">
      <c r="A339" s="4" t="s">
        <v>672</v>
      </c>
      <c r="B339" s="4" t="s">
        <v>673</v>
      </c>
      <c r="C339" s="5">
        <v>2</v>
      </c>
      <c r="D339" s="5">
        <v>6</v>
      </c>
      <c r="E339" s="4" t="str">
        <f t="shared" si="15"/>
        <v>REORDER NOW</v>
      </c>
      <c r="F339" s="4"/>
      <c r="G339" s="4"/>
      <c r="H339" s="5">
        <f t="shared" si="16"/>
        <v>3</v>
      </c>
      <c r="I339" s="5">
        <f t="shared" si="17"/>
        <v>0.7</v>
      </c>
    </row>
    <row r="340" spans="1:9" ht="18" customHeight="1" x14ac:dyDescent="0.25">
      <c r="A340" s="2" t="s">
        <v>674</v>
      </c>
      <c r="B340" s="2" t="s">
        <v>675</v>
      </c>
      <c r="C340" s="3">
        <v>0</v>
      </c>
      <c r="D340" s="3">
        <v>6</v>
      </c>
      <c r="E340" s="2" t="str">
        <f t="shared" si="15"/>
        <v>REORDER NOW</v>
      </c>
      <c r="F340" s="2"/>
      <c r="G340" s="2"/>
      <c r="H340" s="3">
        <f t="shared" si="16"/>
        <v>3</v>
      </c>
      <c r="I340" s="3">
        <f t="shared" si="17"/>
        <v>0</v>
      </c>
    </row>
    <row r="341" spans="1:9" ht="18" customHeight="1" x14ac:dyDescent="0.25">
      <c r="A341" s="4" t="s">
        <v>676</v>
      </c>
      <c r="B341" s="4" t="s">
        <v>677</v>
      </c>
      <c r="C341" s="5">
        <v>6</v>
      </c>
      <c r="D341" s="5">
        <v>10</v>
      </c>
      <c r="E341" s="4" t="str">
        <f t="shared" si="15"/>
        <v>REORDER NOW</v>
      </c>
      <c r="F341" s="4"/>
      <c r="G341" s="4"/>
      <c r="H341" s="5">
        <f t="shared" si="16"/>
        <v>5</v>
      </c>
      <c r="I341" s="5">
        <f t="shared" si="17"/>
        <v>1.2</v>
      </c>
    </row>
    <row r="342" spans="1:9" ht="18" customHeight="1" x14ac:dyDescent="0.25">
      <c r="A342" s="2" t="s">
        <v>678</v>
      </c>
      <c r="B342" s="2" t="s">
        <v>679</v>
      </c>
      <c r="C342" s="3">
        <v>4</v>
      </c>
      <c r="D342" s="3">
        <v>6</v>
      </c>
      <c r="E342" s="2" t="str">
        <f t="shared" si="15"/>
        <v>REORDER NOW</v>
      </c>
      <c r="F342" s="2"/>
      <c r="G342" s="2"/>
      <c r="H342" s="3">
        <f t="shared" si="16"/>
        <v>3</v>
      </c>
      <c r="I342" s="3">
        <f t="shared" si="17"/>
        <v>1.3</v>
      </c>
    </row>
    <row r="343" spans="1:9" ht="18" customHeight="1" x14ac:dyDescent="0.25">
      <c r="A343" s="4" t="s">
        <v>680</v>
      </c>
      <c r="B343" s="4" t="s">
        <v>681</v>
      </c>
      <c r="C343" s="5">
        <v>34</v>
      </c>
      <c r="D343" s="5">
        <v>20</v>
      </c>
      <c r="E343" s="4" t="str">
        <f t="shared" si="15"/>
        <v>OK</v>
      </c>
      <c r="F343" s="4"/>
      <c r="G343" s="4"/>
      <c r="H343" s="5">
        <f t="shared" si="16"/>
        <v>10</v>
      </c>
      <c r="I343" s="5">
        <f t="shared" si="17"/>
        <v>3.4</v>
      </c>
    </row>
    <row r="344" spans="1:9" ht="18" customHeight="1" x14ac:dyDescent="0.25">
      <c r="A344" s="2" t="s">
        <v>682</v>
      </c>
      <c r="B344" s="2" t="s">
        <v>683</v>
      </c>
      <c r="C344" s="3">
        <v>10</v>
      </c>
      <c r="D344" s="3">
        <v>10</v>
      </c>
      <c r="E344" s="2" t="str">
        <f t="shared" si="15"/>
        <v>REORDER NOW</v>
      </c>
      <c r="F344" s="2"/>
      <c r="G344" s="2"/>
      <c r="H344" s="3">
        <f t="shared" si="16"/>
        <v>5</v>
      </c>
      <c r="I344" s="3">
        <f t="shared" si="17"/>
        <v>2</v>
      </c>
    </row>
    <row r="345" spans="1:9" ht="18" customHeight="1" x14ac:dyDescent="0.25">
      <c r="A345" s="4" t="s">
        <v>684</v>
      </c>
      <c r="B345" s="4" t="s">
        <v>275</v>
      </c>
      <c r="C345" s="5">
        <v>4</v>
      </c>
      <c r="D345" s="5">
        <v>6</v>
      </c>
      <c r="E345" s="4" t="str">
        <f t="shared" si="15"/>
        <v>REORDER NOW</v>
      </c>
      <c r="F345" s="4"/>
      <c r="G345" s="4"/>
      <c r="H345" s="5">
        <f t="shared" si="16"/>
        <v>3</v>
      </c>
      <c r="I345" s="5">
        <f t="shared" si="17"/>
        <v>1.3</v>
      </c>
    </row>
    <row r="346" spans="1:9" ht="18" customHeight="1" x14ac:dyDescent="0.25">
      <c r="A346" s="2" t="s">
        <v>685</v>
      </c>
      <c r="B346" s="2" t="s">
        <v>686</v>
      </c>
      <c r="C346" s="3">
        <v>8</v>
      </c>
      <c r="D346" s="3">
        <v>10</v>
      </c>
      <c r="E346" s="2" t="str">
        <f t="shared" si="15"/>
        <v>REORDER NOW</v>
      </c>
      <c r="F346" s="2"/>
      <c r="G346" s="2"/>
      <c r="H346" s="3">
        <f t="shared" si="16"/>
        <v>5</v>
      </c>
      <c r="I346" s="3">
        <f t="shared" si="17"/>
        <v>1.6</v>
      </c>
    </row>
    <row r="347" spans="1:9" ht="18" customHeight="1" x14ac:dyDescent="0.25">
      <c r="A347" s="4" t="s">
        <v>687</v>
      </c>
      <c r="B347" s="4" t="s">
        <v>688</v>
      </c>
      <c r="C347" s="5">
        <v>0</v>
      </c>
      <c r="D347" s="5">
        <v>6</v>
      </c>
      <c r="E347" s="4" t="str">
        <f t="shared" si="15"/>
        <v>REORDER NOW</v>
      </c>
      <c r="F347" s="4"/>
      <c r="G347" s="4"/>
      <c r="H347" s="5">
        <f t="shared" si="16"/>
        <v>3</v>
      </c>
      <c r="I347" s="5">
        <f t="shared" si="17"/>
        <v>0</v>
      </c>
    </row>
    <row r="348" spans="1:9" ht="18" customHeight="1" x14ac:dyDescent="0.25">
      <c r="A348" s="2" t="s">
        <v>689</v>
      </c>
      <c r="B348" s="2" t="s">
        <v>690</v>
      </c>
      <c r="C348" s="3">
        <v>6</v>
      </c>
      <c r="D348" s="3">
        <v>10</v>
      </c>
      <c r="E348" s="2" t="str">
        <f t="shared" si="15"/>
        <v>REORDER NOW</v>
      </c>
      <c r="F348" s="2"/>
      <c r="G348" s="2"/>
      <c r="H348" s="3">
        <f t="shared" si="16"/>
        <v>5</v>
      </c>
      <c r="I348" s="3">
        <f t="shared" si="17"/>
        <v>1.2</v>
      </c>
    </row>
    <row r="349" spans="1:9" ht="18" customHeight="1" x14ac:dyDescent="0.25">
      <c r="A349" s="4" t="s">
        <v>691</v>
      </c>
      <c r="B349" s="4" t="s">
        <v>692</v>
      </c>
      <c r="C349" s="5">
        <v>4</v>
      </c>
      <c r="D349" s="5">
        <v>6</v>
      </c>
      <c r="E349" s="4" t="str">
        <f t="shared" si="15"/>
        <v>REORDER NOW</v>
      </c>
      <c r="F349" s="4"/>
      <c r="G349" s="4"/>
      <c r="H349" s="5">
        <f t="shared" si="16"/>
        <v>3</v>
      </c>
      <c r="I349" s="5">
        <f t="shared" si="17"/>
        <v>1.3</v>
      </c>
    </row>
    <row r="350" spans="1:9" ht="18" customHeight="1" x14ac:dyDescent="0.25">
      <c r="A350" s="2" t="s">
        <v>693</v>
      </c>
      <c r="B350" s="2" t="s">
        <v>694</v>
      </c>
      <c r="C350" s="3">
        <v>12</v>
      </c>
      <c r="D350" s="3">
        <v>10</v>
      </c>
      <c r="E350" s="2" t="str">
        <f t="shared" si="15"/>
        <v>OK</v>
      </c>
      <c r="F350" s="2"/>
      <c r="G350" s="2"/>
      <c r="H350" s="3">
        <f t="shared" si="16"/>
        <v>5</v>
      </c>
      <c r="I350" s="3">
        <f t="shared" si="17"/>
        <v>2.4</v>
      </c>
    </row>
    <row r="351" spans="1:9" ht="18" customHeight="1" x14ac:dyDescent="0.25">
      <c r="A351" s="4" t="s">
        <v>695</v>
      </c>
      <c r="B351" s="4" t="s">
        <v>289</v>
      </c>
      <c r="C351" s="5">
        <v>4</v>
      </c>
      <c r="D351" s="5">
        <v>6</v>
      </c>
      <c r="E351" s="4" t="str">
        <f t="shared" si="15"/>
        <v>REORDER NOW</v>
      </c>
      <c r="F351" s="4"/>
      <c r="G351" s="4"/>
      <c r="H351" s="5">
        <f t="shared" si="16"/>
        <v>3</v>
      </c>
      <c r="I351" s="5">
        <f t="shared" si="17"/>
        <v>1.3</v>
      </c>
    </row>
    <row r="352" spans="1:9" ht="18" customHeight="1" x14ac:dyDescent="0.25">
      <c r="A352" s="2" t="s">
        <v>696</v>
      </c>
      <c r="B352" s="2" t="s">
        <v>697</v>
      </c>
      <c r="C352" s="3">
        <v>44</v>
      </c>
      <c r="D352" s="3">
        <v>20</v>
      </c>
      <c r="E352" s="2" t="str">
        <f t="shared" si="15"/>
        <v>OK</v>
      </c>
      <c r="F352" s="2"/>
      <c r="G352" s="2"/>
      <c r="H352" s="3">
        <f t="shared" si="16"/>
        <v>10</v>
      </c>
      <c r="I352" s="3">
        <f t="shared" si="17"/>
        <v>4.4000000000000004</v>
      </c>
    </row>
    <row r="353" spans="1:9" ht="18" customHeight="1" x14ac:dyDescent="0.25">
      <c r="A353" s="4" t="s">
        <v>698</v>
      </c>
      <c r="B353" s="4" t="s">
        <v>699</v>
      </c>
      <c r="C353" s="5">
        <v>2</v>
      </c>
      <c r="D353" s="5">
        <v>6</v>
      </c>
      <c r="E353" s="4" t="str">
        <f t="shared" si="15"/>
        <v>REORDER NOW</v>
      </c>
      <c r="F353" s="4"/>
      <c r="G353" s="4"/>
      <c r="H353" s="5">
        <f t="shared" si="16"/>
        <v>3</v>
      </c>
      <c r="I353" s="5">
        <f t="shared" si="17"/>
        <v>0.7</v>
      </c>
    </row>
    <row r="354" spans="1:9" ht="18" customHeight="1" x14ac:dyDescent="0.25">
      <c r="A354" s="2" t="s">
        <v>700</v>
      </c>
      <c r="B354" s="2" t="s">
        <v>701</v>
      </c>
      <c r="C354" s="3">
        <v>1</v>
      </c>
      <c r="D354" s="3">
        <v>6</v>
      </c>
      <c r="E354" s="2" t="str">
        <f t="shared" si="15"/>
        <v>REORDER NOW</v>
      </c>
      <c r="F354" s="2"/>
      <c r="G354" s="2"/>
      <c r="H354" s="3">
        <f t="shared" si="16"/>
        <v>3</v>
      </c>
      <c r="I354" s="3">
        <f t="shared" si="17"/>
        <v>0.3</v>
      </c>
    </row>
    <row r="355" spans="1:9" ht="18" customHeight="1" x14ac:dyDescent="0.25">
      <c r="A355" s="4" t="s">
        <v>702</v>
      </c>
      <c r="B355" s="4" t="s">
        <v>703</v>
      </c>
      <c r="C355" s="5">
        <v>1</v>
      </c>
      <c r="D355" s="5">
        <v>6</v>
      </c>
      <c r="E355" s="4" t="str">
        <f t="shared" si="15"/>
        <v>REORDER NOW</v>
      </c>
      <c r="F355" s="4"/>
      <c r="G355" s="4"/>
      <c r="H355" s="5">
        <f t="shared" si="16"/>
        <v>3</v>
      </c>
      <c r="I355" s="5">
        <f t="shared" si="17"/>
        <v>0.3</v>
      </c>
    </row>
    <row r="356" spans="1:9" ht="18" customHeight="1" x14ac:dyDescent="0.25">
      <c r="A356" s="2" t="s">
        <v>704</v>
      </c>
      <c r="B356" s="2" t="s">
        <v>705</v>
      </c>
      <c r="C356" s="3">
        <v>29</v>
      </c>
      <c r="D356" s="3">
        <v>20</v>
      </c>
      <c r="E356" s="2" t="str">
        <f t="shared" si="15"/>
        <v>OK</v>
      </c>
      <c r="F356" s="2"/>
      <c r="G356" s="2"/>
      <c r="H356" s="3">
        <f t="shared" si="16"/>
        <v>10</v>
      </c>
      <c r="I356" s="3">
        <f t="shared" si="17"/>
        <v>2.9</v>
      </c>
    </row>
    <row r="357" spans="1:9" ht="18" customHeight="1" x14ac:dyDescent="0.25">
      <c r="A357" s="4" t="s">
        <v>706</v>
      </c>
      <c r="B357" s="4" t="s">
        <v>707</v>
      </c>
      <c r="C357" s="5">
        <v>4</v>
      </c>
      <c r="D357" s="5">
        <v>6</v>
      </c>
      <c r="E357" s="4" t="str">
        <f t="shared" si="15"/>
        <v>REORDER NOW</v>
      </c>
      <c r="F357" s="4"/>
      <c r="G357" s="4"/>
      <c r="H357" s="5">
        <f t="shared" si="16"/>
        <v>3</v>
      </c>
      <c r="I357" s="5">
        <f t="shared" si="17"/>
        <v>1.3</v>
      </c>
    </row>
    <row r="358" spans="1:9" ht="18" customHeight="1" x14ac:dyDescent="0.25">
      <c r="A358" s="2" t="s">
        <v>708</v>
      </c>
      <c r="B358" s="2" t="s">
        <v>709</v>
      </c>
      <c r="C358" s="3">
        <v>2</v>
      </c>
      <c r="D358" s="3">
        <v>6</v>
      </c>
      <c r="E358" s="2" t="str">
        <f t="shared" si="15"/>
        <v>REORDER NOW</v>
      </c>
      <c r="F358" s="2"/>
      <c r="G358" s="2"/>
      <c r="H358" s="3">
        <f t="shared" si="16"/>
        <v>3</v>
      </c>
      <c r="I358" s="3">
        <f t="shared" si="17"/>
        <v>0.7</v>
      </c>
    </row>
    <row r="359" spans="1:9" ht="18" customHeight="1" x14ac:dyDescent="0.25">
      <c r="A359" s="4" t="s">
        <v>710</v>
      </c>
      <c r="B359" s="4" t="s">
        <v>711</v>
      </c>
      <c r="C359" s="5">
        <v>19</v>
      </c>
      <c r="D359" s="5">
        <v>10</v>
      </c>
      <c r="E359" s="4" t="str">
        <f t="shared" si="15"/>
        <v>OK</v>
      </c>
      <c r="F359" s="4"/>
      <c r="G359" s="4"/>
      <c r="H359" s="5">
        <f t="shared" si="16"/>
        <v>5</v>
      </c>
      <c r="I359" s="5">
        <f t="shared" si="17"/>
        <v>3.8</v>
      </c>
    </row>
    <row r="360" spans="1:9" ht="18" customHeight="1" x14ac:dyDescent="0.25">
      <c r="A360" s="2" t="s">
        <v>712</v>
      </c>
      <c r="B360" s="2" t="s">
        <v>713</v>
      </c>
      <c r="C360" s="3">
        <v>14</v>
      </c>
      <c r="D360" s="3">
        <v>10</v>
      </c>
      <c r="E360" s="2" t="str">
        <f t="shared" si="15"/>
        <v>OK</v>
      </c>
      <c r="F360" s="2"/>
      <c r="G360" s="2"/>
      <c r="H360" s="3">
        <f t="shared" si="16"/>
        <v>5</v>
      </c>
      <c r="I360" s="3">
        <f t="shared" si="17"/>
        <v>2.8</v>
      </c>
    </row>
    <row r="361" spans="1:9" ht="18" customHeight="1" x14ac:dyDescent="0.25">
      <c r="A361" s="4" t="s">
        <v>714</v>
      </c>
      <c r="B361" s="4" t="s">
        <v>715</v>
      </c>
      <c r="C361" s="5">
        <v>2</v>
      </c>
      <c r="D361" s="5">
        <v>6</v>
      </c>
      <c r="E361" s="4" t="str">
        <f t="shared" si="15"/>
        <v>REORDER NOW</v>
      </c>
      <c r="F361" s="4"/>
      <c r="G361" s="4"/>
      <c r="H361" s="5">
        <f t="shared" si="16"/>
        <v>3</v>
      </c>
      <c r="I361" s="5">
        <f t="shared" si="17"/>
        <v>0.7</v>
      </c>
    </row>
    <row r="362" spans="1:9" ht="18" customHeight="1" x14ac:dyDescent="0.25">
      <c r="A362" s="2" t="s">
        <v>716</v>
      </c>
      <c r="B362" s="2" t="s">
        <v>717</v>
      </c>
      <c r="C362" s="3">
        <v>9</v>
      </c>
      <c r="D362" s="3">
        <v>10</v>
      </c>
      <c r="E362" s="2" t="str">
        <f t="shared" si="15"/>
        <v>REORDER NOW</v>
      </c>
      <c r="F362" s="2"/>
      <c r="G362" s="2"/>
      <c r="H362" s="3">
        <f t="shared" si="16"/>
        <v>5</v>
      </c>
      <c r="I362" s="3">
        <f t="shared" si="17"/>
        <v>1.8</v>
      </c>
    </row>
    <row r="363" spans="1:9" ht="18" customHeight="1" x14ac:dyDescent="0.25">
      <c r="A363" s="4" t="s">
        <v>718</v>
      </c>
      <c r="B363" s="4" t="s">
        <v>719</v>
      </c>
      <c r="C363" s="5">
        <v>4</v>
      </c>
      <c r="D363" s="5">
        <v>6</v>
      </c>
      <c r="E363" s="4" t="str">
        <f t="shared" si="15"/>
        <v>REORDER NOW</v>
      </c>
      <c r="F363" s="4"/>
      <c r="G363" s="4"/>
      <c r="H363" s="5">
        <f t="shared" si="16"/>
        <v>3</v>
      </c>
      <c r="I363" s="5">
        <f t="shared" si="17"/>
        <v>1.3</v>
      </c>
    </row>
    <row r="364" spans="1:9" ht="18" customHeight="1" x14ac:dyDescent="0.25">
      <c r="A364" s="2" t="s">
        <v>720</v>
      </c>
      <c r="B364" s="2" t="s">
        <v>721</v>
      </c>
      <c r="C364" s="3">
        <v>15</v>
      </c>
      <c r="D364" s="3">
        <v>10</v>
      </c>
      <c r="E364" s="2" t="str">
        <f t="shared" si="15"/>
        <v>OK</v>
      </c>
      <c r="F364" s="2"/>
      <c r="G364" s="2"/>
      <c r="H364" s="3">
        <f t="shared" si="16"/>
        <v>5</v>
      </c>
      <c r="I364" s="3">
        <f t="shared" si="17"/>
        <v>3</v>
      </c>
    </row>
    <row r="365" spans="1:9" ht="18" customHeight="1" x14ac:dyDescent="0.25">
      <c r="A365" s="4" t="s">
        <v>722</v>
      </c>
      <c r="B365" s="4" t="s">
        <v>723</v>
      </c>
      <c r="C365" s="5">
        <v>8</v>
      </c>
      <c r="D365" s="5">
        <v>10</v>
      </c>
      <c r="E365" s="4" t="str">
        <f t="shared" si="15"/>
        <v>REORDER NOW</v>
      </c>
      <c r="F365" s="4"/>
      <c r="G365" s="4"/>
      <c r="H365" s="5">
        <f t="shared" si="16"/>
        <v>5</v>
      </c>
      <c r="I365" s="5">
        <f t="shared" si="17"/>
        <v>1.6</v>
      </c>
    </row>
    <row r="366" spans="1:9" ht="18" customHeight="1" x14ac:dyDescent="0.25">
      <c r="A366" s="2" t="s">
        <v>724</v>
      </c>
      <c r="B366" s="2" t="s">
        <v>297</v>
      </c>
      <c r="C366" s="3">
        <v>3</v>
      </c>
      <c r="D366" s="3">
        <v>6</v>
      </c>
      <c r="E366" s="2" t="str">
        <f t="shared" si="15"/>
        <v>REORDER NOW</v>
      </c>
      <c r="F366" s="2"/>
      <c r="G366" s="2"/>
      <c r="H366" s="3">
        <f t="shared" si="16"/>
        <v>3</v>
      </c>
      <c r="I366" s="3">
        <f t="shared" si="17"/>
        <v>1</v>
      </c>
    </row>
    <row r="367" spans="1:9" ht="18" customHeight="1" x14ac:dyDescent="0.25">
      <c r="A367" s="4" t="s">
        <v>725</v>
      </c>
      <c r="B367" s="4" t="s">
        <v>726</v>
      </c>
      <c r="C367" s="5">
        <v>10</v>
      </c>
      <c r="D367" s="5">
        <v>10</v>
      </c>
      <c r="E367" s="4" t="str">
        <f t="shared" si="15"/>
        <v>REORDER NOW</v>
      </c>
      <c r="F367" s="4"/>
      <c r="G367" s="4"/>
      <c r="H367" s="5">
        <f t="shared" si="16"/>
        <v>5</v>
      </c>
      <c r="I367" s="5">
        <f t="shared" si="17"/>
        <v>2</v>
      </c>
    </row>
    <row r="368" spans="1:9" ht="18" customHeight="1" x14ac:dyDescent="0.25">
      <c r="A368" s="2" t="s">
        <v>727</v>
      </c>
      <c r="B368" s="2" t="s">
        <v>728</v>
      </c>
      <c r="C368" s="3">
        <v>3</v>
      </c>
      <c r="D368" s="3">
        <v>6</v>
      </c>
      <c r="E368" s="2" t="str">
        <f t="shared" si="15"/>
        <v>REORDER NOW</v>
      </c>
      <c r="F368" s="2"/>
      <c r="G368" s="2"/>
      <c r="H368" s="3">
        <f t="shared" si="16"/>
        <v>3</v>
      </c>
      <c r="I368" s="3">
        <f t="shared" si="17"/>
        <v>1</v>
      </c>
    </row>
    <row r="369" spans="1:9" ht="18" customHeight="1" x14ac:dyDescent="0.25">
      <c r="A369" s="4" t="s">
        <v>729</v>
      </c>
      <c r="B369" s="4" t="s">
        <v>730</v>
      </c>
      <c r="C369" s="5">
        <v>125</v>
      </c>
      <c r="D369" s="5">
        <v>100</v>
      </c>
      <c r="E369" s="4" t="str">
        <f t="shared" si="15"/>
        <v>OK</v>
      </c>
      <c r="F369" s="4"/>
      <c r="G369" s="4"/>
      <c r="H369" s="5">
        <f t="shared" si="16"/>
        <v>50</v>
      </c>
      <c r="I369" s="5">
        <f t="shared" si="17"/>
        <v>2.5</v>
      </c>
    </row>
    <row r="370" spans="1:9" ht="18" customHeight="1" x14ac:dyDescent="0.25">
      <c r="A370" s="2" t="s">
        <v>731</v>
      </c>
      <c r="B370" s="2" t="s">
        <v>732</v>
      </c>
      <c r="C370" s="3">
        <v>12</v>
      </c>
      <c r="D370" s="3">
        <v>10</v>
      </c>
      <c r="E370" s="2" t="str">
        <f t="shared" si="15"/>
        <v>OK</v>
      </c>
      <c r="F370" s="2"/>
      <c r="G370" s="2"/>
      <c r="H370" s="3">
        <f t="shared" si="16"/>
        <v>5</v>
      </c>
      <c r="I370" s="3">
        <f t="shared" si="17"/>
        <v>2.4</v>
      </c>
    </row>
    <row r="371" spans="1:9" ht="18" customHeight="1" x14ac:dyDescent="0.25">
      <c r="A371" s="4" t="s">
        <v>733</v>
      </c>
      <c r="B371" s="4" t="s">
        <v>734</v>
      </c>
      <c r="C371" s="5">
        <v>8</v>
      </c>
      <c r="D371" s="5">
        <v>10</v>
      </c>
      <c r="E371" s="4" t="str">
        <f t="shared" si="15"/>
        <v>REORDER NOW</v>
      </c>
      <c r="F371" s="4"/>
      <c r="G371" s="4"/>
      <c r="H371" s="5">
        <f t="shared" si="16"/>
        <v>5</v>
      </c>
      <c r="I371" s="5">
        <f t="shared" si="17"/>
        <v>1.6</v>
      </c>
    </row>
    <row r="372" spans="1:9" ht="18" customHeight="1" x14ac:dyDescent="0.25">
      <c r="A372" s="2" t="s">
        <v>735</v>
      </c>
      <c r="B372" s="2" t="s">
        <v>736</v>
      </c>
      <c r="C372" s="3">
        <v>0</v>
      </c>
      <c r="D372" s="3">
        <v>6</v>
      </c>
      <c r="E372" s="2" t="str">
        <f t="shared" si="15"/>
        <v>REORDER NOW</v>
      </c>
      <c r="F372" s="2"/>
      <c r="G372" s="2"/>
      <c r="H372" s="3">
        <f t="shared" si="16"/>
        <v>3</v>
      </c>
      <c r="I372" s="3">
        <f t="shared" si="17"/>
        <v>0</v>
      </c>
    </row>
    <row r="373" spans="1:9" ht="18" customHeight="1" x14ac:dyDescent="0.25">
      <c r="A373" s="4" t="s">
        <v>737</v>
      </c>
      <c r="B373" s="4" t="s">
        <v>738</v>
      </c>
      <c r="C373" s="5">
        <v>3</v>
      </c>
      <c r="D373" s="5">
        <v>6</v>
      </c>
      <c r="E373" s="4" t="str">
        <f t="shared" si="15"/>
        <v>REORDER NOW</v>
      </c>
      <c r="F373" s="4"/>
      <c r="G373" s="4"/>
      <c r="H373" s="5">
        <f t="shared" si="16"/>
        <v>3</v>
      </c>
      <c r="I373" s="5">
        <f t="shared" si="17"/>
        <v>1</v>
      </c>
    </row>
    <row r="374" spans="1:9" ht="18" customHeight="1" x14ac:dyDescent="0.25">
      <c r="A374" s="2" t="s">
        <v>739</v>
      </c>
      <c r="B374" s="2" t="s">
        <v>740</v>
      </c>
      <c r="C374" s="3">
        <v>0</v>
      </c>
      <c r="D374" s="3">
        <v>6</v>
      </c>
      <c r="E374" s="2" t="str">
        <f t="shared" si="15"/>
        <v>REORDER NOW</v>
      </c>
      <c r="F374" s="2"/>
      <c r="G374" s="2"/>
      <c r="H374" s="3">
        <f t="shared" si="16"/>
        <v>3</v>
      </c>
      <c r="I374" s="3">
        <f t="shared" si="17"/>
        <v>0</v>
      </c>
    </row>
    <row r="375" spans="1:9" ht="18" customHeight="1" x14ac:dyDescent="0.25">
      <c r="A375" s="4" t="s">
        <v>741</v>
      </c>
      <c r="B375" s="4" t="s">
        <v>742</v>
      </c>
      <c r="C375" s="5">
        <v>1</v>
      </c>
      <c r="D375" s="5">
        <v>6</v>
      </c>
      <c r="E375" s="4" t="str">
        <f t="shared" si="15"/>
        <v>REORDER NOW</v>
      </c>
      <c r="F375" s="4"/>
      <c r="G375" s="4"/>
      <c r="H375" s="5">
        <f t="shared" si="16"/>
        <v>3</v>
      </c>
      <c r="I375" s="5">
        <f t="shared" si="17"/>
        <v>0.3</v>
      </c>
    </row>
    <row r="376" spans="1:9" ht="18" customHeight="1" x14ac:dyDescent="0.25">
      <c r="A376" s="2" t="s">
        <v>743</v>
      </c>
      <c r="B376" s="2" t="s">
        <v>744</v>
      </c>
      <c r="C376" s="3">
        <v>0</v>
      </c>
      <c r="D376" s="3">
        <v>6</v>
      </c>
      <c r="E376" s="2" t="str">
        <f t="shared" si="15"/>
        <v>REORDER NOW</v>
      </c>
      <c r="F376" s="2"/>
      <c r="G376" s="2"/>
      <c r="H376" s="3">
        <f t="shared" si="16"/>
        <v>3</v>
      </c>
      <c r="I376" s="3">
        <f t="shared" si="17"/>
        <v>0</v>
      </c>
    </row>
    <row r="377" spans="1:9" ht="18" customHeight="1" x14ac:dyDescent="0.25">
      <c r="A377" s="4" t="s">
        <v>745</v>
      </c>
      <c r="B377" s="4" t="s">
        <v>746</v>
      </c>
      <c r="C377" s="5">
        <v>0</v>
      </c>
      <c r="D377" s="5">
        <v>6</v>
      </c>
      <c r="E377" s="4" t="str">
        <f t="shared" si="15"/>
        <v>REORDER NOW</v>
      </c>
      <c r="F377" s="4"/>
      <c r="G377" s="4"/>
      <c r="H377" s="5">
        <f t="shared" si="16"/>
        <v>3</v>
      </c>
      <c r="I377" s="5">
        <f t="shared" si="17"/>
        <v>0</v>
      </c>
    </row>
    <row r="378" spans="1:9" ht="18" customHeight="1" x14ac:dyDescent="0.25">
      <c r="A378" s="2" t="s">
        <v>747</v>
      </c>
      <c r="B378" s="2" t="s">
        <v>748</v>
      </c>
      <c r="C378" s="3">
        <v>0</v>
      </c>
      <c r="D378" s="3">
        <v>6</v>
      </c>
      <c r="E378" s="2" t="str">
        <f t="shared" si="15"/>
        <v>REORDER NOW</v>
      </c>
      <c r="F378" s="2"/>
      <c r="G378" s="2"/>
      <c r="H378" s="3">
        <f t="shared" si="16"/>
        <v>3</v>
      </c>
      <c r="I378" s="3">
        <f t="shared" si="17"/>
        <v>0</v>
      </c>
    </row>
    <row r="379" spans="1:9" ht="18" customHeight="1" x14ac:dyDescent="0.25">
      <c r="A379" s="4" t="s">
        <v>749</v>
      </c>
      <c r="B379" s="4" t="s">
        <v>750</v>
      </c>
      <c r="C379" s="5">
        <v>0</v>
      </c>
      <c r="D379" s="5">
        <v>6</v>
      </c>
      <c r="E379" s="4" t="str">
        <f t="shared" si="15"/>
        <v>REORDER NOW</v>
      </c>
      <c r="F379" s="4"/>
      <c r="G379" s="4"/>
      <c r="H379" s="5">
        <f t="shared" si="16"/>
        <v>3</v>
      </c>
      <c r="I379" s="5">
        <f t="shared" si="17"/>
        <v>0</v>
      </c>
    </row>
    <row r="380" spans="1:9" ht="18" customHeight="1" x14ac:dyDescent="0.25">
      <c r="A380" s="2" t="s">
        <v>751</v>
      </c>
      <c r="B380" s="2" t="s">
        <v>752</v>
      </c>
      <c r="C380" s="3">
        <v>0</v>
      </c>
      <c r="D380" s="3">
        <v>6</v>
      </c>
      <c r="E380" s="2" t="str">
        <f t="shared" si="15"/>
        <v>REORDER NOW</v>
      </c>
      <c r="F380" s="2"/>
      <c r="G380" s="2"/>
      <c r="H380" s="3">
        <f t="shared" si="16"/>
        <v>3</v>
      </c>
      <c r="I380" s="3">
        <f t="shared" si="17"/>
        <v>0</v>
      </c>
    </row>
    <row r="381" spans="1:9" ht="18" customHeight="1" x14ac:dyDescent="0.25">
      <c r="A381" s="4" t="s">
        <v>753</v>
      </c>
      <c r="B381" s="4" t="s">
        <v>754</v>
      </c>
      <c r="C381" s="5">
        <v>0</v>
      </c>
      <c r="D381" s="5">
        <v>6</v>
      </c>
      <c r="E381" s="4" t="str">
        <f t="shared" si="15"/>
        <v>REORDER NOW</v>
      </c>
      <c r="F381" s="4"/>
      <c r="G381" s="4"/>
      <c r="H381" s="5">
        <f t="shared" si="16"/>
        <v>3</v>
      </c>
      <c r="I381" s="5">
        <f t="shared" si="17"/>
        <v>0</v>
      </c>
    </row>
    <row r="382" spans="1:9" ht="18" customHeight="1" x14ac:dyDescent="0.25">
      <c r="A382" s="2" t="s">
        <v>755</v>
      </c>
      <c r="B382" s="2" t="s">
        <v>756</v>
      </c>
      <c r="C382" s="3">
        <v>0</v>
      </c>
      <c r="D382" s="3">
        <v>6</v>
      </c>
      <c r="E382" s="2" t="str">
        <f t="shared" si="15"/>
        <v>REORDER NOW</v>
      </c>
      <c r="F382" s="2"/>
      <c r="G382" s="2"/>
      <c r="H382" s="3">
        <f t="shared" si="16"/>
        <v>3</v>
      </c>
      <c r="I382" s="3">
        <f t="shared" si="17"/>
        <v>0</v>
      </c>
    </row>
    <row r="383" spans="1:9" ht="18" customHeight="1" x14ac:dyDescent="0.25">
      <c r="A383" s="4" t="s">
        <v>757</v>
      </c>
      <c r="B383" s="4" t="s">
        <v>758</v>
      </c>
      <c r="C383" s="5">
        <v>0</v>
      </c>
      <c r="D383" s="5">
        <v>6</v>
      </c>
      <c r="E383" s="4" t="str">
        <f t="shared" si="15"/>
        <v>REORDER NOW</v>
      </c>
      <c r="F383" s="4"/>
      <c r="G383" s="4"/>
      <c r="H383" s="5">
        <f t="shared" si="16"/>
        <v>3</v>
      </c>
      <c r="I383" s="5">
        <f t="shared" si="17"/>
        <v>0</v>
      </c>
    </row>
    <row r="384" spans="1:9" ht="18" customHeight="1" x14ac:dyDescent="0.25">
      <c r="A384" s="2" t="s">
        <v>759</v>
      </c>
      <c r="B384" s="2" t="s">
        <v>760</v>
      </c>
      <c r="C384" s="3">
        <v>0</v>
      </c>
      <c r="D384" s="3">
        <v>6</v>
      </c>
      <c r="E384" s="2" t="str">
        <f t="shared" si="15"/>
        <v>REORDER NOW</v>
      </c>
      <c r="F384" s="2"/>
      <c r="G384" s="2"/>
      <c r="H384" s="3">
        <f t="shared" si="16"/>
        <v>3</v>
      </c>
      <c r="I384" s="3">
        <f t="shared" si="17"/>
        <v>0</v>
      </c>
    </row>
    <row r="385" spans="1:9" ht="18" customHeight="1" x14ac:dyDescent="0.25">
      <c r="A385" s="4" t="s">
        <v>761</v>
      </c>
      <c r="B385" s="4" t="s">
        <v>762</v>
      </c>
      <c r="C385" s="5">
        <v>0</v>
      </c>
      <c r="D385" s="5">
        <v>6</v>
      </c>
      <c r="E385" s="4" t="str">
        <f t="shared" si="15"/>
        <v>REORDER NOW</v>
      </c>
      <c r="F385" s="4"/>
      <c r="G385" s="4"/>
      <c r="H385" s="5">
        <f t="shared" si="16"/>
        <v>3</v>
      </c>
      <c r="I385" s="5">
        <f t="shared" si="17"/>
        <v>0</v>
      </c>
    </row>
    <row r="386" spans="1:9" ht="18" customHeight="1" x14ac:dyDescent="0.25">
      <c r="A386" s="2" t="s">
        <v>763</v>
      </c>
      <c r="B386" s="2" t="s">
        <v>764</v>
      </c>
      <c r="C386" s="3">
        <v>0</v>
      </c>
      <c r="D386" s="3">
        <v>6</v>
      </c>
      <c r="E386" s="2" t="str">
        <f t="shared" si="15"/>
        <v>REORDER NOW</v>
      </c>
      <c r="F386" s="2"/>
      <c r="G386" s="2"/>
      <c r="H386" s="3">
        <f t="shared" si="16"/>
        <v>3</v>
      </c>
      <c r="I386" s="3">
        <f t="shared" si="17"/>
        <v>0</v>
      </c>
    </row>
    <row r="387" spans="1:9" ht="18" customHeight="1" x14ac:dyDescent="0.25">
      <c r="A387" s="4" t="s">
        <v>765</v>
      </c>
      <c r="B387" s="4" t="s">
        <v>766</v>
      </c>
      <c r="C387" s="5">
        <v>0</v>
      </c>
      <c r="D387" s="5">
        <v>6</v>
      </c>
      <c r="E387" s="4" t="str">
        <f t="shared" si="15"/>
        <v>REORDER NOW</v>
      </c>
      <c r="F387" s="4"/>
      <c r="G387" s="4"/>
      <c r="H387" s="5">
        <f t="shared" si="16"/>
        <v>3</v>
      </c>
      <c r="I387" s="5">
        <f t="shared" si="17"/>
        <v>0</v>
      </c>
    </row>
    <row r="388" spans="1:9" ht="18" customHeight="1" x14ac:dyDescent="0.25">
      <c r="A388" s="2" t="s">
        <v>767</v>
      </c>
      <c r="B388" s="2" t="s">
        <v>768</v>
      </c>
      <c r="C388" s="3">
        <v>0</v>
      </c>
      <c r="D388" s="3">
        <v>6</v>
      </c>
      <c r="E388" s="2" t="str">
        <f t="shared" ref="E388:E451" si="18">IF(C388&lt;=D388,"REORDER NOW","OK")</f>
        <v>REORDER NOW</v>
      </c>
      <c r="F388" s="2"/>
      <c r="G388" s="2"/>
      <c r="H388" s="3">
        <f t="shared" ref="H388:H451" si="19">D388/2</f>
        <v>3</v>
      </c>
      <c r="I388" s="3">
        <f t="shared" ref="I388:I451" si="20">IF(H388=0,"N/A",ROUND(C388/H388,1))</f>
        <v>0</v>
      </c>
    </row>
    <row r="389" spans="1:9" ht="18" customHeight="1" x14ac:dyDescent="0.25">
      <c r="A389" s="4" t="s">
        <v>769</v>
      </c>
      <c r="B389" s="4" t="s">
        <v>770</v>
      </c>
      <c r="C389" s="5">
        <v>0</v>
      </c>
      <c r="D389" s="5">
        <v>6</v>
      </c>
      <c r="E389" s="4" t="str">
        <f t="shared" si="18"/>
        <v>REORDER NOW</v>
      </c>
      <c r="F389" s="4"/>
      <c r="G389" s="4"/>
      <c r="H389" s="5">
        <f t="shared" si="19"/>
        <v>3</v>
      </c>
      <c r="I389" s="5">
        <f t="shared" si="20"/>
        <v>0</v>
      </c>
    </row>
    <row r="390" spans="1:9" ht="18" customHeight="1" x14ac:dyDescent="0.25">
      <c r="A390" s="2" t="s">
        <v>771</v>
      </c>
      <c r="B390" s="2" t="s">
        <v>772</v>
      </c>
      <c r="C390" s="3">
        <v>0</v>
      </c>
      <c r="D390" s="3">
        <v>6</v>
      </c>
      <c r="E390" s="2" t="str">
        <f t="shared" si="18"/>
        <v>REORDER NOW</v>
      </c>
      <c r="F390" s="2"/>
      <c r="G390" s="2"/>
      <c r="H390" s="3">
        <f t="shared" si="19"/>
        <v>3</v>
      </c>
      <c r="I390" s="3">
        <f t="shared" si="20"/>
        <v>0</v>
      </c>
    </row>
    <row r="391" spans="1:9" ht="18" customHeight="1" x14ac:dyDescent="0.25">
      <c r="A391" s="4" t="s">
        <v>773</v>
      </c>
      <c r="B391" s="4" t="s">
        <v>774</v>
      </c>
      <c r="C391" s="5">
        <v>0</v>
      </c>
      <c r="D391" s="5">
        <v>6</v>
      </c>
      <c r="E391" s="4" t="str">
        <f t="shared" si="18"/>
        <v>REORDER NOW</v>
      </c>
      <c r="F391" s="4"/>
      <c r="G391" s="4"/>
      <c r="H391" s="5">
        <f t="shared" si="19"/>
        <v>3</v>
      </c>
      <c r="I391" s="5">
        <f t="shared" si="20"/>
        <v>0</v>
      </c>
    </row>
    <row r="392" spans="1:9" ht="18" customHeight="1" x14ac:dyDescent="0.25">
      <c r="A392" s="2" t="s">
        <v>775</v>
      </c>
      <c r="B392" s="2" t="s">
        <v>776</v>
      </c>
      <c r="C392" s="3">
        <v>0</v>
      </c>
      <c r="D392" s="3">
        <v>6</v>
      </c>
      <c r="E392" s="2" t="str">
        <f t="shared" si="18"/>
        <v>REORDER NOW</v>
      </c>
      <c r="F392" s="2"/>
      <c r="G392" s="2"/>
      <c r="H392" s="3">
        <f t="shared" si="19"/>
        <v>3</v>
      </c>
      <c r="I392" s="3">
        <f t="shared" si="20"/>
        <v>0</v>
      </c>
    </row>
    <row r="393" spans="1:9" ht="18" customHeight="1" x14ac:dyDescent="0.25">
      <c r="A393" s="4" t="s">
        <v>777</v>
      </c>
      <c r="B393" s="4" t="s">
        <v>778</v>
      </c>
      <c r="C393" s="5">
        <v>5</v>
      </c>
      <c r="D393" s="5">
        <v>6</v>
      </c>
      <c r="E393" s="4" t="str">
        <f t="shared" si="18"/>
        <v>REORDER NOW</v>
      </c>
      <c r="F393" s="4"/>
      <c r="G393" s="4"/>
      <c r="H393" s="5">
        <f t="shared" si="19"/>
        <v>3</v>
      </c>
      <c r="I393" s="5">
        <f t="shared" si="20"/>
        <v>1.7</v>
      </c>
    </row>
    <row r="394" spans="1:9" ht="18" customHeight="1" x14ac:dyDescent="0.25">
      <c r="A394" s="2" t="s">
        <v>779</v>
      </c>
      <c r="B394" s="2" t="s">
        <v>780</v>
      </c>
      <c r="C394" s="3">
        <v>5</v>
      </c>
      <c r="D394" s="3">
        <v>6</v>
      </c>
      <c r="E394" s="2" t="str">
        <f t="shared" si="18"/>
        <v>REORDER NOW</v>
      </c>
      <c r="F394" s="2"/>
      <c r="G394" s="2"/>
      <c r="H394" s="3">
        <f t="shared" si="19"/>
        <v>3</v>
      </c>
      <c r="I394" s="3">
        <f t="shared" si="20"/>
        <v>1.7</v>
      </c>
    </row>
    <row r="395" spans="1:9" ht="18" customHeight="1" x14ac:dyDescent="0.25">
      <c r="A395" s="4" t="s">
        <v>781</v>
      </c>
      <c r="B395" s="4" t="s">
        <v>782</v>
      </c>
      <c r="C395" s="5">
        <v>4</v>
      </c>
      <c r="D395" s="5">
        <v>6</v>
      </c>
      <c r="E395" s="4" t="str">
        <f t="shared" si="18"/>
        <v>REORDER NOW</v>
      </c>
      <c r="F395" s="4"/>
      <c r="G395" s="4"/>
      <c r="H395" s="5">
        <f t="shared" si="19"/>
        <v>3</v>
      </c>
      <c r="I395" s="5">
        <f t="shared" si="20"/>
        <v>1.3</v>
      </c>
    </row>
    <row r="396" spans="1:9" ht="18" customHeight="1" x14ac:dyDescent="0.25">
      <c r="A396" s="2" t="s">
        <v>783</v>
      </c>
      <c r="B396" s="2" t="s">
        <v>784</v>
      </c>
      <c r="C396" s="3">
        <v>2</v>
      </c>
      <c r="D396" s="3">
        <v>6</v>
      </c>
      <c r="E396" s="2" t="str">
        <f t="shared" si="18"/>
        <v>REORDER NOW</v>
      </c>
      <c r="F396" s="2"/>
      <c r="G396" s="2"/>
      <c r="H396" s="3">
        <f t="shared" si="19"/>
        <v>3</v>
      </c>
      <c r="I396" s="3">
        <f t="shared" si="20"/>
        <v>0.7</v>
      </c>
    </row>
    <row r="397" spans="1:9" ht="18" customHeight="1" x14ac:dyDescent="0.25">
      <c r="A397" s="4" t="s">
        <v>785</v>
      </c>
      <c r="B397" s="4" t="s">
        <v>786</v>
      </c>
      <c r="C397" s="5">
        <v>0</v>
      </c>
      <c r="D397" s="5">
        <v>6</v>
      </c>
      <c r="E397" s="4" t="str">
        <f t="shared" si="18"/>
        <v>REORDER NOW</v>
      </c>
      <c r="F397" s="4"/>
      <c r="G397" s="4"/>
      <c r="H397" s="5">
        <f t="shared" si="19"/>
        <v>3</v>
      </c>
      <c r="I397" s="5">
        <f t="shared" si="20"/>
        <v>0</v>
      </c>
    </row>
    <row r="398" spans="1:9" ht="18" customHeight="1" x14ac:dyDescent="0.25">
      <c r="A398" s="2" t="s">
        <v>787</v>
      </c>
      <c r="B398" s="2" t="s">
        <v>788</v>
      </c>
      <c r="C398" s="3">
        <v>0</v>
      </c>
      <c r="D398" s="3">
        <v>6</v>
      </c>
      <c r="E398" s="2" t="str">
        <f t="shared" si="18"/>
        <v>REORDER NOW</v>
      </c>
      <c r="F398" s="2"/>
      <c r="G398" s="2"/>
      <c r="H398" s="3">
        <f t="shared" si="19"/>
        <v>3</v>
      </c>
      <c r="I398" s="3">
        <f t="shared" si="20"/>
        <v>0</v>
      </c>
    </row>
    <row r="399" spans="1:9" ht="18" customHeight="1" x14ac:dyDescent="0.25">
      <c r="A399" s="4" t="s">
        <v>789</v>
      </c>
      <c r="B399" s="4" t="s">
        <v>790</v>
      </c>
      <c r="C399" s="5">
        <v>2</v>
      </c>
      <c r="D399" s="5">
        <v>6</v>
      </c>
      <c r="E399" s="4" t="str">
        <f t="shared" si="18"/>
        <v>REORDER NOW</v>
      </c>
      <c r="F399" s="4"/>
      <c r="G399" s="4"/>
      <c r="H399" s="5">
        <f t="shared" si="19"/>
        <v>3</v>
      </c>
      <c r="I399" s="5">
        <f t="shared" si="20"/>
        <v>0.7</v>
      </c>
    </row>
    <row r="400" spans="1:9" ht="18" customHeight="1" x14ac:dyDescent="0.25">
      <c r="A400" s="2" t="s">
        <v>791</v>
      </c>
      <c r="B400" s="2" t="s">
        <v>792</v>
      </c>
      <c r="C400" s="3">
        <v>0</v>
      </c>
      <c r="D400" s="3">
        <v>6</v>
      </c>
      <c r="E400" s="2" t="str">
        <f t="shared" si="18"/>
        <v>REORDER NOW</v>
      </c>
      <c r="F400" s="2"/>
      <c r="G400" s="2"/>
      <c r="H400" s="3">
        <f t="shared" si="19"/>
        <v>3</v>
      </c>
      <c r="I400" s="3">
        <f t="shared" si="20"/>
        <v>0</v>
      </c>
    </row>
    <row r="401" spans="1:9" ht="18" customHeight="1" x14ac:dyDescent="0.25">
      <c r="A401" s="4" t="s">
        <v>793</v>
      </c>
      <c r="B401" s="4" t="s">
        <v>794</v>
      </c>
      <c r="C401" s="5">
        <v>0</v>
      </c>
      <c r="D401" s="5">
        <v>6</v>
      </c>
      <c r="E401" s="4" t="str">
        <f t="shared" si="18"/>
        <v>REORDER NOW</v>
      </c>
      <c r="F401" s="4"/>
      <c r="G401" s="4"/>
      <c r="H401" s="5">
        <f t="shared" si="19"/>
        <v>3</v>
      </c>
      <c r="I401" s="5">
        <f t="shared" si="20"/>
        <v>0</v>
      </c>
    </row>
    <row r="402" spans="1:9" ht="18" customHeight="1" x14ac:dyDescent="0.25">
      <c r="A402" s="2" t="s">
        <v>795</v>
      </c>
      <c r="B402" s="2" t="s">
        <v>796</v>
      </c>
      <c r="C402" s="3">
        <v>0</v>
      </c>
      <c r="D402" s="3">
        <v>6</v>
      </c>
      <c r="E402" s="2" t="str">
        <f t="shared" si="18"/>
        <v>REORDER NOW</v>
      </c>
      <c r="F402" s="2"/>
      <c r="G402" s="2"/>
      <c r="H402" s="3">
        <f t="shared" si="19"/>
        <v>3</v>
      </c>
      <c r="I402" s="3">
        <f t="shared" si="20"/>
        <v>0</v>
      </c>
    </row>
    <row r="403" spans="1:9" ht="18" customHeight="1" x14ac:dyDescent="0.25">
      <c r="A403" s="4" t="s">
        <v>797</v>
      </c>
      <c r="B403" s="4" t="s">
        <v>798</v>
      </c>
      <c r="C403" s="5">
        <v>1</v>
      </c>
      <c r="D403" s="5">
        <v>6</v>
      </c>
      <c r="E403" s="4" t="str">
        <f t="shared" si="18"/>
        <v>REORDER NOW</v>
      </c>
      <c r="F403" s="4"/>
      <c r="G403" s="4"/>
      <c r="H403" s="5">
        <f t="shared" si="19"/>
        <v>3</v>
      </c>
      <c r="I403" s="5">
        <f t="shared" si="20"/>
        <v>0.3</v>
      </c>
    </row>
    <row r="404" spans="1:9" ht="18" customHeight="1" x14ac:dyDescent="0.25">
      <c r="A404" s="2" t="s">
        <v>799</v>
      </c>
      <c r="B404" s="2" t="s">
        <v>800</v>
      </c>
      <c r="C404" s="3">
        <v>0</v>
      </c>
      <c r="D404" s="3">
        <v>6</v>
      </c>
      <c r="E404" s="2" t="str">
        <f t="shared" si="18"/>
        <v>REORDER NOW</v>
      </c>
      <c r="F404" s="2"/>
      <c r="G404" s="2"/>
      <c r="H404" s="3">
        <f t="shared" si="19"/>
        <v>3</v>
      </c>
      <c r="I404" s="3">
        <f t="shared" si="20"/>
        <v>0</v>
      </c>
    </row>
    <row r="405" spans="1:9" ht="18" customHeight="1" x14ac:dyDescent="0.25">
      <c r="A405" s="4" t="s">
        <v>801</v>
      </c>
      <c r="B405" s="4" t="s">
        <v>802</v>
      </c>
      <c r="C405" s="5">
        <v>3</v>
      </c>
      <c r="D405" s="5">
        <v>6</v>
      </c>
      <c r="E405" s="4" t="str">
        <f t="shared" si="18"/>
        <v>REORDER NOW</v>
      </c>
      <c r="F405" s="4"/>
      <c r="G405" s="4"/>
      <c r="H405" s="5">
        <f t="shared" si="19"/>
        <v>3</v>
      </c>
      <c r="I405" s="5">
        <f t="shared" si="20"/>
        <v>1</v>
      </c>
    </row>
    <row r="406" spans="1:9" ht="18" customHeight="1" x14ac:dyDescent="0.25">
      <c r="A406" s="2" t="s">
        <v>803</v>
      </c>
      <c r="B406" s="2" t="s">
        <v>804</v>
      </c>
      <c r="C406" s="3">
        <v>8</v>
      </c>
      <c r="D406" s="3">
        <v>10</v>
      </c>
      <c r="E406" s="2" t="str">
        <f t="shared" si="18"/>
        <v>REORDER NOW</v>
      </c>
      <c r="F406" s="2"/>
      <c r="G406" s="2"/>
      <c r="H406" s="3">
        <f t="shared" si="19"/>
        <v>5</v>
      </c>
      <c r="I406" s="3">
        <f t="shared" si="20"/>
        <v>1.6</v>
      </c>
    </row>
    <row r="407" spans="1:9" ht="18" customHeight="1" x14ac:dyDescent="0.25">
      <c r="A407" s="4" t="s">
        <v>805</v>
      </c>
      <c r="B407" s="4" t="s">
        <v>806</v>
      </c>
      <c r="C407" s="5">
        <v>2</v>
      </c>
      <c r="D407" s="5">
        <v>6</v>
      </c>
      <c r="E407" s="4" t="str">
        <f t="shared" si="18"/>
        <v>REORDER NOW</v>
      </c>
      <c r="F407" s="4"/>
      <c r="G407" s="4"/>
      <c r="H407" s="5">
        <f t="shared" si="19"/>
        <v>3</v>
      </c>
      <c r="I407" s="5">
        <f t="shared" si="20"/>
        <v>0.7</v>
      </c>
    </row>
    <row r="408" spans="1:9" ht="18" customHeight="1" x14ac:dyDescent="0.25">
      <c r="A408" s="2" t="s">
        <v>807</v>
      </c>
      <c r="B408" s="2" t="s">
        <v>808</v>
      </c>
      <c r="C408" s="3">
        <v>4</v>
      </c>
      <c r="D408" s="3">
        <v>6</v>
      </c>
      <c r="E408" s="2" t="str">
        <f t="shared" si="18"/>
        <v>REORDER NOW</v>
      </c>
      <c r="F408" s="2"/>
      <c r="G408" s="2"/>
      <c r="H408" s="3">
        <f t="shared" si="19"/>
        <v>3</v>
      </c>
      <c r="I408" s="3">
        <f t="shared" si="20"/>
        <v>1.3</v>
      </c>
    </row>
    <row r="409" spans="1:9" ht="18" customHeight="1" x14ac:dyDescent="0.25">
      <c r="A409" s="4" t="s">
        <v>809</v>
      </c>
      <c r="B409" s="4" t="s">
        <v>810</v>
      </c>
      <c r="C409" s="5">
        <v>0</v>
      </c>
      <c r="D409" s="5">
        <v>6</v>
      </c>
      <c r="E409" s="4" t="str">
        <f t="shared" si="18"/>
        <v>REORDER NOW</v>
      </c>
      <c r="F409" s="4"/>
      <c r="G409" s="4"/>
      <c r="H409" s="5">
        <f t="shared" si="19"/>
        <v>3</v>
      </c>
      <c r="I409" s="5">
        <f t="shared" si="20"/>
        <v>0</v>
      </c>
    </row>
    <row r="410" spans="1:9" ht="18" customHeight="1" x14ac:dyDescent="0.25">
      <c r="A410" s="2" t="s">
        <v>811</v>
      </c>
      <c r="B410" s="2" t="s">
        <v>812</v>
      </c>
      <c r="C410" s="3">
        <v>5</v>
      </c>
      <c r="D410" s="3">
        <v>6</v>
      </c>
      <c r="E410" s="2" t="str">
        <f t="shared" si="18"/>
        <v>REORDER NOW</v>
      </c>
      <c r="F410" s="2"/>
      <c r="G410" s="2"/>
      <c r="H410" s="3">
        <f t="shared" si="19"/>
        <v>3</v>
      </c>
      <c r="I410" s="3">
        <f t="shared" si="20"/>
        <v>1.7</v>
      </c>
    </row>
    <row r="411" spans="1:9" ht="18" customHeight="1" x14ac:dyDescent="0.25">
      <c r="A411" s="4" t="s">
        <v>813</v>
      </c>
      <c r="B411" s="4" t="s">
        <v>814</v>
      </c>
      <c r="C411" s="5">
        <v>0</v>
      </c>
      <c r="D411" s="5">
        <v>6</v>
      </c>
      <c r="E411" s="4" t="str">
        <f t="shared" si="18"/>
        <v>REORDER NOW</v>
      </c>
      <c r="F411" s="4"/>
      <c r="G411" s="4"/>
      <c r="H411" s="5">
        <f t="shared" si="19"/>
        <v>3</v>
      </c>
      <c r="I411" s="5">
        <f t="shared" si="20"/>
        <v>0</v>
      </c>
    </row>
    <row r="412" spans="1:9" ht="18" customHeight="1" x14ac:dyDescent="0.25">
      <c r="A412" s="2" t="s">
        <v>815</v>
      </c>
      <c r="B412" s="2" t="s">
        <v>816</v>
      </c>
      <c r="C412" s="3">
        <v>0</v>
      </c>
      <c r="D412" s="3">
        <v>6</v>
      </c>
      <c r="E412" s="2" t="str">
        <f t="shared" si="18"/>
        <v>REORDER NOW</v>
      </c>
      <c r="F412" s="2"/>
      <c r="G412" s="2"/>
      <c r="H412" s="3">
        <f t="shared" si="19"/>
        <v>3</v>
      </c>
      <c r="I412" s="3">
        <f t="shared" si="20"/>
        <v>0</v>
      </c>
    </row>
    <row r="413" spans="1:9" ht="18" customHeight="1" x14ac:dyDescent="0.25">
      <c r="A413" s="4" t="s">
        <v>817</v>
      </c>
      <c r="B413" s="4" t="s">
        <v>818</v>
      </c>
      <c r="C413" s="5">
        <v>0</v>
      </c>
      <c r="D413" s="5">
        <v>6</v>
      </c>
      <c r="E413" s="4" t="str">
        <f t="shared" si="18"/>
        <v>REORDER NOW</v>
      </c>
      <c r="F413" s="4"/>
      <c r="G413" s="4"/>
      <c r="H413" s="5">
        <f t="shared" si="19"/>
        <v>3</v>
      </c>
      <c r="I413" s="5">
        <f t="shared" si="20"/>
        <v>0</v>
      </c>
    </row>
    <row r="414" spans="1:9" ht="18" customHeight="1" x14ac:dyDescent="0.25">
      <c r="A414" s="2" t="s">
        <v>819</v>
      </c>
      <c r="B414" s="2" t="s">
        <v>820</v>
      </c>
      <c r="C414" s="3">
        <v>0</v>
      </c>
      <c r="D414" s="3">
        <v>6</v>
      </c>
      <c r="E414" s="2" t="str">
        <f t="shared" si="18"/>
        <v>REORDER NOW</v>
      </c>
      <c r="F414" s="2"/>
      <c r="G414" s="2"/>
      <c r="H414" s="3">
        <f t="shared" si="19"/>
        <v>3</v>
      </c>
      <c r="I414" s="3">
        <f t="shared" si="20"/>
        <v>0</v>
      </c>
    </row>
    <row r="415" spans="1:9" ht="18" customHeight="1" x14ac:dyDescent="0.25">
      <c r="A415" s="4" t="s">
        <v>821</v>
      </c>
      <c r="B415" s="4" t="s">
        <v>822</v>
      </c>
      <c r="C415" s="5">
        <v>0</v>
      </c>
      <c r="D415" s="5">
        <v>6</v>
      </c>
      <c r="E415" s="4" t="str">
        <f t="shared" si="18"/>
        <v>REORDER NOW</v>
      </c>
      <c r="F415" s="4"/>
      <c r="G415" s="4"/>
      <c r="H415" s="5">
        <f t="shared" si="19"/>
        <v>3</v>
      </c>
      <c r="I415" s="5">
        <f t="shared" si="20"/>
        <v>0</v>
      </c>
    </row>
    <row r="416" spans="1:9" ht="18" customHeight="1" x14ac:dyDescent="0.25">
      <c r="A416" s="2" t="s">
        <v>823</v>
      </c>
      <c r="B416" s="2" t="s">
        <v>824</v>
      </c>
      <c r="C416" s="3">
        <v>0</v>
      </c>
      <c r="D416" s="3">
        <v>6</v>
      </c>
      <c r="E416" s="2" t="str">
        <f t="shared" si="18"/>
        <v>REORDER NOW</v>
      </c>
      <c r="F416" s="2"/>
      <c r="G416" s="2"/>
      <c r="H416" s="3">
        <f t="shared" si="19"/>
        <v>3</v>
      </c>
      <c r="I416" s="3">
        <f t="shared" si="20"/>
        <v>0</v>
      </c>
    </row>
    <row r="417" spans="1:9" ht="18" customHeight="1" x14ac:dyDescent="0.25">
      <c r="A417" s="4" t="s">
        <v>825</v>
      </c>
      <c r="B417" s="4" t="s">
        <v>826</v>
      </c>
      <c r="C417" s="5">
        <v>0</v>
      </c>
      <c r="D417" s="5">
        <v>6</v>
      </c>
      <c r="E417" s="4" t="str">
        <f t="shared" si="18"/>
        <v>REORDER NOW</v>
      </c>
      <c r="F417" s="4"/>
      <c r="G417" s="4"/>
      <c r="H417" s="5">
        <f t="shared" si="19"/>
        <v>3</v>
      </c>
      <c r="I417" s="5">
        <f t="shared" si="20"/>
        <v>0</v>
      </c>
    </row>
    <row r="418" spans="1:9" ht="18" customHeight="1" x14ac:dyDescent="0.25">
      <c r="A418" s="2" t="s">
        <v>827</v>
      </c>
      <c r="B418" s="2" t="s">
        <v>828</v>
      </c>
      <c r="C418" s="3">
        <v>0</v>
      </c>
      <c r="D418" s="3">
        <v>6</v>
      </c>
      <c r="E418" s="2" t="str">
        <f t="shared" si="18"/>
        <v>REORDER NOW</v>
      </c>
      <c r="F418" s="2"/>
      <c r="G418" s="2"/>
      <c r="H418" s="3">
        <f t="shared" si="19"/>
        <v>3</v>
      </c>
      <c r="I418" s="3">
        <f t="shared" si="20"/>
        <v>0</v>
      </c>
    </row>
    <row r="419" spans="1:9" ht="18" customHeight="1" x14ac:dyDescent="0.25">
      <c r="A419" s="4" t="s">
        <v>829</v>
      </c>
      <c r="B419" s="4" t="s">
        <v>830</v>
      </c>
      <c r="C419" s="5">
        <v>0</v>
      </c>
      <c r="D419" s="5">
        <v>6</v>
      </c>
      <c r="E419" s="4" t="str">
        <f t="shared" si="18"/>
        <v>REORDER NOW</v>
      </c>
      <c r="F419" s="4"/>
      <c r="G419" s="4"/>
      <c r="H419" s="5">
        <f t="shared" si="19"/>
        <v>3</v>
      </c>
      <c r="I419" s="5">
        <f t="shared" si="20"/>
        <v>0</v>
      </c>
    </row>
    <row r="420" spans="1:9" ht="18" customHeight="1" x14ac:dyDescent="0.25">
      <c r="A420" s="2" t="s">
        <v>831</v>
      </c>
      <c r="B420" s="2" t="s">
        <v>832</v>
      </c>
      <c r="C420" s="3">
        <v>4</v>
      </c>
      <c r="D420" s="3">
        <v>6</v>
      </c>
      <c r="E420" s="2" t="str">
        <f t="shared" si="18"/>
        <v>REORDER NOW</v>
      </c>
      <c r="F420" s="2"/>
      <c r="G420" s="2"/>
      <c r="H420" s="3">
        <f t="shared" si="19"/>
        <v>3</v>
      </c>
      <c r="I420" s="3">
        <f t="shared" si="20"/>
        <v>1.3</v>
      </c>
    </row>
    <row r="421" spans="1:9" ht="18" customHeight="1" x14ac:dyDescent="0.25">
      <c r="A421" s="4" t="s">
        <v>833</v>
      </c>
      <c r="B421" s="4" t="s">
        <v>834</v>
      </c>
      <c r="C421" s="5">
        <v>2</v>
      </c>
      <c r="D421" s="5">
        <v>6</v>
      </c>
      <c r="E421" s="4" t="str">
        <f t="shared" si="18"/>
        <v>REORDER NOW</v>
      </c>
      <c r="F421" s="4"/>
      <c r="G421" s="4"/>
      <c r="H421" s="5">
        <f t="shared" si="19"/>
        <v>3</v>
      </c>
      <c r="I421" s="5">
        <f t="shared" si="20"/>
        <v>0.7</v>
      </c>
    </row>
    <row r="422" spans="1:9" ht="18" customHeight="1" x14ac:dyDescent="0.25">
      <c r="A422" s="2" t="s">
        <v>835</v>
      </c>
      <c r="B422" s="2" t="s">
        <v>836</v>
      </c>
      <c r="C422" s="3">
        <v>0</v>
      </c>
      <c r="D422" s="3">
        <v>6</v>
      </c>
      <c r="E422" s="2" t="str">
        <f t="shared" si="18"/>
        <v>REORDER NOW</v>
      </c>
      <c r="F422" s="2"/>
      <c r="G422" s="2"/>
      <c r="H422" s="3">
        <f t="shared" si="19"/>
        <v>3</v>
      </c>
      <c r="I422" s="3">
        <f t="shared" si="20"/>
        <v>0</v>
      </c>
    </row>
    <row r="423" spans="1:9" ht="18" customHeight="1" x14ac:dyDescent="0.25">
      <c r="A423" s="4" t="s">
        <v>837</v>
      </c>
      <c r="B423" s="4" t="s">
        <v>838</v>
      </c>
      <c r="C423" s="5">
        <v>0</v>
      </c>
      <c r="D423" s="5">
        <v>6</v>
      </c>
      <c r="E423" s="4" t="str">
        <f t="shared" si="18"/>
        <v>REORDER NOW</v>
      </c>
      <c r="F423" s="4"/>
      <c r="G423" s="4"/>
      <c r="H423" s="5">
        <f t="shared" si="19"/>
        <v>3</v>
      </c>
      <c r="I423" s="5">
        <f t="shared" si="20"/>
        <v>0</v>
      </c>
    </row>
    <row r="424" spans="1:9" ht="18" customHeight="1" x14ac:dyDescent="0.25">
      <c r="A424" s="2" t="s">
        <v>839</v>
      </c>
      <c r="B424" s="2" t="s">
        <v>840</v>
      </c>
      <c r="C424" s="3">
        <v>0</v>
      </c>
      <c r="D424" s="3">
        <v>6</v>
      </c>
      <c r="E424" s="2" t="str">
        <f t="shared" si="18"/>
        <v>REORDER NOW</v>
      </c>
      <c r="F424" s="2"/>
      <c r="G424" s="2"/>
      <c r="H424" s="3">
        <f t="shared" si="19"/>
        <v>3</v>
      </c>
      <c r="I424" s="3">
        <f t="shared" si="20"/>
        <v>0</v>
      </c>
    </row>
    <row r="425" spans="1:9" ht="18" customHeight="1" x14ac:dyDescent="0.25">
      <c r="A425" s="4" t="s">
        <v>841</v>
      </c>
      <c r="B425" s="4" t="s">
        <v>842</v>
      </c>
      <c r="C425" s="5">
        <v>0</v>
      </c>
      <c r="D425" s="5">
        <v>6</v>
      </c>
      <c r="E425" s="4" t="str">
        <f t="shared" si="18"/>
        <v>REORDER NOW</v>
      </c>
      <c r="F425" s="4"/>
      <c r="G425" s="4"/>
      <c r="H425" s="5">
        <f t="shared" si="19"/>
        <v>3</v>
      </c>
      <c r="I425" s="5">
        <f t="shared" si="20"/>
        <v>0</v>
      </c>
    </row>
    <row r="426" spans="1:9" ht="18" customHeight="1" x14ac:dyDescent="0.25">
      <c r="A426" s="2" t="s">
        <v>843</v>
      </c>
      <c r="B426" s="2" t="s">
        <v>844</v>
      </c>
      <c r="C426" s="3">
        <v>0</v>
      </c>
      <c r="D426" s="3">
        <v>6</v>
      </c>
      <c r="E426" s="2" t="str">
        <f t="shared" si="18"/>
        <v>REORDER NOW</v>
      </c>
      <c r="F426" s="2"/>
      <c r="G426" s="2"/>
      <c r="H426" s="3">
        <f t="shared" si="19"/>
        <v>3</v>
      </c>
      <c r="I426" s="3">
        <f t="shared" si="20"/>
        <v>0</v>
      </c>
    </row>
    <row r="427" spans="1:9" ht="18" customHeight="1" x14ac:dyDescent="0.25">
      <c r="A427" s="4" t="s">
        <v>845</v>
      </c>
      <c r="B427" s="4" t="s">
        <v>846</v>
      </c>
      <c r="C427" s="5">
        <v>0</v>
      </c>
      <c r="D427" s="5">
        <v>6</v>
      </c>
      <c r="E427" s="4" t="str">
        <f t="shared" si="18"/>
        <v>REORDER NOW</v>
      </c>
      <c r="F427" s="4"/>
      <c r="G427" s="4"/>
      <c r="H427" s="5">
        <f t="shared" si="19"/>
        <v>3</v>
      </c>
      <c r="I427" s="5">
        <f t="shared" si="20"/>
        <v>0</v>
      </c>
    </row>
    <row r="428" spans="1:9" ht="18" customHeight="1" x14ac:dyDescent="0.25">
      <c r="A428" s="2" t="s">
        <v>847</v>
      </c>
      <c r="B428" s="2" t="s">
        <v>848</v>
      </c>
      <c r="C428" s="3">
        <v>1</v>
      </c>
      <c r="D428" s="3">
        <v>6</v>
      </c>
      <c r="E428" s="2" t="str">
        <f t="shared" si="18"/>
        <v>REORDER NOW</v>
      </c>
      <c r="F428" s="2"/>
      <c r="G428" s="2"/>
      <c r="H428" s="3">
        <f t="shared" si="19"/>
        <v>3</v>
      </c>
      <c r="I428" s="3">
        <f t="shared" si="20"/>
        <v>0.3</v>
      </c>
    </row>
    <row r="429" spans="1:9" ht="18" customHeight="1" x14ac:dyDescent="0.25">
      <c r="A429" s="4" t="s">
        <v>849</v>
      </c>
      <c r="B429" s="4" t="s">
        <v>850</v>
      </c>
      <c r="C429" s="5">
        <v>0</v>
      </c>
      <c r="D429" s="5">
        <v>6</v>
      </c>
      <c r="E429" s="4" t="str">
        <f t="shared" si="18"/>
        <v>REORDER NOW</v>
      </c>
      <c r="F429" s="4"/>
      <c r="G429" s="4"/>
      <c r="H429" s="5">
        <f t="shared" si="19"/>
        <v>3</v>
      </c>
      <c r="I429" s="5">
        <f t="shared" si="20"/>
        <v>0</v>
      </c>
    </row>
    <row r="430" spans="1:9" ht="18" customHeight="1" x14ac:dyDescent="0.25">
      <c r="A430" s="2" t="s">
        <v>851</v>
      </c>
      <c r="B430" s="2" t="s">
        <v>852</v>
      </c>
      <c r="C430" s="3">
        <v>0</v>
      </c>
      <c r="D430" s="3">
        <v>6</v>
      </c>
      <c r="E430" s="2" t="str">
        <f t="shared" si="18"/>
        <v>REORDER NOW</v>
      </c>
      <c r="F430" s="2"/>
      <c r="G430" s="2"/>
      <c r="H430" s="3">
        <f t="shared" si="19"/>
        <v>3</v>
      </c>
      <c r="I430" s="3">
        <f t="shared" si="20"/>
        <v>0</v>
      </c>
    </row>
    <row r="431" spans="1:9" ht="18" customHeight="1" x14ac:dyDescent="0.25">
      <c r="A431" s="4" t="s">
        <v>853</v>
      </c>
      <c r="B431" s="4" t="s">
        <v>854</v>
      </c>
      <c r="C431" s="5">
        <v>2</v>
      </c>
      <c r="D431" s="5">
        <v>6</v>
      </c>
      <c r="E431" s="4" t="str">
        <f t="shared" si="18"/>
        <v>REORDER NOW</v>
      </c>
      <c r="F431" s="4"/>
      <c r="G431" s="4"/>
      <c r="H431" s="5">
        <f t="shared" si="19"/>
        <v>3</v>
      </c>
      <c r="I431" s="5">
        <f t="shared" si="20"/>
        <v>0.7</v>
      </c>
    </row>
    <row r="432" spans="1:9" ht="18" customHeight="1" x14ac:dyDescent="0.25">
      <c r="A432" s="2" t="s">
        <v>855</v>
      </c>
      <c r="B432" s="2" t="s">
        <v>856</v>
      </c>
      <c r="C432" s="3">
        <v>0</v>
      </c>
      <c r="D432" s="3">
        <v>6</v>
      </c>
      <c r="E432" s="2" t="str">
        <f t="shared" si="18"/>
        <v>REORDER NOW</v>
      </c>
      <c r="F432" s="2"/>
      <c r="G432" s="2"/>
      <c r="H432" s="3">
        <f t="shared" si="19"/>
        <v>3</v>
      </c>
      <c r="I432" s="3">
        <f t="shared" si="20"/>
        <v>0</v>
      </c>
    </row>
    <row r="433" spans="1:9" ht="18" customHeight="1" x14ac:dyDescent="0.25">
      <c r="A433" s="4" t="s">
        <v>857</v>
      </c>
      <c r="B433" s="4" t="s">
        <v>858</v>
      </c>
      <c r="C433" s="5">
        <v>1</v>
      </c>
      <c r="D433" s="5">
        <v>6</v>
      </c>
      <c r="E433" s="4" t="str">
        <f t="shared" si="18"/>
        <v>REORDER NOW</v>
      </c>
      <c r="F433" s="4"/>
      <c r="G433" s="4"/>
      <c r="H433" s="5">
        <f t="shared" si="19"/>
        <v>3</v>
      </c>
      <c r="I433" s="5">
        <f t="shared" si="20"/>
        <v>0.3</v>
      </c>
    </row>
    <row r="434" spans="1:9" ht="18" customHeight="1" x14ac:dyDescent="0.25">
      <c r="A434" s="2" t="s">
        <v>859</v>
      </c>
      <c r="B434" s="2" t="s">
        <v>645</v>
      </c>
      <c r="C434" s="3">
        <v>1</v>
      </c>
      <c r="D434" s="3">
        <v>6</v>
      </c>
      <c r="E434" s="2" t="str">
        <f t="shared" si="18"/>
        <v>REORDER NOW</v>
      </c>
      <c r="F434" s="2"/>
      <c r="G434" s="2"/>
      <c r="H434" s="3">
        <f t="shared" si="19"/>
        <v>3</v>
      </c>
      <c r="I434" s="3">
        <f t="shared" si="20"/>
        <v>0.3</v>
      </c>
    </row>
    <row r="435" spans="1:9" ht="18" customHeight="1" x14ac:dyDescent="0.25">
      <c r="A435" s="4" t="s">
        <v>860</v>
      </c>
      <c r="B435" s="4" t="s">
        <v>861</v>
      </c>
      <c r="C435" s="5">
        <v>1</v>
      </c>
      <c r="D435" s="5">
        <v>6</v>
      </c>
      <c r="E435" s="4" t="str">
        <f t="shared" si="18"/>
        <v>REORDER NOW</v>
      </c>
      <c r="F435" s="4"/>
      <c r="G435" s="4"/>
      <c r="H435" s="5">
        <f t="shared" si="19"/>
        <v>3</v>
      </c>
      <c r="I435" s="5">
        <f t="shared" si="20"/>
        <v>0.3</v>
      </c>
    </row>
    <row r="436" spans="1:9" ht="18" customHeight="1" x14ac:dyDescent="0.25">
      <c r="A436" s="2" t="s">
        <v>862</v>
      </c>
      <c r="B436" s="2" t="s">
        <v>649</v>
      </c>
      <c r="C436" s="3">
        <v>0</v>
      </c>
      <c r="D436" s="3">
        <v>6</v>
      </c>
      <c r="E436" s="2" t="str">
        <f t="shared" si="18"/>
        <v>REORDER NOW</v>
      </c>
      <c r="F436" s="2"/>
      <c r="G436" s="2"/>
      <c r="H436" s="3">
        <f t="shared" si="19"/>
        <v>3</v>
      </c>
      <c r="I436" s="3">
        <f t="shared" si="20"/>
        <v>0</v>
      </c>
    </row>
    <row r="437" spans="1:9" ht="18" customHeight="1" x14ac:dyDescent="0.25">
      <c r="A437" s="4" t="s">
        <v>863</v>
      </c>
      <c r="B437" s="4" t="s">
        <v>864</v>
      </c>
      <c r="C437" s="5">
        <v>5</v>
      </c>
      <c r="D437" s="5">
        <v>6</v>
      </c>
      <c r="E437" s="4" t="str">
        <f t="shared" si="18"/>
        <v>REORDER NOW</v>
      </c>
      <c r="F437" s="4"/>
      <c r="G437" s="4"/>
      <c r="H437" s="5">
        <f t="shared" si="19"/>
        <v>3</v>
      </c>
      <c r="I437" s="5">
        <f t="shared" si="20"/>
        <v>1.7</v>
      </c>
    </row>
    <row r="438" spans="1:9" ht="18" customHeight="1" x14ac:dyDescent="0.25">
      <c r="A438" s="2" t="s">
        <v>865</v>
      </c>
      <c r="B438" s="2" t="s">
        <v>271</v>
      </c>
      <c r="C438" s="3">
        <v>0</v>
      </c>
      <c r="D438" s="3">
        <v>6</v>
      </c>
      <c r="E438" s="2" t="str">
        <f t="shared" si="18"/>
        <v>REORDER NOW</v>
      </c>
      <c r="F438" s="2"/>
      <c r="G438" s="2"/>
      <c r="H438" s="3">
        <f t="shared" si="19"/>
        <v>3</v>
      </c>
      <c r="I438" s="3">
        <f t="shared" si="20"/>
        <v>0</v>
      </c>
    </row>
    <row r="439" spans="1:9" ht="18" customHeight="1" x14ac:dyDescent="0.25">
      <c r="A439" s="4" t="s">
        <v>866</v>
      </c>
      <c r="B439" s="4" t="s">
        <v>867</v>
      </c>
      <c r="C439" s="5">
        <v>0</v>
      </c>
      <c r="D439" s="5">
        <v>6</v>
      </c>
      <c r="E439" s="4" t="str">
        <f t="shared" si="18"/>
        <v>REORDER NOW</v>
      </c>
      <c r="F439" s="4"/>
      <c r="G439" s="4"/>
      <c r="H439" s="5">
        <f t="shared" si="19"/>
        <v>3</v>
      </c>
      <c r="I439" s="5">
        <f t="shared" si="20"/>
        <v>0</v>
      </c>
    </row>
    <row r="440" spans="1:9" ht="18" customHeight="1" x14ac:dyDescent="0.25">
      <c r="A440" s="2" t="s">
        <v>868</v>
      </c>
      <c r="B440" s="2" t="s">
        <v>869</v>
      </c>
      <c r="C440" s="3">
        <v>0</v>
      </c>
      <c r="D440" s="3">
        <v>6</v>
      </c>
      <c r="E440" s="2" t="str">
        <f t="shared" si="18"/>
        <v>REORDER NOW</v>
      </c>
      <c r="F440" s="2"/>
      <c r="G440" s="2"/>
      <c r="H440" s="3">
        <f t="shared" si="19"/>
        <v>3</v>
      </c>
      <c r="I440" s="3">
        <f t="shared" si="20"/>
        <v>0</v>
      </c>
    </row>
    <row r="441" spans="1:9" ht="18" customHeight="1" x14ac:dyDescent="0.25">
      <c r="A441" s="4" t="s">
        <v>870</v>
      </c>
      <c r="B441" s="4" t="s">
        <v>871</v>
      </c>
      <c r="C441" s="5">
        <v>0</v>
      </c>
      <c r="D441" s="5">
        <v>6</v>
      </c>
      <c r="E441" s="4" t="str">
        <f t="shared" si="18"/>
        <v>REORDER NOW</v>
      </c>
      <c r="F441" s="4"/>
      <c r="G441" s="4"/>
      <c r="H441" s="5">
        <f t="shared" si="19"/>
        <v>3</v>
      </c>
      <c r="I441" s="5">
        <f t="shared" si="20"/>
        <v>0</v>
      </c>
    </row>
    <row r="442" spans="1:9" ht="18" customHeight="1" x14ac:dyDescent="0.25">
      <c r="A442" s="2" t="s">
        <v>872</v>
      </c>
      <c r="B442" s="2" t="s">
        <v>873</v>
      </c>
      <c r="C442" s="3">
        <v>0</v>
      </c>
      <c r="D442" s="3">
        <v>6</v>
      </c>
      <c r="E442" s="2" t="str">
        <f t="shared" si="18"/>
        <v>REORDER NOW</v>
      </c>
      <c r="F442" s="2"/>
      <c r="G442" s="2"/>
      <c r="H442" s="3">
        <f t="shared" si="19"/>
        <v>3</v>
      </c>
      <c r="I442" s="3">
        <f t="shared" si="20"/>
        <v>0</v>
      </c>
    </row>
    <row r="443" spans="1:9" ht="18" customHeight="1" x14ac:dyDescent="0.25">
      <c r="A443" s="4" t="s">
        <v>874</v>
      </c>
      <c r="B443" s="4" t="s">
        <v>875</v>
      </c>
      <c r="C443" s="5">
        <v>0</v>
      </c>
      <c r="D443" s="5">
        <v>6</v>
      </c>
      <c r="E443" s="4" t="str">
        <f t="shared" si="18"/>
        <v>REORDER NOW</v>
      </c>
      <c r="F443" s="4"/>
      <c r="G443" s="4"/>
      <c r="H443" s="5">
        <f t="shared" si="19"/>
        <v>3</v>
      </c>
      <c r="I443" s="5">
        <f t="shared" si="20"/>
        <v>0</v>
      </c>
    </row>
    <row r="444" spans="1:9" ht="18" customHeight="1" x14ac:dyDescent="0.25">
      <c r="A444" s="2" t="s">
        <v>876</v>
      </c>
      <c r="B444" s="2" t="s">
        <v>877</v>
      </c>
      <c r="C444" s="3">
        <v>0</v>
      </c>
      <c r="D444" s="3">
        <v>6</v>
      </c>
      <c r="E444" s="2" t="str">
        <f t="shared" si="18"/>
        <v>REORDER NOW</v>
      </c>
      <c r="F444" s="2"/>
      <c r="G444" s="2"/>
      <c r="H444" s="3">
        <f t="shared" si="19"/>
        <v>3</v>
      </c>
      <c r="I444" s="3">
        <f t="shared" si="20"/>
        <v>0</v>
      </c>
    </row>
    <row r="445" spans="1:9" ht="18" customHeight="1" x14ac:dyDescent="0.25">
      <c r="A445" s="4" t="s">
        <v>878</v>
      </c>
      <c r="B445" s="4" t="s">
        <v>879</v>
      </c>
      <c r="C445" s="5">
        <v>0</v>
      </c>
      <c r="D445" s="5">
        <v>6</v>
      </c>
      <c r="E445" s="4" t="str">
        <f t="shared" si="18"/>
        <v>REORDER NOW</v>
      </c>
      <c r="F445" s="4"/>
      <c r="G445" s="4"/>
      <c r="H445" s="5">
        <f t="shared" si="19"/>
        <v>3</v>
      </c>
      <c r="I445" s="5">
        <f t="shared" si="20"/>
        <v>0</v>
      </c>
    </row>
    <row r="446" spans="1:9" ht="18" customHeight="1" x14ac:dyDescent="0.25">
      <c r="A446" s="2" t="s">
        <v>880</v>
      </c>
      <c r="B446" s="2" t="s">
        <v>275</v>
      </c>
      <c r="C446" s="3">
        <v>2</v>
      </c>
      <c r="D446" s="3">
        <v>6</v>
      </c>
      <c r="E446" s="2" t="str">
        <f t="shared" si="18"/>
        <v>REORDER NOW</v>
      </c>
      <c r="F446" s="2"/>
      <c r="G446" s="2"/>
      <c r="H446" s="3">
        <f t="shared" si="19"/>
        <v>3</v>
      </c>
      <c r="I446" s="3">
        <f t="shared" si="20"/>
        <v>0.7</v>
      </c>
    </row>
    <row r="447" spans="1:9" ht="18" customHeight="1" x14ac:dyDescent="0.25">
      <c r="A447" s="4" t="s">
        <v>881</v>
      </c>
      <c r="B447" s="4" t="s">
        <v>882</v>
      </c>
      <c r="C447" s="5">
        <v>5</v>
      </c>
      <c r="D447" s="5">
        <v>6</v>
      </c>
      <c r="E447" s="4" t="str">
        <f t="shared" si="18"/>
        <v>REORDER NOW</v>
      </c>
      <c r="F447" s="4"/>
      <c r="G447" s="4"/>
      <c r="H447" s="5">
        <f t="shared" si="19"/>
        <v>3</v>
      </c>
      <c r="I447" s="5">
        <f t="shared" si="20"/>
        <v>1.7</v>
      </c>
    </row>
    <row r="448" spans="1:9" ht="18" customHeight="1" x14ac:dyDescent="0.25">
      <c r="A448" s="2" t="s">
        <v>883</v>
      </c>
      <c r="B448" s="2" t="s">
        <v>884</v>
      </c>
      <c r="C448" s="3">
        <v>0</v>
      </c>
      <c r="D448" s="3">
        <v>6</v>
      </c>
      <c r="E448" s="2" t="str">
        <f t="shared" si="18"/>
        <v>REORDER NOW</v>
      </c>
      <c r="F448" s="2"/>
      <c r="G448" s="2"/>
      <c r="H448" s="3">
        <f t="shared" si="19"/>
        <v>3</v>
      </c>
      <c r="I448" s="3">
        <f t="shared" si="20"/>
        <v>0</v>
      </c>
    </row>
    <row r="449" spans="1:9" ht="18" customHeight="1" x14ac:dyDescent="0.25">
      <c r="A449" s="4" t="s">
        <v>885</v>
      </c>
      <c r="B449" s="4" t="s">
        <v>886</v>
      </c>
      <c r="C449" s="5">
        <v>0</v>
      </c>
      <c r="D449" s="5">
        <v>6</v>
      </c>
      <c r="E449" s="4" t="str">
        <f t="shared" si="18"/>
        <v>REORDER NOW</v>
      </c>
      <c r="F449" s="4"/>
      <c r="G449" s="4"/>
      <c r="H449" s="5">
        <f t="shared" si="19"/>
        <v>3</v>
      </c>
      <c r="I449" s="5">
        <f t="shared" si="20"/>
        <v>0</v>
      </c>
    </row>
    <row r="450" spans="1:9" ht="18" customHeight="1" x14ac:dyDescent="0.25">
      <c r="A450" s="2" t="s">
        <v>887</v>
      </c>
      <c r="B450" s="2" t="s">
        <v>888</v>
      </c>
      <c r="C450" s="3">
        <v>0</v>
      </c>
      <c r="D450" s="3">
        <v>6</v>
      </c>
      <c r="E450" s="2" t="str">
        <f t="shared" si="18"/>
        <v>REORDER NOW</v>
      </c>
      <c r="F450" s="2"/>
      <c r="G450" s="2"/>
      <c r="H450" s="3">
        <f t="shared" si="19"/>
        <v>3</v>
      </c>
      <c r="I450" s="3">
        <f t="shared" si="20"/>
        <v>0</v>
      </c>
    </row>
    <row r="451" spans="1:9" ht="18" customHeight="1" x14ac:dyDescent="0.25">
      <c r="A451" s="4" t="s">
        <v>889</v>
      </c>
      <c r="B451" s="4" t="s">
        <v>890</v>
      </c>
      <c r="C451" s="5">
        <v>0</v>
      </c>
      <c r="D451" s="5">
        <v>6</v>
      </c>
      <c r="E451" s="4" t="str">
        <f t="shared" si="18"/>
        <v>REORDER NOW</v>
      </c>
      <c r="F451" s="4"/>
      <c r="G451" s="4"/>
      <c r="H451" s="5">
        <f t="shared" si="19"/>
        <v>3</v>
      </c>
      <c r="I451" s="5">
        <f t="shared" si="20"/>
        <v>0</v>
      </c>
    </row>
    <row r="452" spans="1:9" ht="18" customHeight="1" x14ac:dyDescent="0.25">
      <c r="A452" s="2" t="s">
        <v>891</v>
      </c>
      <c r="B452" s="2" t="s">
        <v>289</v>
      </c>
      <c r="C452" s="3">
        <v>1</v>
      </c>
      <c r="D452" s="3">
        <v>6</v>
      </c>
      <c r="E452" s="2" t="str">
        <f t="shared" ref="E452:E515" si="21">IF(C452&lt;=D452,"REORDER NOW","OK")</f>
        <v>REORDER NOW</v>
      </c>
      <c r="F452" s="2"/>
      <c r="G452" s="2"/>
      <c r="H452" s="3">
        <f t="shared" ref="H452:H515" si="22">D452/2</f>
        <v>3</v>
      </c>
      <c r="I452" s="3">
        <f t="shared" ref="I452:I515" si="23">IF(H452=0,"N/A",ROUND(C452/H452,1))</f>
        <v>0.3</v>
      </c>
    </row>
    <row r="453" spans="1:9" ht="18" customHeight="1" x14ac:dyDescent="0.25">
      <c r="A453" s="4" t="s">
        <v>892</v>
      </c>
      <c r="B453" s="4" t="s">
        <v>893</v>
      </c>
      <c r="C453" s="5">
        <v>2</v>
      </c>
      <c r="D453" s="5">
        <v>6</v>
      </c>
      <c r="E453" s="4" t="str">
        <f t="shared" si="21"/>
        <v>REORDER NOW</v>
      </c>
      <c r="F453" s="4"/>
      <c r="G453" s="4"/>
      <c r="H453" s="5">
        <f t="shared" si="22"/>
        <v>3</v>
      </c>
      <c r="I453" s="5">
        <f t="shared" si="23"/>
        <v>0.7</v>
      </c>
    </row>
    <row r="454" spans="1:9" ht="18" customHeight="1" x14ac:dyDescent="0.25">
      <c r="A454" s="2" t="s">
        <v>894</v>
      </c>
      <c r="B454" s="2" t="s">
        <v>895</v>
      </c>
      <c r="C454" s="3">
        <v>0</v>
      </c>
      <c r="D454" s="3">
        <v>6</v>
      </c>
      <c r="E454" s="2" t="str">
        <f t="shared" si="21"/>
        <v>REORDER NOW</v>
      </c>
      <c r="F454" s="2"/>
      <c r="G454" s="2"/>
      <c r="H454" s="3">
        <f t="shared" si="22"/>
        <v>3</v>
      </c>
      <c r="I454" s="3">
        <f t="shared" si="23"/>
        <v>0</v>
      </c>
    </row>
    <row r="455" spans="1:9" ht="18" customHeight="1" x14ac:dyDescent="0.25">
      <c r="A455" s="4" t="s">
        <v>896</v>
      </c>
      <c r="B455" s="4" t="s">
        <v>719</v>
      </c>
      <c r="C455" s="5">
        <v>0</v>
      </c>
      <c r="D455" s="5">
        <v>6</v>
      </c>
      <c r="E455" s="4" t="str">
        <f t="shared" si="21"/>
        <v>REORDER NOW</v>
      </c>
      <c r="F455" s="4"/>
      <c r="G455" s="4"/>
      <c r="H455" s="5">
        <f t="shared" si="22"/>
        <v>3</v>
      </c>
      <c r="I455" s="5">
        <f t="shared" si="23"/>
        <v>0</v>
      </c>
    </row>
    <row r="456" spans="1:9" ht="18" customHeight="1" x14ac:dyDescent="0.25">
      <c r="A456" s="2" t="s">
        <v>897</v>
      </c>
      <c r="B456" s="2" t="s">
        <v>898</v>
      </c>
      <c r="C456" s="3">
        <v>0</v>
      </c>
      <c r="D456" s="3">
        <v>6</v>
      </c>
      <c r="E456" s="2" t="str">
        <f t="shared" si="21"/>
        <v>REORDER NOW</v>
      </c>
      <c r="F456" s="2"/>
      <c r="G456" s="2"/>
      <c r="H456" s="3">
        <f t="shared" si="22"/>
        <v>3</v>
      </c>
      <c r="I456" s="3">
        <f t="shared" si="23"/>
        <v>0</v>
      </c>
    </row>
    <row r="457" spans="1:9" ht="18" customHeight="1" x14ac:dyDescent="0.25">
      <c r="A457" s="4" t="s">
        <v>899</v>
      </c>
      <c r="B457" s="4" t="s">
        <v>293</v>
      </c>
      <c r="C457" s="5">
        <v>0</v>
      </c>
      <c r="D457" s="5">
        <v>6</v>
      </c>
      <c r="E457" s="4" t="str">
        <f t="shared" si="21"/>
        <v>REORDER NOW</v>
      </c>
      <c r="F457" s="4"/>
      <c r="G457" s="4"/>
      <c r="H457" s="5">
        <f t="shared" si="22"/>
        <v>3</v>
      </c>
      <c r="I457" s="5">
        <f t="shared" si="23"/>
        <v>0</v>
      </c>
    </row>
    <row r="458" spans="1:9" ht="18" customHeight="1" x14ac:dyDescent="0.25">
      <c r="A458" s="2" t="s">
        <v>900</v>
      </c>
      <c r="B458" s="2" t="s">
        <v>901</v>
      </c>
      <c r="C458" s="3">
        <v>1</v>
      </c>
      <c r="D458" s="3">
        <v>6</v>
      </c>
      <c r="E458" s="2" t="str">
        <f t="shared" si="21"/>
        <v>REORDER NOW</v>
      </c>
      <c r="F458" s="2"/>
      <c r="G458" s="2"/>
      <c r="H458" s="3">
        <f t="shared" si="22"/>
        <v>3</v>
      </c>
      <c r="I458" s="3">
        <f t="shared" si="23"/>
        <v>0.3</v>
      </c>
    </row>
    <row r="459" spans="1:9" ht="18" customHeight="1" x14ac:dyDescent="0.25">
      <c r="A459" s="4" t="s">
        <v>902</v>
      </c>
      <c r="B459" s="4" t="s">
        <v>297</v>
      </c>
      <c r="C459" s="5">
        <v>0</v>
      </c>
      <c r="D459" s="5">
        <v>6</v>
      </c>
      <c r="E459" s="4" t="str">
        <f t="shared" si="21"/>
        <v>REORDER NOW</v>
      </c>
      <c r="F459" s="4"/>
      <c r="G459" s="4"/>
      <c r="H459" s="5">
        <f t="shared" si="22"/>
        <v>3</v>
      </c>
      <c r="I459" s="5">
        <f t="shared" si="23"/>
        <v>0</v>
      </c>
    </row>
    <row r="460" spans="1:9" ht="18" customHeight="1" x14ac:dyDescent="0.25">
      <c r="A460" s="2" t="s">
        <v>903</v>
      </c>
      <c r="B460" s="2" t="s">
        <v>904</v>
      </c>
      <c r="C460" s="3">
        <v>8</v>
      </c>
      <c r="D460" s="3">
        <v>10</v>
      </c>
      <c r="E460" s="2" t="str">
        <f t="shared" si="21"/>
        <v>REORDER NOW</v>
      </c>
      <c r="F460" s="2"/>
      <c r="G460" s="2"/>
      <c r="H460" s="3">
        <f t="shared" si="22"/>
        <v>5</v>
      </c>
      <c r="I460" s="3">
        <f t="shared" si="23"/>
        <v>1.6</v>
      </c>
    </row>
    <row r="461" spans="1:9" ht="18" customHeight="1" x14ac:dyDescent="0.25">
      <c r="A461" s="4" t="s">
        <v>905</v>
      </c>
      <c r="B461" s="4" t="s">
        <v>906</v>
      </c>
      <c r="C461" s="5">
        <v>3</v>
      </c>
      <c r="D461" s="5">
        <v>6</v>
      </c>
      <c r="E461" s="4" t="str">
        <f t="shared" si="21"/>
        <v>REORDER NOW</v>
      </c>
      <c r="F461" s="4"/>
      <c r="G461" s="4"/>
      <c r="H461" s="5">
        <f t="shared" si="22"/>
        <v>3</v>
      </c>
      <c r="I461" s="5">
        <f t="shared" si="23"/>
        <v>1</v>
      </c>
    </row>
    <row r="462" spans="1:9" ht="18" customHeight="1" x14ac:dyDescent="0.25">
      <c r="A462" s="2" t="s">
        <v>907</v>
      </c>
      <c r="B462" s="2" t="s">
        <v>908</v>
      </c>
      <c r="C462" s="3">
        <v>0</v>
      </c>
      <c r="D462" s="3">
        <v>6</v>
      </c>
      <c r="E462" s="2" t="str">
        <f t="shared" si="21"/>
        <v>REORDER NOW</v>
      </c>
      <c r="F462" s="2"/>
      <c r="G462" s="2"/>
      <c r="H462" s="3">
        <f t="shared" si="22"/>
        <v>3</v>
      </c>
      <c r="I462" s="3">
        <f t="shared" si="23"/>
        <v>0</v>
      </c>
    </row>
    <row r="463" spans="1:9" ht="18" customHeight="1" x14ac:dyDescent="0.25">
      <c r="A463" s="4" t="s">
        <v>909</v>
      </c>
      <c r="B463" s="4" t="s">
        <v>910</v>
      </c>
      <c r="C463" s="5">
        <v>0</v>
      </c>
      <c r="D463" s="5">
        <v>6</v>
      </c>
      <c r="E463" s="4" t="str">
        <f t="shared" si="21"/>
        <v>REORDER NOW</v>
      </c>
      <c r="F463" s="4"/>
      <c r="G463" s="4"/>
      <c r="H463" s="5">
        <f t="shared" si="22"/>
        <v>3</v>
      </c>
      <c r="I463" s="5">
        <f t="shared" si="23"/>
        <v>0</v>
      </c>
    </row>
    <row r="464" spans="1:9" ht="18" customHeight="1" x14ac:dyDescent="0.25">
      <c r="A464" s="2" t="s">
        <v>911</v>
      </c>
      <c r="B464" s="2" t="s">
        <v>912</v>
      </c>
      <c r="C464" s="3">
        <v>0</v>
      </c>
      <c r="D464" s="3">
        <v>6</v>
      </c>
      <c r="E464" s="2" t="str">
        <f t="shared" si="21"/>
        <v>REORDER NOW</v>
      </c>
      <c r="F464" s="2"/>
      <c r="G464" s="2"/>
      <c r="H464" s="3">
        <f t="shared" si="22"/>
        <v>3</v>
      </c>
      <c r="I464" s="3">
        <f t="shared" si="23"/>
        <v>0</v>
      </c>
    </row>
    <row r="465" spans="1:9" ht="18" customHeight="1" x14ac:dyDescent="0.25">
      <c r="A465" s="4" t="s">
        <v>913</v>
      </c>
      <c r="B465" s="4" t="s">
        <v>914</v>
      </c>
      <c r="C465" s="5">
        <v>1</v>
      </c>
      <c r="D465" s="5">
        <v>6</v>
      </c>
      <c r="E465" s="4" t="str">
        <f t="shared" si="21"/>
        <v>REORDER NOW</v>
      </c>
      <c r="F465" s="4"/>
      <c r="G465" s="4"/>
      <c r="H465" s="5">
        <f t="shared" si="22"/>
        <v>3</v>
      </c>
      <c r="I465" s="5">
        <f t="shared" si="23"/>
        <v>0.3</v>
      </c>
    </row>
    <row r="466" spans="1:9" ht="18" customHeight="1" x14ac:dyDescent="0.25">
      <c r="A466" s="2" t="s">
        <v>915</v>
      </c>
      <c r="B466" s="2" t="s">
        <v>916</v>
      </c>
      <c r="C466" s="3">
        <v>0</v>
      </c>
      <c r="D466" s="3">
        <v>6</v>
      </c>
      <c r="E466" s="2" t="str">
        <f t="shared" si="21"/>
        <v>REORDER NOW</v>
      </c>
      <c r="F466" s="2"/>
      <c r="G466" s="2"/>
      <c r="H466" s="3">
        <f t="shared" si="22"/>
        <v>3</v>
      </c>
      <c r="I466" s="3">
        <f t="shared" si="23"/>
        <v>0</v>
      </c>
    </row>
    <row r="467" spans="1:9" ht="18" customHeight="1" x14ac:dyDescent="0.25">
      <c r="A467" s="4" t="s">
        <v>917</v>
      </c>
      <c r="B467" s="4" t="s">
        <v>918</v>
      </c>
      <c r="C467" s="5">
        <v>0</v>
      </c>
      <c r="D467" s="5">
        <v>6</v>
      </c>
      <c r="E467" s="4" t="str">
        <f t="shared" si="21"/>
        <v>REORDER NOW</v>
      </c>
      <c r="F467" s="4"/>
      <c r="G467" s="4"/>
      <c r="H467" s="5">
        <f t="shared" si="22"/>
        <v>3</v>
      </c>
      <c r="I467" s="5">
        <f t="shared" si="23"/>
        <v>0</v>
      </c>
    </row>
    <row r="468" spans="1:9" ht="18" customHeight="1" x14ac:dyDescent="0.25">
      <c r="A468" s="2" t="s">
        <v>919</v>
      </c>
      <c r="B468" s="2" t="s">
        <v>920</v>
      </c>
      <c r="C468" s="3">
        <v>0</v>
      </c>
      <c r="D468" s="3">
        <v>6</v>
      </c>
      <c r="E468" s="2" t="str">
        <f t="shared" si="21"/>
        <v>REORDER NOW</v>
      </c>
      <c r="F468" s="2"/>
      <c r="G468" s="2"/>
      <c r="H468" s="3">
        <f t="shared" si="22"/>
        <v>3</v>
      </c>
      <c r="I468" s="3">
        <f t="shared" si="23"/>
        <v>0</v>
      </c>
    </row>
    <row r="469" spans="1:9" ht="18" customHeight="1" x14ac:dyDescent="0.25">
      <c r="A469" s="4" t="s">
        <v>921</v>
      </c>
      <c r="B469" s="4" t="s">
        <v>922</v>
      </c>
      <c r="C469" s="5">
        <v>0</v>
      </c>
      <c r="D469" s="5">
        <v>6</v>
      </c>
      <c r="E469" s="4" t="str">
        <f t="shared" si="21"/>
        <v>REORDER NOW</v>
      </c>
      <c r="F469" s="4"/>
      <c r="G469" s="4"/>
      <c r="H469" s="5">
        <f t="shared" si="22"/>
        <v>3</v>
      </c>
      <c r="I469" s="5">
        <f t="shared" si="23"/>
        <v>0</v>
      </c>
    </row>
    <row r="470" spans="1:9" ht="18" customHeight="1" x14ac:dyDescent="0.25">
      <c r="A470" s="2" t="s">
        <v>923</v>
      </c>
      <c r="B470" s="2" t="s">
        <v>924</v>
      </c>
      <c r="C470" s="3">
        <v>0</v>
      </c>
      <c r="D470" s="3">
        <v>6</v>
      </c>
      <c r="E470" s="2" t="str">
        <f t="shared" si="21"/>
        <v>REORDER NOW</v>
      </c>
      <c r="F470" s="2"/>
      <c r="G470" s="2"/>
      <c r="H470" s="3">
        <f t="shared" si="22"/>
        <v>3</v>
      </c>
      <c r="I470" s="3">
        <f t="shared" si="23"/>
        <v>0</v>
      </c>
    </row>
    <row r="471" spans="1:9" ht="18" customHeight="1" x14ac:dyDescent="0.25">
      <c r="A471" s="4" t="s">
        <v>925</v>
      </c>
      <c r="B471" s="4" t="s">
        <v>926</v>
      </c>
      <c r="C471" s="5">
        <v>1</v>
      </c>
      <c r="D471" s="5">
        <v>6</v>
      </c>
      <c r="E471" s="4" t="str">
        <f t="shared" si="21"/>
        <v>REORDER NOW</v>
      </c>
      <c r="F471" s="4"/>
      <c r="G471" s="4"/>
      <c r="H471" s="5">
        <f t="shared" si="22"/>
        <v>3</v>
      </c>
      <c r="I471" s="5">
        <f t="shared" si="23"/>
        <v>0.3</v>
      </c>
    </row>
    <row r="472" spans="1:9" ht="18" customHeight="1" x14ac:dyDescent="0.25">
      <c r="A472" s="2" t="s">
        <v>927</v>
      </c>
      <c r="B472" s="2" t="s">
        <v>928</v>
      </c>
      <c r="C472" s="3">
        <v>0</v>
      </c>
      <c r="D472" s="3">
        <v>6</v>
      </c>
      <c r="E472" s="2" t="str">
        <f t="shared" si="21"/>
        <v>REORDER NOW</v>
      </c>
      <c r="F472" s="2"/>
      <c r="G472" s="2"/>
      <c r="H472" s="3">
        <f t="shared" si="22"/>
        <v>3</v>
      </c>
      <c r="I472" s="3">
        <f t="shared" si="23"/>
        <v>0</v>
      </c>
    </row>
    <row r="473" spans="1:9" ht="18" customHeight="1" x14ac:dyDescent="0.25">
      <c r="A473" s="4" t="s">
        <v>929</v>
      </c>
      <c r="B473" s="4" t="s">
        <v>930</v>
      </c>
      <c r="C473" s="5">
        <v>0</v>
      </c>
      <c r="D473" s="5">
        <v>6</v>
      </c>
      <c r="E473" s="4" t="str">
        <f t="shared" si="21"/>
        <v>REORDER NOW</v>
      </c>
      <c r="F473" s="4"/>
      <c r="G473" s="4"/>
      <c r="H473" s="5">
        <f t="shared" si="22"/>
        <v>3</v>
      </c>
      <c r="I473" s="5">
        <f t="shared" si="23"/>
        <v>0</v>
      </c>
    </row>
    <row r="474" spans="1:9" ht="18" customHeight="1" x14ac:dyDescent="0.25">
      <c r="A474" s="2" t="s">
        <v>931</v>
      </c>
      <c r="B474" s="2" t="s">
        <v>932</v>
      </c>
      <c r="C474" s="3">
        <v>0</v>
      </c>
      <c r="D474" s="3">
        <v>6</v>
      </c>
      <c r="E474" s="2" t="str">
        <f t="shared" si="21"/>
        <v>REORDER NOW</v>
      </c>
      <c r="F474" s="2"/>
      <c r="G474" s="2"/>
      <c r="H474" s="3">
        <f t="shared" si="22"/>
        <v>3</v>
      </c>
      <c r="I474" s="3">
        <f t="shared" si="23"/>
        <v>0</v>
      </c>
    </row>
    <row r="475" spans="1:9" ht="18" customHeight="1" x14ac:dyDescent="0.25">
      <c r="A475" s="4" t="s">
        <v>933</v>
      </c>
      <c r="B475" s="4" t="s">
        <v>934</v>
      </c>
      <c r="C475" s="5">
        <v>0</v>
      </c>
      <c r="D475" s="5">
        <v>6</v>
      </c>
      <c r="E475" s="4" t="str">
        <f t="shared" si="21"/>
        <v>REORDER NOW</v>
      </c>
      <c r="F475" s="4"/>
      <c r="G475" s="4"/>
      <c r="H475" s="5">
        <f t="shared" si="22"/>
        <v>3</v>
      </c>
      <c r="I475" s="5">
        <f t="shared" si="23"/>
        <v>0</v>
      </c>
    </row>
    <row r="476" spans="1:9" ht="18" customHeight="1" x14ac:dyDescent="0.25">
      <c r="A476" s="2" t="s">
        <v>935</v>
      </c>
      <c r="B476" s="2" t="s">
        <v>936</v>
      </c>
      <c r="C476" s="3">
        <v>0</v>
      </c>
      <c r="D476" s="3">
        <v>6</v>
      </c>
      <c r="E476" s="2" t="str">
        <f t="shared" si="21"/>
        <v>REORDER NOW</v>
      </c>
      <c r="F476" s="2"/>
      <c r="G476" s="2"/>
      <c r="H476" s="3">
        <f t="shared" si="22"/>
        <v>3</v>
      </c>
      <c r="I476" s="3">
        <f t="shared" si="23"/>
        <v>0</v>
      </c>
    </row>
    <row r="477" spans="1:9" ht="18" customHeight="1" x14ac:dyDescent="0.25">
      <c r="A477" s="4" t="s">
        <v>937</v>
      </c>
      <c r="B477" s="4" t="s">
        <v>938</v>
      </c>
      <c r="C477" s="5">
        <v>0</v>
      </c>
      <c r="D477" s="5">
        <v>6</v>
      </c>
      <c r="E477" s="4" t="str">
        <f t="shared" si="21"/>
        <v>REORDER NOW</v>
      </c>
      <c r="F477" s="4"/>
      <c r="G477" s="4"/>
      <c r="H477" s="5">
        <f t="shared" si="22"/>
        <v>3</v>
      </c>
      <c r="I477" s="5">
        <f t="shared" si="23"/>
        <v>0</v>
      </c>
    </row>
    <row r="478" spans="1:9" ht="18" customHeight="1" x14ac:dyDescent="0.25">
      <c r="A478" s="2" t="s">
        <v>939</v>
      </c>
      <c r="B478" s="2" t="s">
        <v>940</v>
      </c>
      <c r="C478" s="3">
        <v>0</v>
      </c>
      <c r="D478" s="3">
        <v>6</v>
      </c>
      <c r="E478" s="2" t="str">
        <f t="shared" si="21"/>
        <v>REORDER NOW</v>
      </c>
      <c r="F478" s="2"/>
      <c r="G478" s="2"/>
      <c r="H478" s="3">
        <f t="shared" si="22"/>
        <v>3</v>
      </c>
      <c r="I478" s="3">
        <f t="shared" si="23"/>
        <v>0</v>
      </c>
    </row>
    <row r="479" spans="1:9" ht="18" customHeight="1" x14ac:dyDescent="0.25">
      <c r="A479" s="4" t="s">
        <v>941</v>
      </c>
      <c r="B479" s="4" t="s">
        <v>942</v>
      </c>
      <c r="C479" s="5">
        <v>0</v>
      </c>
      <c r="D479" s="5">
        <v>6</v>
      </c>
      <c r="E479" s="4" t="str">
        <f t="shared" si="21"/>
        <v>REORDER NOW</v>
      </c>
      <c r="F479" s="4"/>
      <c r="G479" s="4"/>
      <c r="H479" s="5">
        <f t="shared" si="22"/>
        <v>3</v>
      </c>
      <c r="I479" s="5">
        <f t="shared" si="23"/>
        <v>0</v>
      </c>
    </row>
    <row r="480" spans="1:9" ht="18" customHeight="1" x14ac:dyDescent="0.25">
      <c r="A480" s="2" t="s">
        <v>943</v>
      </c>
      <c r="B480" s="2" t="s">
        <v>944</v>
      </c>
      <c r="C480" s="3">
        <v>0</v>
      </c>
      <c r="D480" s="3">
        <v>6</v>
      </c>
      <c r="E480" s="2" t="str">
        <f t="shared" si="21"/>
        <v>REORDER NOW</v>
      </c>
      <c r="F480" s="2"/>
      <c r="G480" s="2"/>
      <c r="H480" s="3">
        <f t="shared" si="22"/>
        <v>3</v>
      </c>
      <c r="I480" s="3">
        <f t="shared" si="23"/>
        <v>0</v>
      </c>
    </row>
    <row r="481" spans="1:9" ht="18" customHeight="1" x14ac:dyDescent="0.25">
      <c r="A481" s="4" t="s">
        <v>945</v>
      </c>
      <c r="B481" s="4" t="s">
        <v>946</v>
      </c>
      <c r="C481" s="5">
        <v>0</v>
      </c>
      <c r="D481" s="5">
        <v>6</v>
      </c>
      <c r="E481" s="4" t="str">
        <f t="shared" si="21"/>
        <v>REORDER NOW</v>
      </c>
      <c r="F481" s="4"/>
      <c r="G481" s="4"/>
      <c r="H481" s="5">
        <f t="shared" si="22"/>
        <v>3</v>
      </c>
      <c r="I481" s="5">
        <f t="shared" si="23"/>
        <v>0</v>
      </c>
    </row>
    <row r="482" spans="1:9" ht="18" customHeight="1" x14ac:dyDescent="0.25">
      <c r="A482" s="2" t="s">
        <v>947</v>
      </c>
      <c r="B482" s="2" t="s">
        <v>948</v>
      </c>
      <c r="C482" s="3">
        <v>0</v>
      </c>
      <c r="D482" s="3">
        <v>6</v>
      </c>
      <c r="E482" s="2" t="str">
        <f t="shared" si="21"/>
        <v>REORDER NOW</v>
      </c>
      <c r="F482" s="2"/>
      <c r="G482" s="2"/>
      <c r="H482" s="3">
        <f t="shared" si="22"/>
        <v>3</v>
      </c>
      <c r="I482" s="3">
        <f t="shared" si="23"/>
        <v>0</v>
      </c>
    </row>
    <row r="483" spans="1:9" ht="18" customHeight="1" x14ac:dyDescent="0.25">
      <c r="A483" s="4" t="s">
        <v>949</v>
      </c>
      <c r="B483" s="4" t="s">
        <v>950</v>
      </c>
      <c r="C483" s="5">
        <v>0</v>
      </c>
      <c r="D483" s="5">
        <v>6</v>
      </c>
      <c r="E483" s="4" t="str">
        <f t="shared" si="21"/>
        <v>REORDER NOW</v>
      </c>
      <c r="F483" s="4"/>
      <c r="G483" s="4"/>
      <c r="H483" s="5">
        <f t="shared" si="22"/>
        <v>3</v>
      </c>
      <c r="I483" s="5">
        <f t="shared" si="23"/>
        <v>0</v>
      </c>
    </row>
    <row r="484" spans="1:9" ht="18" customHeight="1" x14ac:dyDescent="0.25">
      <c r="A484" s="2" t="s">
        <v>951</v>
      </c>
      <c r="B484" s="2" t="s">
        <v>952</v>
      </c>
      <c r="C484" s="3">
        <v>0</v>
      </c>
      <c r="D484" s="3">
        <v>6</v>
      </c>
      <c r="E484" s="2" t="str">
        <f t="shared" si="21"/>
        <v>REORDER NOW</v>
      </c>
      <c r="F484" s="2"/>
      <c r="G484" s="2"/>
      <c r="H484" s="3">
        <f t="shared" si="22"/>
        <v>3</v>
      </c>
      <c r="I484" s="3">
        <f t="shared" si="23"/>
        <v>0</v>
      </c>
    </row>
    <row r="485" spans="1:9" ht="18" customHeight="1" x14ac:dyDescent="0.25">
      <c r="A485" s="4" t="s">
        <v>953</v>
      </c>
      <c r="B485" s="4" t="s">
        <v>954</v>
      </c>
      <c r="C485" s="5">
        <v>0</v>
      </c>
      <c r="D485" s="5">
        <v>6</v>
      </c>
      <c r="E485" s="4" t="str">
        <f t="shared" si="21"/>
        <v>REORDER NOW</v>
      </c>
      <c r="F485" s="4"/>
      <c r="G485" s="4"/>
      <c r="H485" s="5">
        <f t="shared" si="22"/>
        <v>3</v>
      </c>
      <c r="I485" s="5">
        <f t="shared" si="23"/>
        <v>0</v>
      </c>
    </row>
    <row r="486" spans="1:9" ht="18" customHeight="1" x14ac:dyDescent="0.25">
      <c r="A486" s="2" t="s">
        <v>955</v>
      </c>
      <c r="B486" s="2" t="s">
        <v>956</v>
      </c>
      <c r="C486" s="3">
        <v>2</v>
      </c>
      <c r="D486" s="3">
        <v>6</v>
      </c>
      <c r="E486" s="2" t="str">
        <f t="shared" si="21"/>
        <v>REORDER NOW</v>
      </c>
      <c r="F486" s="2"/>
      <c r="G486" s="2"/>
      <c r="H486" s="3">
        <f t="shared" si="22"/>
        <v>3</v>
      </c>
      <c r="I486" s="3">
        <f t="shared" si="23"/>
        <v>0.7</v>
      </c>
    </row>
    <row r="487" spans="1:9" ht="18" customHeight="1" x14ac:dyDescent="0.25">
      <c r="A487" s="4" t="s">
        <v>957</v>
      </c>
      <c r="B487" s="4" t="s">
        <v>958</v>
      </c>
      <c r="C487" s="5">
        <v>0</v>
      </c>
      <c r="D487" s="5">
        <v>6</v>
      </c>
      <c r="E487" s="4" t="str">
        <f t="shared" si="21"/>
        <v>REORDER NOW</v>
      </c>
      <c r="F487" s="4"/>
      <c r="G487" s="4"/>
      <c r="H487" s="5">
        <f t="shared" si="22"/>
        <v>3</v>
      </c>
      <c r="I487" s="5">
        <f t="shared" si="23"/>
        <v>0</v>
      </c>
    </row>
    <row r="488" spans="1:9" ht="18" customHeight="1" x14ac:dyDescent="0.25">
      <c r="A488" s="2" t="s">
        <v>959</v>
      </c>
      <c r="B488" s="2" t="s">
        <v>960</v>
      </c>
      <c r="C488" s="3">
        <v>5</v>
      </c>
      <c r="D488" s="3">
        <v>6</v>
      </c>
      <c r="E488" s="2" t="str">
        <f t="shared" si="21"/>
        <v>REORDER NOW</v>
      </c>
      <c r="F488" s="2"/>
      <c r="G488" s="2"/>
      <c r="H488" s="3">
        <f t="shared" si="22"/>
        <v>3</v>
      </c>
      <c r="I488" s="3">
        <f t="shared" si="23"/>
        <v>1.7</v>
      </c>
    </row>
    <row r="489" spans="1:9" ht="18" customHeight="1" x14ac:dyDescent="0.25">
      <c r="A489" s="4" t="s">
        <v>961</v>
      </c>
      <c r="B489" s="4" t="s">
        <v>962</v>
      </c>
      <c r="C489" s="5">
        <v>0</v>
      </c>
      <c r="D489" s="5">
        <v>6</v>
      </c>
      <c r="E489" s="4" t="str">
        <f t="shared" si="21"/>
        <v>REORDER NOW</v>
      </c>
      <c r="F489" s="4"/>
      <c r="G489" s="4"/>
      <c r="H489" s="5">
        <f t="shared" si="22"/>
        <v>3</v>
      </c>
      <c r="I489" s="5">
        <f t="shared" si="23"/>
        <v>0</v>
      </c>
    </row>
    <row r="490" spans="1:9" ht="18" customHeight="1" x14ac:dyDescent="0.25">
      <c r="A490" s="2" t="s">
        <v>963</v>
      </c>
      <c r="B490" s="2" t="s">
        <v>964</v>
      </c>
      <c r="C490" s="3">
        <v>0</v>
      </c>
      <c r="D490" s="3">
        <v>6</v>
      </c>
      <c r="E490" s="2" t="str">
        <f t="shared" si="21"/>
        <v>REORDER NOW</v>
      </c>
      <c r="F490" s="2"/>
      <c r="G490" s="2"/>
      <c r="H490" s="3">
        <f t="shared" si="22"/>
        <v>3</v>
      </c>
      <c r="I490" s="3">
        <f t="shared" si="23"/>
        <v>0</v>
      </c>
    </row>
    <row r="491" spans="1:9" ht="18" customHeight="1" x14ac:dyDescent="0.25">
      <c r="A491" s="4" t="s">
        <v>965</v>
      </c>
      <c r="B491" s="4" t="s">
        <v>966</v>
      </c>
      <c r="C491" s="5">
        <v>5</v>
      </c>
      <c r="D491" s="5">
        <v>6</v>
      </c>
      <c r="E491" s="4" t="str">
        <f t="shared" si="21"/>
        <v>REORDER NOW</v>
      </c>
      <c r="F491" s="4"/>
      <c r="G491" s="4"/>
      <c r="H491" s="5">
        <f t="shared" si="22"/>
        <v>3</v>
      </c>
      <c r="I491" s="5">
        <f t="shared" si="23"/>
        <v>1.7</v>
      </c>
    </row>
    <row r="492" spans="1:9" ht="18" customHeight="1" x14ac:dyDescent="0.25">
      <c r="A492" s="2" t="s">
        <v>967</v>
      </c>
      <c r="B492" s="2" t="s">
        <v>968</v>
      </c>
      <c r="C492" s="3">
        <v>0</v>
      </c>
      <c r="D492" s="3">
        <v>6</v>
      </c>
      <c r="E492" s="2" t="str">
        <f t="shared" si="21"/>
        <v>REORDER NOW</v>
      </c>
      <c r="F492" s="2"/>
      <c r="G492" s="2"/>
      <c r="H492" s="3">
        <f t="shared" si="22"/>
        <v>3</v>
      </c>
      <c r="I492" s="3">
        <f t="shared" si="23"/>
        <v>0</v>
      </c>
    </row>
    <row r="493" spans="1:9" ht="18" customHeight="1" x14ac:dyDescent="0.25">
      <c r="A493" s="4" t="s">
        <v>969</v>
      </c>
      <c r="B493" s="4" t="s">
        <v>970</v>
      </c>
      <c r="C493" s="5">
        <v>0</v>
      </c>
      <c r="D493" s="5">
        <v>6</v>
      </c>
      <c r="E493" s="4" t="str">
        <f t="shared" si="21"/>
        <v>REORDER NOW</v>
      </c>
      <c r="F493" s="4"/>
      <c r="G493" s="4"/>
      <c r="H493" s="5">
        <f t="shared" si="22"/>
        <v>3</v>
      </c>
      <c r="I493" s="5">
        <f t="shared" si="23"/>
        <v>0</v>
      </c>
    </row>
    <row r="494" spans="1:9" ht="18" customHeight="1" x14ac:dyDescent="0.25">
      <c r="A494" s="2" t="s">
        <v>971</v>
      </c>
      <c r="B494" s="2" t="s">
        <v>972</v>
      </c>
      <c r="C494" s="3">
        <v>7</v>
      </c>
      <c r="D494" s="3">
        <v>10</v>
      </c>
      <c r="E494" s="2" t="str">
        <f t="shared" si="21"/>
        <v>REORDER NOW</v>
      </c>
      <c r="F494" s="2"/>
      <c r="G494" s="2"/>
      <c r="H494" s="3">
        <f t="shared" si="22"/>
        <v>5</v>
      </c>
      <c r="I494" s="3">
        <f t="shared" si="23"/>
        <v>1.4</v>
      </c>
    </row>
    <row r="495" spans="1:9" ht="18" customHeight="1" x14ac:dyDescent="0.25">
      <c r="A495" s="4" t="s">
        <v>973</v>
      </c>
      <c r="B495" s="4" t="s">
        <v>974</v>
      </c>
      <c r="C495" s="5">
        <v>8</v>
      </c>
      <c r="D495" s="5">
        <v>10</v>
      </c>
      <c r="E495" s="4" t="str">
        <f t="shared" si="21"/>
        <v>REORDER NOW</v>
      </c>
      <c r="F495" s="4"/>
      <c r="G495" s="4"/>
      <c r="H495" s="5">
        <f t="shared" si="22"/>
        <v>5</v>
      </c>
      <c r="I495" s="5">
        <f t="shared" si="23"/>
        <v>1.6</v>
      </c>
    </row>
    <row r="496" spans="1:9" ht="18" customHeight="1" x14ac:dyDescent="0.25">
      <c r="A496" s="2" t="s">
        <v>975</v>
      </c>
      <c r="B496" s="2" t="s">
        <v>976</v>
      </c>
      <c r="C496" s="3">
        <v>5</v>
      </c>
      <c r="D496" s="3">
        <v>6</v>
      </c>
      <c r="E496" s="2" t="str">
        <f t="shared" si="21"/>
        <v>REORDER NOW</v>
      </c>
      <c r="F496" s="2"/>
      <c r="G496" s="2"/>
      <c r="H496" s="3">
        <f t="shared" si="22"/>
        <v>3</v>
      </c>
      <c r="I496" s="3">
        <f t="shared" si="23"/>
        <v>1.7</v>
      </c>
    </row>
    <row r="497" spans="1:9" ht="18" customHeight="1" x14ac:dyDescent="0.25">
      <c r="A497" s="4" t="s">
        <v>977</v>
      </c>
      <c r="B497" s="4" t="s">
        <v>978</v>
      </c>
      <c r="C497" s="5">
        <v>0</v>
      </c>
      <c r="D497" s="5">
        <v>6</v>
      </c>
      <c r="E497" s="4" t="str">
        <f t="shared" si="21"/>
        <v>REORDER NOW</v>
      </c>
      <c r="F497" s="4"/>
      <c r="G497" s="4"/>
      <c r="H497" s="5">
        <f t="shared" si="22"/>
        <v>3</v>
      </c>
      <c r="I497" s="5">
        <f t="shared" si="23"/>
        <v>0</v>
      </c>
    </row>
    <row r="498" spans="1:9" ht="18" customHeight="1" x14ac:dyDescent="0.25">
      <c r="A498" s="2" t="s">
        <v>979</v>
      </c>
      <c r="B498" s="2" t="s">
        <v>980</v>
      </c>
      <c r="C498" s="3">
        <v>14</v>
      </c>
      <c r="D498" s="3">
        <v>10</v>
      </c>
      <c r="E498" s="2" t="str">
        <f t="shared" si="21"/>
        <v>OK</v>
      </c>
      <c r="F498" s="2"/>
      <c r="G498" s="2"/>
      <c r="H498" s="3">
        <f t="shared" si="22"/>
        <v>5</v>
      </c>
      <c r="I498" s="3">
        <f t="shared" si="23"/>
        <v>2.8</v>
      </c>
    </row>
    <row r="499" spans="1:9" ht="18" customHeight="1" x14ac:dyDescent="0.25">
      <c r="A499" s="4" t="s">
        <v>981</v>
      </c>
      <c r="B499" s="4" t="s">
        <v>982</v>
      </c>
      <c r="C499" s="5">
        <v>6</v>
      </c>
      <c r="D499" s="5">
        <v>10</v>
      </c>
      <c r="E499" s="4" t="str">
        <f t="shared" si="21"/>
        <v>REORDER NOW</v>
      </c>
      <c r="F499" s="4"/>
      <c r="G499" s="4"/>
      <c r="H499" s="5">
        <f t="shared" si="22"/>
        <v>5</v>
      </c>
      <c r="I499" s="5">
        <f t="shared" si="23"/>
        <v>1.2</v>
      </c>
    </row>
    <row r="500" spans="1:9" ht="18" customHeight="1" x14ac:dyDescent="0.25">
      <c r="A500" s="2" t="s">
        <v>983</v>
      </c>
      <c r="B500" s="2" t="s">
        <v>984</v>
      </c>
      <c r="C500" s="3">
        <v>4</v>
      </c>
      <c r="D500" s="3">
        <v>6</v>
      </c>
      <c r="E500" s="2" t="str">
        <f t="shared" si="21"/>
        <v>REORDER NOW</v>
      </c>
      <c r="F500" s="2"/>
      <c r="G500" s="2"/>
      <c r="H500" s="3">
        <f t="shared" si="22"/>
        <v>3</v>
      </c>
      <c r="I500" s="3">
        <f t="shared" si="23"/>
        <v>1.3</v>
      </c>
    </row>
    <row r="501" spans="1:9" ht="18" customHeight="1" x14ac:dyDescent="0.25">
      <c r="A501" s="4" t="s">
        <v>985</v>
      </c>
      <c r="B501" s="4" t="s">
        <v>986</v>
      </c>
      <c r="C501" s="5">
        <v>13</v>
      </c>
      <c r="D501" s="5">
        <v>10</v>
      </c>
      <c r="E501" s="4" t="str">
        <f t="shared" si="21"/>
        <v>OK</v>
      </c>
      <c r="F501" s="4"/>
      <c r="G501" s="4"/>
      <c r="H501" s="5">
        <f t="shared" si="22"/>
        <v>5</v>
      </c>
      <c r="I501" s="5">
        <f t="shared" si="23"/>
        <v>2.6</v>
      </c>
    </row>
    <row r="502" spans="1:9" ht="18" customHeight="1" x14ac:dyDescent="0.25">
      <c r="A502" s="2" t="s">
        <v>987</v>
      </c>
      <c r="B502" s="2" t="s">
        <v>988</v>
      </c>
      <c r="C502" s="3">
        <v>10</v>
      </c>
      <c r="D502" s="3">
        <v>10</v>
      </c>
      <c r="E502" s="2" t="str">
        <f t="shared" si="21"/>
        <v>REORDER NOW</v>
      </c>
      <c r="F502" s="2"/>
      <c r="G502" s="2"/>
      <c r="H502" s="3">
        <f t="shared" si="22"/>
        <v>5</v>
      </c>
      <c r="I502" s="3">
        <f t="shared" si="23"/>
        <v>2</v>
      </c>
    </row>
    <row r="503" spans="1:9" ht="18" customHeight="1" x14ac:dyDescent="0.25">
      <c r="A503" s="4" t="s">
        <v>989</v>
      </c>
      <c r="B503" s="4" t="s">
        <v>990</v>
      </c>
      <c r="C503" s="5">
        <v>9</v>
      </c>
      <c r="D503" s="5">
        <v>10</v>
      </c>
      <c r="E503" s="4" t="str">
        <f t="shared" si="21"/>
        <v>REORDER NOW</v>
      </c>
      <c r="F503" s="4"/>
      <c r="G503" s="4"/>
      <c r="H503" s="5">
        <f t="shared" si="22"/>
        <v>5</v>
      </c>
      <c r="I503" s="5">
        <f t="shared" si="23"/>
        <v>1.8</v>
      </c>
    </row>
    <row r="504" spans="1:9" ht="18" customHeight="1" x14ac:dyDescent="0.25">
      <c r="A504" s="2" t="s">
        <v>991</v>
      </c>
      <c r="B504" s="2" t="s">
        <v>992</v>
      </c>
      <c r="C504" s="3">
        <v>2</v>
      </c>
      <c r="D504" s="3">
        <v>6</v>
      </c>
      <c r="E504" s="2" t="str">
        <f t="shared" si="21"/>
        <v>REORDER NOW</v>
      </c>
      <c r="F504" s="2"/>
      <c r="G504" s="2"/>
      <c r="H504" s="3">
        <f t="shared" si="22"/>
        <v>3</v>
      </c>
      <c r="I504" s="3">
        <f t="shared" si="23"/>
        <v>0.7</v>
      </c>
    </row>
    <row r="505" spans="1:9" ht="18" customHeight="1" x14ac:dyDescent="0.25">
      <c r="A505" s="4" t="s">
        <v>993</v>
      </c>
      <c r="B505" s="4" t="s">
        <v>994</v>
      </c>
      <c r="C505" s="5">
        <v>10</v>
      </c>
      <c r="D505" s="5">
        <v>10</v>
      </c>
      <c r="E505" s="4" t="str">
        <f t="shared" si="21"/>
        <v>REORDER NOW</v>
      </c>
      <c r="F505" s="4"/>
      <c r="G505" s="4"/>
      <c r="H505" s="5">
        <f t="shared" si="22"/>
        <v>5</v>
      </c>
      <c r="I505" s="5">
        <f t="shared" si="23"/>
        <v>2</v>
      </c>
    </row>
    <row r="506" spans="1:9" ht="18" customHeight="1" x14ac:dyDescent="0.25">
      <c r="A506" s="2" t="s">
        <v>995</v>
      </c>
      <c r="B506" s="2" t="s">
        <v>996</v>
      </c>
      <c r="C506" s="3">
        <v>14</v>
      </c>
      <c r="D506" s="3">
        <v>10</v>
      </c>
      <c r="E506" s="2" t="str">
        <f t="shared" si="21"/>
        <v>OK</v>
      </c>
      <c r="F506" s="2"/>
      <c r="G506" s="2"/>
      <c r="H506" s="3">
        <f t="shared" si="22"/>
        <v>5</v>
      </c>
      <c r="I506" s="3">
        <f t="shared" si="23"/>
        <v>2.8</v>
      </c>
    </row>
    <row r="507" spans="1:9" ht="18" customHeight="1" x14ac:dyDescent="0.25">
      <c r="A507" s="4" t="s">
        <v>997</v>
      </c>
      <c r="B507" s="4" t="s">
        <v>998</v>
      </c>
      <c r="C507" s="5">
        <v>15</v>
      </c>
      <c r="D507" s="5">
        <v>10</v>
      </c>
      <c r="E507" s="4" t="str">
        <f t="shared" si="21"/>
        <v>OK</v>
      </c>
      <c r="F507" s="4"/>
      <c r="G507" s="4"/>
      <c r="H507" s="5">
        <f t="shared" si="22"/>
        <v>5</v>
      </c>
      <c r="I507" s="5">
        <f t="shared" si="23"/>
        <v>3</v>
      </c>
    </row>
    <row r="508" spans="1:9" ht="18" customHeight="1" x14ac:dyDescent="0.25">
      <c r="A508" s="2" t="s">
        <v>999</v>
      </c>
      <c r="B508" s="2" t="s">
        <v>1000</v>
      </c>
      <c r="C508" s="3">
        <v>0</v>
      </c>
      <c r="D508" s="3">
        <v>6</v>
      </c>
      <c r="E508" s="2" t="str">
        <f t="shared" si="21"/>
        <v>REORDER NOW</v>
      </c>
      <c r="F508" s="2"/>
      <c r="G508" s="2"/>
      <c r="H508" s="3">
        <f t="shared" si="22"/>
        <v>3</v>
      </c>
      <c r="I508" s="3">
        <f t="shared" si="23"/>
        <v>0</v>
      </c>
    </row>
    <row r="509" spans="1:9" ht="18" customHeight="1" x14ac:dyDescent="0.25">
      <c r="A509" s="4" t="s">
        <v>1001</v>
      </c>
      <c r="B509" s="4" t="s">
        <v>1002</v>
      </c>
      <c r="C509" s="5">
        <v>0</v>
      </c>
      <c r="D509" s="5">
        <v>6</v>
      </c>
      <c r="E509" s="4" t="str">
        <f t="shared" si="21"/>
        <v>REORDER NOW</v>
      </c>
      <c r="F509" s="4"/>
      <c r="G509" s="4"/>
      <c r="H509" s="5">
        <f t="shared" si="22"/>
        <v>3</v>
      </c>
      <c r="I509" s="5">
        <f t="shared" si="23"/>
        <v>0</v>
      </c>
    </row>
    <row r="510" spans="1:9" ht="18" customHeight="1" x14ac:dyDescent="0.25">
      <c r="A510" s="2" t="s">
        <v>1003</v>
      </c>
      <c r="B510" s="2" t="s">
        <v>1004</v>
      </c>
      <c r="C510" s="3">
        <v>9</v>
      </c>
      <c r="D510" s="3">
        <v>10</v>
      </c>
      <c r="E510" s="2" t="str">
        <f t="shared" si="21"/>
        <v>REORDER NOW</v>
      </c>
      <c r="F510" s="2"/>
      <c r="G510" s="2"/>
      <c r="H510" s="3">
        <f t="shared" si="22"/>
        <v>5</v>
      </c>
      <c r="I510" s="3">
        <f t="shared" si="23"/>
        <v>1.8</v>
      </c>
    </row>
    <row r="511" spans="1:9" ht="18" customHeight="1" x14ac:dyDescent="0.25">
      <c r="A511" s="4" t="s">
        <v>1005</v>
      </c>
      <c r="B511" s="4" t="s">
        <v>1006</v>
      </c>
      <c r="C511" s="5">
        <v>11</v>
      </c>
      <c r="D511" s="5">
        <v>10</v>
      </c>
      <c r="E511" s="4" t="str">
        <f t="shared" si="21"/>
        <v>OK</v>
      </c>
      <c r="F511" s="4"/>
      <c r="G511" s="4"/>
      <c r="H511" s="5">
        <f t="shared" si="22"/>
        <v>5</v>
      </c>
      <c r="I511" s="5">
        <f t="shared" si="23"/>
        <v>2.2000000000000002</v>
      </c>
    </row>
    <row r="512" spans="1:9" ht="18" customHeight="1" x14ac:dyDescent="0.25">
      <c r="A512" s="2" t="s">
        <v>1007</v>
      </c>
      <c r="B512" s="2" t="s">
        <v>1008</v>
      </c>
      <c r="C512" s="3">
        <v>3</v>
      </c>
      <c r="D512" s="3">
        <v>6</v>
      </c>
      <c r="E512" s="2" t="str">
        <f t="shared" si="21"/>
        <v>REORDER NOW</v>
      </c>
      <c r="F512" s="2"/>
      <c r="G512" s="2"/>
      <c r="H512" s="3">
        <f t="shared" si="22"/>
        <v>3</v>
      </c>
      <c r="I512" s="3">
        <f t="shared" si="23"/>
        <v>1</v>
      </c>
    </row>
    <row r="513" spans="1:9" ht="18" customHeight="1" x14ac:dyDescent="0.25">
      <c r="A513" s="4" t="s">
        <v>1009</v>
      </c>
      <c r="B513" s="4" t="s">
        <v>1010</v>
      </c>
      <c r="C513" s="5">
        <v>1</v>
      </c>
      <c r="D513" s="5">
        <v>6</v>
      </c>
      <c r="E513" s="4" t="str">
        <f t="shared" si="21"/>
        <v>REORDER NOW</v>
      </c>
      <c r="F513" s="4"/>
      <c r="G513" s="4"/>
      <c r="H513" s="5">
        <f t="shared" si="22"/>
        <v>3</v>
      </c>
      <c r="I513" s="5">
        <f t="shared" si="23"/>
        <v>0.3</v>
      </c>
    </row>
    <row r="514" spans="1:9" ht="18" customHeight="1" x14ac:dyDescent="0.25">
      <c r="A514" s="2" t="s">
        <v>1011</v>
      </c>
      <c r="B514" s="2" t="s">
        <v>1012</v>
      </c>
      <c r="C514" s="3">
        <v>14</v>
      </c>
      <c r="D514" s="3">
        <v>10</v>
      </c>
      <c r="E514" s="2" t="str">
        <f t="shared" si="21"/>
        <v>OK</v>
      </c>
      <c r="F514" s="2"/>
      <c r="G514" s="2"/>
      <c r="H514" s="3">
        <f t="shared" si="22"/>
        <v>5</v>
      </c>
      <c r="I514" s="3">
        <f t="shared" si="23"/>
        <v>2.8</v>
      </c>
    </row>
    <row r="515" spans="1:9" ht="18" customHeight="1" x14ac:dyDescent="0.25">
      <c r="A515" s="4" t="s">
        <v>1013</v>
      </c>
      <c r="B515" s="4" t="s">
        <v>1014</v>
      </c>
      <c r="C515" s="5">
        <v>0</v>
      </c>
      <c r="D515" s="5">
        <v>6</v>
      </c>
      <c r="E515" s="4" t="str">
        <f t="shared" si="21"/>
        <v>REORDER NOW</v>
      </c>
      <c r="F515" s="4"/>
      <c r="G515" s="4"/>
      <c r="H515" s="5">
        <f t="shared" si="22"/>
        <v>3</v>
      </c>
      <c r="I515" s="5">
        <f t="shared" si="23"/>
        <v>0</v>
      </c>
    </row>
    <row r="516" spans="1:9" ht="18" customHeight="1" x14ac:dyDescent="0.25">
      <c r="A516" s="2" t="s">
        <v>1015</v>
      </c>
      <c r="B516" s="2" t="s">
        <v>1016</v>
      </c>
      <c r="C516" s="3">
        <v>0</v>
      </c>
      <c r="D516" s="3">
        <v>6</v>
      </c>
      <c r="E516" s="2" t="str">
        <f t="shared" ref="E516:E579" si="24">IF(C516&lt;=D516,"REORDER NOW","OK")</f>
        <v>REORDER NOW</v>
      </c>
      <c r="F516" s="2"/>
      <c r="G516" s="2"/>
      <c r="H516" s="3">
        <f t="shared" ref="H516:H579" si="25">D516/2</f>
        <v>3</v>
      </c>
      <c r="I516" s="3">
        <f t="shared" ref="I516:I579" si="26">IF(H516=0,"N/A",ROUND(C516/H516,1))</f>
        <v>0</v>
      </c>
    </row>
    <row r="517" spans="1:9" ht="18" customHeight="1" x14ac:dyDescent="0.25">
      <c r="A517" s="4" t="s">
        <v>1017</v>
      </c>
      <c r="B517" s="4" t="s">
        <v>1018</v>
      </c>
      <c r="C517" s="5">
        <v>0</v>
      </c>
      <c r="D517" s="5">
        <v>6</v>
      </c>
      <c r="E517" s="4" t="str">
        <f t="shared" si="24"/>
        <v>REORDER NOW</v>
      </c>
      <c r="F517" s="4"/>
      <c r="G517" s="4"/>
      <c r="H517" s="5">
        <f t="shared" si="25"/>
        <v>3</v>
      </c>
      <c r="I517" s="5">
        <f t="shared" si="26"/>
        <v>0</v>
      </c>
    </row>
    <row r="518" spans="1:9" ht="18" customHeight="1" x14ac:dyDescent="0.25">
      <c r="A518" s="2" t="s">
        <v>1019</v>
      </c>
      <c r="B518" s="2" t="s">
        <v>1020</v>
      </c>
      <c r="C518" s="3">
        <v>0</v>
      </c>
      <c r="D518" s="3">
        <v>6</v>
      </c>
      <c r="E518" s="2" t="str">
        <f t="shared" si="24"/>
        <v>REORDER NOW</v>
      </c>
      <c r="F518" s="2"/>
      <c r="G518" s="2"/>
      <c r="H518" s="3">
        <f t="shared" si="25"/>
        <v>3</v>
      </c>
      <c r="I518" s="3">
        <f t="shared" si="26"/>
        <v>0</v>
      </c>
    </row>
    <row r="519" spans="1:9" ht="18" customHeight="1" x14ac:dyDescent="0.25">
      <c r="A519" s="4" t="s">
        <v>1021</v>
      </c>
      <c r="B519" s="4" t="s">
        <v>1022</v>
      </c>
      <c r="C519" s="5">
        <v>28</v>
      </c>
      <c r="D519" s="5">
        <v>20</v>
      </c>
      <c r="E519" s="4" t="str">
        <f t="shared" si="24"/>
        <v>OK</v>
      </c>
      <c r="F519" s="4"/>
      <c r="G519" s="4"/>
      <c r="H519" s="5">
        <f t="shared" si="25"/>
        <v>10</v>
      </c>
      <c r="I519" s="5">
        <f t="shared" si="26"/>
        <v>2.8</v>
      </c>
    </row>
    <row r="520" spans="1:9" ht="18" customHeight="1" x14ac:dyDescent="0.25">
      <c r="A520" s="2" t="s">
        <v>1023</v>
      </c>
      <c r="B520" s="2" t="s">
        <v>1024</v>
      </c>
      <c r="C520" s="3">
        <v>18</v>
      </c>
      <c r="D520" s="3">
        <v>10</v>
      </c>
      <c r="E520" s="2" t="str">
        <f t="shared" si="24"/>
        <v>OK</v>
      </c>
      <c r="F520" s="2"/>
      <c r="G520" s="2"/>
      <c r="H520" s="3">
        <f t="shared" si="25"/>
        <v>5</v>
      </c>
      <c r="I520" s="3">
        <f t="shared" si="26"/>
        <v>3.6</v>
      </c>
    </row>
    <row r="521" spans="1:9" ht="18" customHeight="1" x14ac:dyDescent="0.25">
      <c r="A521" s="4" t="s">
        <v>1025</v>
      </c>
      <c r="B521" s="4" t="s">
        <v>1026</v>
      </c>
      <c r="C521" s="5">
        <v>12</v>
      </c>
      <c r="D521" s="5">
        <v>10</v>
      </c>
      <c r="E521" s="4" t="str">
        <f t="shared" si="24"/>
        <v>OK</v>
      </c>
      <c r="F521" s="4"/>
      <c r="G521" s="4"/>
      <c r="H521" s="5">
        <f t="shared" si="25"/>
        <v>5</v>
      </c>
      <c r="I521" s="5">
        <f t="shared" si="26"/>
        <v>2.4</v>
      </c>
    </row>
    <row r="522" spans="1:9" ht="18" customHeight="1" x14ac:dyDescent="0.25">
      <c r="A522" s="2" t="s">
        <v>1027</v>
      </c>
      <c r="B522" s="2" t="s">
        <v>233</v>
      </c>
      <c r="C522" s="3">
        <v>65</v>
      </c>
      <c r="D522" s="3">
        <v>40</v>
      </c>
      <c r="E522" s="2" t="str">
        <f t="shared" si="24"/>
        <v>OK</v>
      </c>
      <c r="F522" s="2"/>
      <c r="G522" s="2"/>
      <c r="H522" s="3">
        <f t="shared" si="25"/>
        <v>20</v>
      </c>
      <c r="I522" s="3">
        <f t="shared" si="26"/>
        <v>3.3</v>
      </c>
    </row>
    <row r="523" spans="1:9" ht="18" customHeight="1" x14ac:dyDescent="0.25">
      <c r="A523" s="4" t="s">
        <v>1028</v>
      </c>
      <c r="B523" s="4" t="s">
        <v>1029</v>
      </c>
      <c r="C523" s="5">
        <v>1</v>
      </c>
      <c r="D523" s="5">
        <v>6</v>
      </c>
      <c r="E523" s="4" t="str">
        <f t="shared" si="24"/>
        <v>REORDER NOW</v>
      </c>
      <c r="F523" s="4"/>
      <c r="G523" s="4"/>
      <c r="H523" s="5">
        <f t="shared" si="25"/>
        <v>3</v>
      </c>
      <c r="I523" s="5">
        <f t="shared" si="26"/>
        <v>0.3</v>
      </c>
    </row>
    <row r="524" spans="1:9" ht="18" customHeight="1" x14ac:dyDescent="0.25">
      <c r="A524" s="2" t="s">
        <v>1030</v>
      </c>
      <c r="B524" s="2" t="s">
        <v>1031</v>
      </c>
      <c r="C524" s="3">
        <v>0</v>
      </c>
      <c r="D524" s="3">
        <v>6</v>
      </c>
      <c r="E524" s="2" t="str">
        <f t="shared" si="24"/>
        <v>REORDER NOW</v>
      </c>
      <c r="F524" s="2"/>
      <c r="G524" s="2"/>
      <c r="H524" s="3">
        <f t="shared" si="25"/>
        <v>3</v>
      </c>
      <c r="I524" s="3">
        <f t="shared" si="26"/>
        <v>0</v>
      </c>
    </row>
    <row r="525" spans="1:9" ht="18" customHeight="1" x14ac:dyDescent="0.25">
      <c r="A525" s="4" t="s">
        <v>1032</v>
      </c>
      <c r="B525" s="4" t="s">
        <v>1033</v>
      </c>
      <c r="C525" s="5">
        <v>0</v>
      </c>
      <c r="D525" s="5">
        <v>6</v>
      </c>
      <c r="E525" s="4" t="str">
        <f t="shared" si="24"/>
        <v>REORDER NOW</v>
      </c>
      <c r="F525" s="4"/>
      <c r="G525" s="4"/>
      <c r="H525" s="5">
        <f t="shared" si="25"/>
        <v>3</v>
      </c>
      <c r="I525" s="5">
        <f t="shared" si="26"/>
        <v>0</v>
      </c>
    </row>
    <row r="526" spans="1:9" ht="18" customHeight="1" x14ac:dyDescent="0.25">
      <c r="A526" s="2" t="s">
        <v>1034</v>
      </c>
      <c r="B526" s="2" t="s">
        <v>1035</v>
      </c>
      <c r="C526" s="3">
        <v>1</v>
      </c>
      <c r="D526" s="3">
        <v>6</v>
      </c>
      <c r="E526" s="2" t="str">
        <f t="shared" si="24"/>
        <v>REORDER NOW</v>
      </c>
      <c r="F526" s="2"/>
      <c r="G526" s="2"/>
      <c r="H526" s="3">
        <f t="shared" si="25"/>
        <v>3</v>
      </c>
      <c r="I526" s="3">
        <f t="shared" si="26"/>
        <v>0.3</v>
      </c>
    </row>
    <row r="527" spans="1:9" ht="18" customHeight="1" x14ac:dyDescent="0.25">
      <c r="A527" s="4" t="s">
        <v>1036</v>
      </c>
      <c r="B527" s="4" t="s">
        <v>1037</v>
      </c>
      <c r="C527" s="5">
        <v>4</v>
      </c>
      <c r="D527" s="5">
        <v>6</v>
      </c>
      <c r="E527" s="4" t="str">
        <f t="shared" si="24"/>
        <v>REORDER NOW</v>
      </c>
      <c r="F527" s="4"/>
      <c r="G527" s="4"/>
      <c r="H527" s="5">
        <f t="shared" si="25"/>
        <v>3</v>
      </c>
      <c r="I527" s="5">
        <f t="shared" si="26"/>
        <v>1.3</v>
      </c>
    </row>
    <row r="528" spans="1:9" ht="18" customHeight="1" x14ac:dyDescent="0.25">
      <c r="A528" s="2" t="s">
        <v>1038</v>
      </c>
      <c r="B528" s="2" t="s">
        <v>1039</v>
      </c>
      <c r="C528" s="3">
        <v>16</v>
      </c>
      <c r="D528" s="3">
        <v>10</v>
      </c>
      <c r="E528" s="2" t="str">
        <f t="shared" si="24"/>
        <v>OK</v>
      </c>
      <c r="F528" s="2"/>
      <c r="G528" s="2"/>
      <c r="H528" s="3">
        <f t="shared" si="25"/>
        <v>5</v>
      </c>
      <c r="I528" s="3">
        <f t="shared" si="26"/>
        <v>3.2</v>
      </c>
    </row>
    <row r="529" spans="1:9" ht="18" customHeight="1" x14ac:dyDescent="0.25">
      <c r="A529" s="4" t="s">
        <v>1040</v>
      </c>
      <c r="B529" s="4" t="s">
        <v>1041</v>
      </c>
      <c r="C529" s="5">
        <v>2</v>
      </c>
      <c r="D529" s="5">
        <v>6</v>
      </c>
      <c r="E529" s="4" t="str">
        <f t="shared" si="24"/>
        <v>REORDER NOW</v>
      </c>
      <c r="F529" s="4"/>
      <c r="G529" s="4"/>
      <c r="H529" s="5">
        <f t="shared" si="25"/>
        <v>3</v>
      </c>
      <c r="I529" s="5">
        <f t="shared" si="26"/>
        <v>0.7</v>
      </c>
    </row>
    <row r="530" spans="1:9" ht="18" customHeight="1" x14ac:dyDescent="0.25">
      <c r="A530" s="2" t="s">
        <v>1042</v>
      </c>
      <c r="B530" s="2" t="s">
        <v>1043</v>
      </c>
      <c r="C530" s="3">
        <v>2</v>
      </c>
      <c r="D530" s="3">
        <v>6</v>
      </c>
      <c r="E530" s="2" t="str">
        <f t="shared" si="24"/>
        <v>REORDER NOW</v>
      </c>
      <c r="F530" s="2"/>
      <c r="G530" s="2"/>
      <c r="H530" s="3">
        <f t="shared" si="25"/>
        <v>3</v>
      </c>
      <c r="I530" s="3">
        <f t="shared" si="26"/>
        <v>0.7</v>
      </c>
    </row>
    <row r="531" spans="1:9" ht="18" customHeight="1" x14ac:dyDescent="0.25">
      <c r="A531" s="4" t="s">
        <v>1044</v>
      </c>
      <c r="B531" s="4" t="s">
        <v>1045</v>
      </c>
      <c r="C531" s="5">
        <v>7</v>
      </c>
      <c r="D531" s="5">
        <v>10</v>
      </c>
      <c r="E531" s="4" t="str">
        <f t="shared" si="24"/>
        <v>REORDER NOW</v>
      </c>
      <c r="F531" s="4"/>
      <c r="G531" s="4"/>
      <c r="H531" s="5">
        <f t="shared" si="25"/>
        <v>5</v>
      </c>
      <c r="I531" s="5">
        <f t="shared" si="26"/>
        <v>1.4</v>
      </c>
    </row>
    <row r="532" spans="1:9" ht="18" customHeight="1" x14ac:dyDescent="0.25">
      <c r="A532" s="2" t="s">
        <v>1046</v>
      </c>
      <c r="B532" s="2" t="s">
        <v>1047</v>
      </c>
      <c r="C532" s="3">
        <v>0</v>
      </c>
      <c r="D532" s="3">
        <v>6</v>
      </c>
      <c r="E532" s="2" t="str">
        <f t="shared" si="24"/>
        <v>REORDER NOW</v>
      </c>
      <c r="F532" s="2"/>
      <c r="G532" s="2"/>
      <c r="H532" s="3">
        <f t="shared" si="25"/>
        <v>3</v>
      </c>
      <c r="I532" s="3">
        <f t="shared" si="26"/>
        <v>0</v>
      </c>
    </row>
    <row r="533" spans="1:9" ht="18" customHeight="1" x14ac:dyDescent="0.25">
      <c r="A533" s="4" t="s">
        <v>1048</v>
      </c>
      <c r="B533" s="4" t="s">
        <v>1049</v>
      </c>
      <c r="C533" s="5">
        <v>23</v>
      </c>
      <c r="D533" s="5">
        <v>20</v>
      </c>
      <c r="E533" s="4" t="str">
        <f t="shared" si="24"/>
        <v>OK</v>
      </c>
      <c r="F533" s="4"/>
      <c r="G533" s="4"/>
      <c r="H533" s="5">
        <f t="shared" si="25"/>
        <v>10</v>
      </c>
      <c r="I533" s="5">
        <f t="shared" si="26"/>
        <v>2.2999999999999998</v>
      </c>
    </row>
    <row r="534" spans="1:9" ht="18" customHeight="1" x14ac:dyDescent="0.25">
      <c r="A534" s="2" t="s">
        <v>1050</v>
      </c>
      <c r="B534" s="2" t="s">
        <v>1051</v>
      </c>
      <c r="C534" s="3">
        <v>8</v>
      </c>
      <c r="D534" s="3">
        <v>10</v>
      </c>
      <c r="E534" s="2" t="str">
        <f t="shared" si="24"/>
        <v>REORDER NOW</v>
      </c>
      <c r="F534" s="2"/>
      <c r="G534" s="2"/>
      <c r="H534" s="3">
        <f t="shared" si="25"/>
        <v>5</v>
      </c>
      <c r="I534" s="3">
        <f t="shared" si="26"/>
        <v>1.6</v>
      </c>
    </row>
    <row r="535" spans="1:9" ht="18" customHeight="1" x14ac:dyDescent="0.25">
      <c r="A535" s="4" t="s">
        <v>1052</v>
      </c>
      <c r="B535" s="4" t="s">
        <v>1053</v>
      </c>
      <c r="C535" s="5">
        <v>2</v>
      </c>
      <c r="D535" s="5">
        <v>6</v>
      </c>
      <c r="E535" s="4" t="str">
        <f t="shared" si="24"/>
        <v>REORDER NOW</v>
      </c>
      <c r="F535" s="4"/>
      <c r="G535" s="4"/>
      <c r="H535" s="5">
        <f t="shared" si="25"/>
        <v>3</v>
      </c>
      <c r="I535" s="5">
        <f t="shared" si="26"/>
        <v>0.7</v>
      </c>
    </row>
    <row r="536" spans="1:9" ht="18" customHeight="1" x14ac:dyDescent="0.25">
      <c r="A536" s="2" t="s">
        <v>1054</v>
      </c>
      <c r="B536" s="2" t="s">
        <v>1055</v>
      </c>
      <c r="C536" s="3">
        <v>1</v>
      </c>
      <c r="D536" s="3">
        <v>6</v>
      </c>
      <c r="E536" s="2" t="str">
        <f t="shared" si="24"/>
        <v>REORDER NOW</v>
      </c>
      <c r="F536" s="2"/>
      <c r="G536" s="2"/>
      <c r="H536" s="3">
        <f t="shared" si="25"/>
        <v>3</v>
      </c>
      <c r="I536" s="3">
        <f t="shared" si="26"/>
        <v>0.3</v>
      </c>
    </row>
    <row r="537" spans="1:9" ht="18" customHeight="1" x14ac:dyDescent="0.25">
      <c r="A537" s="4" t="s">
        <v>1056</v>
      </c>
      <c r="B537" s="4" t="s">
        <v>1057</v>
      </c>
      <c r="C537" s="5">
        <v>1</v>
      </c>
      <c r="D537" s="5">
        <v>6</v>
      </c>
      <c r="E537" s="4" t="str">
        <f t="shared" si="24"/>
        <v>REORDER NOW</v>
      </c>
      <c r="F537" s="4"/>
      <c r="G537" s="4"/>
      <c r="H537" s="5">
        <f t="shared" si="25"/>
        <v>3</v>
      </c>
      <c r="I537" s="5">
        <f t="shared" si="26"/>
        <v>0.3</v>
      </c>
    </row>
    <row r="538" spans="1:9" ht="18" customHeight="1" x14ac:dyDescent="0.25">
      <c r="A538" s="2" t="s">
        <v>1058</v>
      </c>
      <c r="B538" s="2" t="s">
        <v>1059</v>
      </c>
      <c r="C538" s="3">
        <v>0</v>
      </c>
      <c r="D538" s="3">
        <v>6</v>
      </c>
      <c r="E538" s="2" t="str">
        <f t="shared" si="24"/>
        <v>REORDER NOW</v>
      </c>
      <c r="F538" s="2"/>
      <c r="G538" s="2"/>
      <c r="H538" s="3">
        <f t="shared" si="25"/>
        <v>3</v>
      </c>
      <c r="I538" s="3">
        <f t="shared" si="26"/>
        <v>0</v>
      </c>
    </row>
    <row r="539" spans="1:9" ht="18" customHeight="1" x14ac:dyDescent="0.25">
      <c r="A539" s="4" t="s">
        <v>1060</v>
      </c>
      <c r="B539" s="4" t="s">
        <v>1061</v>
      </c>
      <c r="C539" s="5">
        <v>10</v>
      </c>
      <c r="D539" s="5">
        <v>10</v>
      </c>
      <c r="E539" s="4" t="str">
        <f t="shared" si="24"/>
        <v>REORDER NOW</v>
      </c>
      <c r="F539" s="4"/>
      <c r="G539" s="4"/>
      <c r="H539" s="5">
        <f t="shared" si="25"/>
        <v>5</v>
      </c>
      <c r="I539" s="5">
        <f t="shared" si="26"/>
        <v>2</v>
      </c>
    </row>
    <row r="540" spans="1:9" ht="18" customHeight="1" x14ac:dyDescent="0.25">
      <c r="A540" s="2" t="s">
        <v>1062</v>
      </c>
      <c r="B540" s="2" t="s">
        <v>1063</v>
      </c>
      <c r="C540" s="3">
        <v>0</v>
      </c>
      <c r="D540" s="3">
        <v>6</v>
      </c>
      <c r="E540" s="2" t="str">
        <f t="shared" si="24"/>
        <v>REORDER NOW</v>
      </c>
      <c r="F540" s="2"/>
      <c r="G540" s="2"/>
      <c r="H540" s="3">
        <f t="shared" si="25"/>
        <v>3</v>
      </c>
      <c r="I540" s="3">
        <f t="shared" si="26"/>
        <v>0</v>
      </c>
    </row>
    <row r="541" spans="1:9" ht="18" customHeight="1" x14ac:dyDescent="0.25">
      <c r="A541" s="4" t="s">
        <v>1064</v>
      </c>
      <c r="B541" s="4" t="s">
        <v>1065</v>
      </c>
      <c r="C541" s="5">
        <v>10</v>
      </c>
      <c r="D541" s="5">
        <v>10</v>
      </c>
      <c r="E541" s="4" t="str">
        <f t="shared" si="24"/>
        <v>REORDER NOW</v>
      </c>
      <c r="F541" s="4"/>
      <c r="G541" s="4"/>
      <c r="H541" s="5">
        <f t="shared" si="25"/>
        <v>5</v>
      </c>
      <c r="I541" s="5">
        <f t="shared" si="26"/>
        <v>2</v>
      </c>
    </row>
    <row r="542" spans="1:9" ht="18" customHeight="1" x14ac:dyDescent="0.25">
      <c r="A542" s="2" t="s">
        <v>1066</v>
      </c>
      <c r="B542" s="2" t="s">
        <v>1067</v>
      </c>
      <c r="C542" s="3">
        <v>5</v>
      </c>
      <c r="D542" s="3">
        <v>6</v>
      </c>
      <c r="E542" s="2" t="str">
        <f t="shared" si="24"/>
        <v>REORDER NOW</v>
      </c>
      <c r="F542" s="2"/>
      <c r="G542" s="2"/>
      <c r="H542" s="3">
        <f t="shared" si="25"/>
        <v>3</v>
      </c>
      <c r="I542" s="3">
        <f t="shared" si="26"/>
        <v>1.7</v>
      </c>
    </row>
    <row r="543" spans="1:9" ht="18" customHeight="1" x14ac:dyDescent="0.25">
      <c r="A543" s="4" t="s">
        <v>1068</v>
      </c>
      <c r="B543" s="4" t="s">
        <v>1069</v>
      </c>
      <c r="C543" s="5">
        <v>0</v>
      </c>
      <c r="D543" s="5">
        <v>6</v>
      </c>
      <c r="E543" s="4" t="str">
        <f t="shared" si="24"/>
        <v>REORDER NOW</v>
      </c>
      <c r="F543" s="4"/>
      <c r="G543" s="4"/>
      <c r="H543" s="5">
        <f t="shared" si="25"/>
        <v>3</v>
      </c>
      <c r="I543" s="5">
        <f t="shared" si="26"/>
        <v>0</v>
      </c>
    </row>
    <row r="544" spans="1:9" ht="18" customHeight="1" x14ac:dyDescent="0.25">
      <c r="A544" s="2" t="s">
        <v>1070</v>
      </c>
      <c r="B544" s="2" t="s">
        <v>1071</v>
      </c>
      <c r="C544" s="3">
        <v>0</v>
      </c>
      <c r="D544" s="3">
        <v>6</v>
      </c>
      <c r="E544" s="2" t="str">
        <f t="shared" si="24"/>
        <v>REORDER NOW</v>
      </c>
      <c r="F544" s="2"/>
      <c r="G544" s="2"/>
      <c r="H544" s="3">
        <f t="shared" si="25"/>
        <v>3</v>
      </c>
      <c r="I544" s="3">
        <f t="shared" si="26"/>
        <v>0</v>
      </c>
    </row>
    <row r="545" spans="1:9" ht="18" customHeight="1" x14ac:dyDescent="0.25">
      <c r="A545" s="4" t="s">
        <v>1072</v>
      </c>
      <c r="B545" s="4" t="s">
        <v>1073</v>
      </c>
      <c r="C545" s="5">
        <v>3</v>
      </c>
      <c r="D545" s="5">
        <v>6</v>
      </c>
      <c r="E545" s="4" t="str">
        <f t="shared" si="24"/>
        <v>REORDER NOW</v>
      </c>
      <c r="F545" s="4"/>
      <c r="G545" s="4"/>
      <c r="H545" s="5">
        <f t="shared" si="25"/>
        <v>3</v>
      </c>
      <c r="I545" s="5">
        <f t="shared" si="26"/>
        <v>1</v>
      </c>
    </row>
    <row r="546" spans="1:9" ht="18" customHeight="1" x14ac:dyDescent="0.25">
      <c r="A546" s="2" t="s">
        <v>1074</v>
      </c>
      <c r="B546" s="2" t="s">
        <v>1075</v>
      </c>
      <c r="C546" s="3">
        <v>5</v>
      </c>
      <c r="D546" s="3">
        <v>6</v>
      </c>
      <c r="E546" s="2" t="str">
        <f t="shared" si="24"/>
        <v>REORDER NOW</v>
      </c>
      <c r="F546" s="2"/>
      <c r="G546" s="2"/>
      <c r="H546" s="3">
        <f t="shared" si="25"/>
        <v>3</v>
      </c>
      <c r="I546" s="3">
        <f t="shared" si="26"/>
        <v>1.7</v>
      </c>
    </row>
    <row r="547" spans="1:9" ht="18" customHeight="1" x14ac:dyDescent="0.25">
      <c r="A547" s="4" t="s">
        <v>1076</v>
      </c>
      <c r="B547" s="4" t="s">
        <v>1077</v>
      </c>
      <c r="C547" s="5">
        <v>2</v>
      </c>
      <c r="D547" s="5">
        <v>6</v>
      </c>
      <c r="E547" s="4" t="str">
        <f t="shared" si="24"/>
        <v>REORDER NOW</v>
      </c>
      <c r="F547" s="4"/>
      <c r="G547" s="4"/>
      <c r="H547" s="5">
        <f t="shared" si="25"/>
        <v>3</v>
      </c>
      <c r="I547" s="5">
        <f t="shared" si="26"/>
        <v>0.7</v>
      </c>
    </row>
    <row r="548" spans="1:9" ht="18" customHeight="1" x14ac:dyDescent="0.25">
      <c r="A548" s="2" t="s">
        <v>1078</v>
      </c>
      <c r="B548" s="2" t="s">
        <v>1079</v>
      </c>
      <c r="C548" s="3">
        <v>10</v>
      </c>
      <c r="D548" s="3">
        <v>10</v>
      </c>
      <c r="E548" s="2" t="str">
        <f t="shared" si="24"/>
        <v>REORDER NOW</v>
      </c>
      <c r="F548" s="2"/>
      <c r="G548" s="2"/>
      <c r="H548" s="3">
        <f t="shared" si="25"/>
        <v>5</v>
      </c>
      <c r="I548" s="3">
        <f t="shared" si="26"/>
        <v>2</v>
      </c>
    </row>
    <row r="549" spans="1:9" ht="18" customHeight="1" x14ac:dyDescent="0.25">
      <c r="A549" s="4" t="s">
        <v>1080</v>
      </c>
      <c r="B549" s="4" t="s">
        <v>1081</v>
      </c>
      <c r="C549" s="5">
        <v>5</v>
      </c>
      <c r="D549" s="5">
        <v>6</v>
      </c>
      <c r="E549" s="4" t="str">
        <f t="shared" si="24"/>
        <v>REORDER NOW</v>
      </c>
      <c r="F549" s="4"/>
      <c r="G549" s="4"/>
      <c r="H549" s="5">
        <f t="shared" si="25"/>
        <v>3</v>
      </c>
      <c r="I549" s="5">
        <f t="shared" si="26"/>
        <v>1.7</v>
      </c>
    </row>
    <row r="550" spans="1:9" ht="18" customHeight="1" x14ac:dyDescent="0.25">
      <c r="A550" s="2" t="s">
        <v>1082</v>
      </c>
      <c r="B550" s="2" t="s">
        <v>1083</v>
      </c>
      <c r="C550" s="3">
        <v>7</v>
      </c>
      <c r="D550" s="3">
        <v>10</v>
      </c>
      <c r="E550" s="2" t="str">
        <f t="shared" si="24"/>
        <v>REORDER NOW</v>
      </c>
      <c r="F550" s="2"/>
      <c r="G550" s="2"/>
      <c r="H550" s="3">
        <f t="shared" si="25"/>
        <v>5</v>
      </c>
      <c r="I550" s="3">
        <f t="shared" si="26"/>
        <v>1.4</v>
      </c>
    </row>
    <row r="551" spans="1:9" ht="18" customHeight="1" x14ac:dyDescent="0.25">
      <c r="A551" s="4" t="s">
        <v>1084</v>
      </c>
      <c r="B551" s="4" t="s">
        <v>1085</v>
      </c>
      <c r="C551" s="5">
        <v>3</v>
      </c>
      <c r="D551" s="5">
        <v>6</v>
      </c>
      <c r="E551" s="4" t="str">
        <f t="shared" si="24"/>
        <v>REORDER NOW</v>
      </c>
      <c r="F551" s="4"/>
      <c r="G551" s="4"/>
      <c r="H551" s="5">
        <f t="shared" si="25"/>
        <v>3</v>
      </c>
      <c r="I551" s="5">
        <f t="shared" si="26"/>
        <v>1</v>
      </c>
    </row>
    <row r="552" spans="1:9" ht="18" customHeight="1" x14ac:dyDescent="0.25">
      <c r="A552" s="2" t="s">
        <v>1086</v>
      </c>
      <c r="B552" s="2" t="s">
        <v>1087</v>
      </c>
      <c r="C552" s="3">
        <v>6</v>
      </c>
      <c r="D552" s="3">
        <v>10</v>
      </c>
      <c r="E552" s="2" t="str">
        <f t="shared" si="24"/>
        <v>REORDER NOW</v>
      </c>
      <c r="F552" s="2"/>
      <c r="G552" s="2"/>
      <c r="H552" s="3">
        <f t="shared" si="25"/>
        <v>5</v>
      </c>
      <c r="I552" s="3">
        <f t="shared" si="26"/>
        <v>1.2</v>
      </c>
    </row>
    <row r="553" spans="1:9" ht="18" customHeight="1" x14ac:dyDescent="0.25">
      <c r="A553" s="4" t="s">
        <v>1088</v>
      </c>
      <c r="B553" s="4" t="s">
        <v>1089</v>
      </c>
      <c r="C553" s="5">
        <v>0</v>
      </c>
      <c r="D553" s="5">
        <v>6</v>
      </c>
      <c r="E553" s="4" t="str">
        <f t="shared" si="24"/>
        <v>REORDER NOW</v>
      </c>
      <c r="F553" s="4"/>
      <c r="G553" s="4"/>
      <c r="H553" s="5">
        <f t="shared" si="25"/>
        <v>3</v>
      </c>
      <c r="I553" s="5">
        <f t="shared" si="26"/>
        <v>0</v>
      </c>
    </row>
    <row r="554" spans="1:9" ht="18" customHeight="1" x14ac:dyDescent="0.25">
      <c r="A554" s="2" t="s">
        <v>1090</v>
      </c>
      <c r="B554" s="2" t="s">
        <v>1091</v>
      </c>
      <c r="C554" s="3">
        <v>3</v>
      </c>
      <c r="D554" s="3">
        <v>6</v>
      </c>
      <c r="E554" s="2" t="str">
        <f t="shared" si="24"/>
        <v>REORDER NOW</v>
      </c>
      <c r="F554" s="2"/>
      <c r="G554" s="2"/>
      <c r="H554" s="3">
        <f t="shared" si="25"/>
        <v>3</v>
      </c>
      <c r="I554" s="3">
        <f t="shared" si="26"/>
        <v>1</v>
      </c>
    </row>
    <row r="555" spans="1:9" ht="18" customHeight="1" x14ac:dyDescent="0.25">
      <c r="A555" s="4" t="s">
        <v>1092</v>
      </c>
      <c r="B555" s="4" t="s">
        <v>1093</v>
      </c>
      <c r="C555" s="5">
        <v>7</v>
      </c>
      <c r="D555" s="5">
        <v>10</v>
      </c>
      <c r="E555" s="4" t="str">
        <f t="shared" si="24"/>
        <v>REORDER NOW</v>
      </c>
      <c r="F555" s="4"/>
      <c r="G555" s="4"/>
      <c r="H555" s="5">
        <f t="shared" si="25"/>
        <v>5</v>
      </c>
      <c r="I555" s="5">
        <f t="shared" si="26"/>
        <v>1.4</v>
      </c>
    </row>
    <row r="556" spans="1:9" ht="18" customHeight="1" x14ac:dyDescent="0.25">
      <c r="A556" s="2" t="s">
        <v>1094</v>
      </c>
      <c r="B556" s="2" t="s">
        <v>1095</v>
      </c>
      <c r="C556" s="3">
        <v>0</v>
      </c>
      <c r="D556" s="3">
        <v>6</v>
      </c>
      <c r="E556" s="2" t="str">
        <f t="shared" si="24"/>
        <v>REORDER NOW</v>
      </c>
      <c r="F556" s="2"/>
      <c r="G556" s="2"/>
      <c r="H556" s="3">
        <f t="shared" si="25"/>
        <v>3</v>
      </c>
      <c r="I556" s="3">
        <f t="shared" si="26"/>
        <v>0</v>
      </c>
    </row>
    <row r="557" spans="1:9" ht="18" customHeight="1" x14ac:dyDescent="0.25">
      <c r="A557" s="4" t="s">
        <v>1096</v>
      </c>
      <c r="B557" s="4" t="s">
        <v>1097</v>
      </c>
      <c r="C557" s="5">
        <v>3</v>
      </c>
      <c r="D557" s="5">
        <v>6</v>
      </c>
      <c r="E557" s="4" t="str">
        <f t="shared" si="24"/>
        <v>REORDER NOW</v>
      </c>
      <c r="F557" s="4"/>
      <c r="G557" s="4"/>
      <c r="H557" s="5">
        <f t="shared" si="25"/>
        <v>3</v>
      </c>
      <c r="I557" s="5">
        <f t="shared" si="26"/>
        <v>1</v>
      </c>
    </row>
    <row r="558" spans="1:9" ht="18" customHeight="1" x14ac:dyDescent="0.25">
      <c r="A558" s="2" t="s">
        <v>1098</v>
      </c>
      <c r="B558" s="2" t="s">
        <v>1099</v>
      </c>
      <c r="C558" s="3">
        <v>5</v>
      </c>
      <c r="D558" s="3">
        <v>6</v>
      </c>
      <c r="E558" s="2" t="str">
        <f t="shared" si="24"/>
        <v>REORDER NOW</v>
      </c>
      <c r="F558" s="2"/>
      <c r="G558" s="2"/>
      <c r="H558" s="3">
        <f t="shared" si="25"/>
        <v>3</v>
      </c>
      <c r="I558" s="3">
        <f t="shared" si="26"/>
        <v>1.7</v>
      </c>
    </row>
    <row r="559" spans="1:9" ht="18" customHeight="1" x14ac:dyDescent="0.25">
      <c r="A559" s="4" t="s">
        <v>1100</v>
      </c>
      <c r="B559" s="4" t="s">
        <v>1101</v>
      </c>
      <c r="C559" s="5">
        <v>3</v>
      </c>
      <c r="D559" s="5">
        <v>6</v>
      </c>
      <c r="E559" s="4" t="str">
        <f t="shared" si="24"/>
        <v>REORDER NOW</v>
      </c>
      <c r="F559" s="4"/>
      <c r="G559" s="4"/>
      <c r="H559" s="5">
        <f t="shared" si="25"/>
        <v>3</v>
      </c>
      <c r="I559" s="5">
        <f t="shared" si="26"/>
        <v>1</v>
      </c>
    </row>
    <row r="560" spans="1:9" ht="18" customHeight="1" x14ac:dyDescent="0.25">
      <c r="A560" s="2" t="s">
        <v>1102</v>
      </c>
      <c r="B560" s="2" t="s">
        <v>1103</v>
      </c>
      <c r="C560" s="3">
        <v>6</v>
      </c>
      <c r="D560" s="3">
        <v>10</v>
      </c>
      <c r="E560" s="2" t="str">
        <f t="shared" si="24"/>
        <v>REORDER NOW</v>
      </c>
      <c r="F560" s="2"/>
      <c r="G560" s="2"/>
      <c r="H560" s="3">
        <f t="shared" si="25"/>
        <v>5</v>
      </c>
      <c r="I560" s="3">
        <f t="shared" si="26"/>
        <v>1.2</v>
      </c>
    </row>
    <row r="561" spans="1:9" ht="18" customHeight="1" x14ac:dyDescent="0.25">
      <c r="A561" s="4" t="s">
        <v>1104</v>
      </c>
      <c r="B561" s="4" t="s">
        <v>1105</v>
      </c>
      <c r="C561" s="5">
        <v>8</v>
      </c>
      <c r="D561" s="5">
        <v>10</v>
      </c>
      <c r="E561" s="4" t="str">
        <f t="shared" si="24"/>
        <v>REORDER NOW</v>
      </c>
      <c r="F561" s="4"/>
      <c r="G561" s="4"/>
      <c r="H561" s="5">
        <f t="shared" si="25"/>
        <v>5</v>
      </c>
      <c r="I561" s="5">
        <f t="shared" si="26"/>
        <v>1.6</v>
      </c>
    </row>
    <row r="562" spans="1:9" ht="18" customHeight="1" x14ac:dyDescent="0.25">
      <c r="A562" s="2" t="s">
        <v>1106</v>
      </c>
      <c r="B562" s="2" t="s">
        <v>1107</v>
      </c>
      <c r="C562" s="3">
        <v>11</v>
      </c>
      <c r="D562" s="3">
        <v>10</v>
      </c>
      <c r="E562" s="2" t="str">
        <f t="shared" si="24"/>
        <v>OK</v>
      </c>
      <c r="F562" s="2"/>
      <c r="G562" s="2"/>
      <c r="H562" s="3">
        <f t="shared" si="25"/>
        <v>5</v>
      </c>
      <c r="I562" s="3">
        <f t="shared" si="26"/>
        <v>2.2000000000000002</v>
      </c>
    </row>
    <row r="563" spans="1:9" ht="18" customHeight="1" x14ac:dyDescent="0.25">
      <c r="A563" s="4" t="s">
        <v>1108</v>
      </c>
      <c r="B563" s="4" t="s">
        <v>1109</v>
      </c>
      <c r="C563" s="5">
        <v>6</v>
      </c>
      <c r="D563" s="5">
        <v>10</v>
      </c>
      <c r="E563" s="4" t="str">
        <f t="shared" si="24"/>
        <v>REORDER NOW</v>
      </c>
      <c r="F563" s="4"/>
      <c r="G563" s="4"/>
      <c r="H563" s="5">
        <f t="shared" si="25"/>
        <v>5</v>
      </c>
      <c r="I563" s="5">
        <f t="shared" si="26"/>
        <v>1.2</v>
      </c>
    </row>
    <row r="564" spans="1:9" ht="18" customHeight="1" x14ac:dyDescent="0.25">
      <c r="A564" s="2" t="s">
        <v>1110</v>
      </c>
      <c r="B564" s="2" t="s">
        <v>1111</v>
      </c>
      <c r="C564" s="3">
        <v>9</v>
      </c>
      <c r="D564" s="3">
        <v>10</v>
      </c>
      <c r="E564" s="2" t="str">
        <f t="shared" si="24"/>
        <v>REORDER NOW</v>
      </c>
      <c r="F564" s="2"/>
      <c r="G564" s="2"/>
      <c r="H564" s="3">
        <f t="shared" si="25"/>
        <v>5</v>
      </c>
      <c r="I564" s="3">
        <f t="shared" si="26"/>
        <v>1.8</v>
      </c>
    </row>
    <row r="565" spans="1:9" ht="18" customHeight="1" x14ac:dyDescent="0.25">
      <c r="A565" s="4" t="s">
        <v>1112</v>
      </c>
      <c r="B565" s="4" t="s">
        <v>1113</v>
      </c>
      <c r="C565" s="5">
        <v>0</v>
      </c>
      <c r="D565" s="5">
        <v>6</v>
      </c>
      <c r="E565" s="4" t="str">
        <f t="shared" si="24"/>
        <v>REORDER NOW</v>
      </c>
      <c r="F565" s="4"/>
      <c r="G565" s="4"/>
      <c r="H565" s="5">
        <f t="shared" si="25"/>
        <v>3</v>
      </c>
      <c r="I565" s="5">
        <f t="shared" si="26"/>
        <v>0</v>
      </c>
    </row>
    <row r="566" spans="1:9" ht="18" customHeight="1" x14ac:dyDescent="0.25">
      <c r="A566" s="2" t="s">
        <v>1114</v>
      </c>
      <c r="B566" s="2" t="s">
        <v>1115</v>
      </c>
      <c r="C566" s="3">
        <v>10</v>
      </c>
      <c r="D566" s="3">
        <v>10</v>
      </c>
      <c r="E566" s="2" t="str">
        <f t="shared" si="24"/>
        <v>REORDER NOW</v>
      </c>
      <c r="F566" s="2"/>
      <c r="G566" s="2"/>
      <c r="H566" s="3">
        <f t="shared" si="25"/>
        <v>5</v>
      </c>
      <c r="I566" s="3">
        <f t="shared" si="26"/>
        <v>2</v>
      </c>
    </row>
    <row r="567" spans="1:9" ht="18" customHeight="1" x14ac:dyDescent="0.25">
      <c r="A567" s="4" t="s">
        <v>1116</v>
      </c>
      <c r="B567" s="4" t="s">
        <v>1117</v>
      </c>
      <c r="C567" s="5">
        <v>10</v>
      </c>
      <c r="D567" s="5">
        <v>10</v>
      </c>
      <c r="E567" s="4" t="str">
        <f t="shared" si="24"/>
        <v>REORDER NOW</v>
      </c>
      <c r="F567" s="4"/>
      <c r="G567" s="4"/>
      <c r="H567" s="5">
        <f t="shared" si="25"/>
        <v>5</v>
      </c>
      <c r="I567" s="5">
        <f t="shared" si="26"/>
        <v>2</v>
      </c>
    </row>
    <row r="568" spans="1:9" ht="18" customHeight="1" x14ac:dyDescent="0.25">
      <c r="A568" s="2" t="s">
        <v>1118</v>
      </c>
      <c r="B568" s="2" t="s">
        <v>1119</v>
      </c>
      <c r="C568" s="3">
        <v>6</v>
      </c>
      <c r="D568" s="3">
        <v>10</v>
      </c>
      <c r="E568" s="2" t="str">
        <f t="shared" si="24"/>
        <v>REORDER NOW</v>
      </c>
      <c r="F568" s="2"/>
      <c r="G568" s="2"/>
      <c r="H568" s="3">
        <f t="shared" si="25"/>
        <v>5</v>
      </c>
      <c r="I568" s="3">
        <f t="shared" si="26"/>
        <v>1.2</v>
      </c>
    </row>
    <row r="569" spans="1:9" ht="18" customHeight="1" x14ac:dyDescent="0.25">
      <c r="A569" s="4" t="s">
        <v>1120</v>
      </c>
      <c r="B569" s="4" t="s">
        <v>1121</v>
      </c>
      <c r="C569" s="5">
        <v>3</v>
      </c>
      <c r="D569" s="5">
        <v>6</v>
      </c>
      <c r="E569" s="4" t="str">
        <f t="shared" si="24"/>
        <v>REORDER NOW</v>
      </c>
      <c r="F569" s="4"/>
      <c r="G569" s="4"/>
      <c r="H569" s="5">
        <f t="shared" si="25"/>
        <v>3</v>
      </c>
      <c r="I569" s="5">
        <f t="shared" si="26"/>
        <v>1</v>
      </c>
    </row>
    <row r="570" spans="1:9" ht="18" customHeight="1" x14ac:dyDescent="0.25">
      <c r="A570" s="2" t="s">
        <v>1122</v>
      </c>
      <c r="B570" s="2" t="s">
        <v>1123</v>
      </c>
      <c r="C570" s="3">
        <v>3</v>
      </c>
      <c r="D570" s="3">
        <v>6</v>
      </c>
      <c r="E570" s="2" t="str">
        <f t="shared" si="24"/>
        <v>REORDER NOW</v>
      </c>
      <c r="F570" s="2"/>
      <c r="G570" s="2"/>
      <c r="H570" s="3">
        <f t="shared" si="25"/>
        <v>3</v>
      </c>
      <c r="I570" s="3">
        <f t="shared" si="26"/>
        <v>1</v>
      </c>
    </row>
    <row r="571" spans="1:9" ht="18" customHeight="1" x14ac:dyDescent="0.25">
      <c r="A571" s="4" t="s">
        <v>1124</v>
      </c>
      <c r="B571" s="4" t="s">
        <v>1125</v>
      </c>
      <c r="C571" s="5">
        <v>5</v>
      </c>
      <c r="D571" s="5">
        <v>6</v>
      </c>
      <c r="E571" s="4" t="str">
        <f t="shared" si="24"/>
        <v>REORDER NOW</v>
      </c>
      <c r="F571" s="4"/>
      <c r="G571" s="4"/>
      <c r="H571" s="5">
        <f t="shared" si="25"/>
        <v>3</v>
      </c>
      <c r="I571" s="5">
        <f t="shared" si="26"/>
        <v>1.7</v>
      </c>
    </row>
    <row r="572" spans="1:9" ht="18" customHeight="1" x14ac:dyDescent="0.25">
      <c r="A572" s="2" t="s">
        <v>1126</v>
      </c>
      <c r="B572" s="2" t="s">
        <v>1127</v>
      </c>
      <c r="C572" s="3">
        <v>1</v>
      </c>
      <c r="D572" s="3">
        <v>6</v>
      </c>
      <c r="E572" s="2" t="str">
        <f t="shared" si="24"/>
        <v>REORDER NOW</v>
      </c>
      <c r="F572" s="2"/>
      <c r="G572" s="2"/>
      <c r="H572" s="3">
        <f t="shared" si="25"/>
        <v>3</v>
      </c>
      <c r="I572" s="3">
        <f t="shared" si="26"/>
        <v>0.3</v>
      </c>
    </row>
    <row r="573" spans="1:9" ht="18" customHeight="1" x14ac:dyDescent="0.25">
      <c r="A573" s="4" t="s">
        <v>1128</v>
      </c>
      <c r="B573" s="4" t="s">
        <v>1129</v>
      </c>
      <c r="C573" s="5">
        <v>0</v>
      </c>
      <c r="D573" s="5">
        <v>6</v>
      </c>
      <c r="E573" s="4" t="str">
        <f t="shared" si="24"/>
        <v>REORDER NOW</v>
      </c>
      <c r="F573" s="4"/>
      <c r="G573" s="4"/>
      <c r="H573" s="5">
        <f t="shared" si="25"/>
        <v>3</v>
      </c>
      <c r="I573" s="5">
        <f t="shared" si="26"/>
        <v>0</v>
      </c>
    </row>
    <row r="574" spans="1:9" ht="18" customHeight="1" x14ac:dyDescent="0.25">
      <c r="A574" s="2" t="s">
        <v>1130</v>
      </c>
      <c r="B574" s="2" t="s">
        <v>1131</v>
      </c>
      <c r="C574" s="3">
        <v>0</v>
      </c>
      <c r="D574" s="3">
        <v>6</v>
      </c>
      <c r="E574" s="2" t="str">
        <f t="shared" si="24"/>
        <v>REORDER NOW</v>
      </c>
      <c r="F574" s="2"/>
      <c r="G574" s="2"/>
      <c r="H574" s="3">
        <f t="shared" si="25"/>
        <v>3</v>
      </c>
      <c r="I574" s="3">
        <f t="shared" si="26"/>
        <v>0</v>
      </c>
    </row>
    <row r="575" spans="1:9" ht="18" customHeight="1" x14ac:dyDescent="0.25">
      <c r="A575" s="4" t="s">
        <v>1132</v>
      </c>
      <c r="B575" s="4" t="s">
        <v>70</v>
      </c>
      <c r="C575" s="5">
        <v>0</v>
      </c>
      <c r="D575" s="5">
        <v>6</v>
      </c>
      <c r="E575" s="4" t="str">
        <f t="shared" si="24"/>
        <v>REORDER NOW</v>
      </c>
      <c r="F575" s="4"/>
      <c r="G575" s="4"/>
      <c r="H575" s="5">
        <f t="shared" si="25"/>
        <v>3</v>
      </c>
      <c r="I575" s="5">
        <f t="shared" si="26"/>
        <v>0</v>
      </c>
    </row>
    <row r="576" spans="1:9" ht="18" customHeight="1" x14ac:dyDescent="0.25">
      <c r="A576" s="2" t="s">
        <v>1133</v>
      </c>
      <c r="B576" s="2" t="s">
        <v>72</v>
      </c>
      <c r="C576" s="3">
        <v>0</v>
      </c>
      <c r="D576" s="3">
        <v>6</v>
      </c>
      <c r="E576" s="2" t="str">
        <f t="shared" si="24"/>
        <v>REORDER NOW</v>
      </c>
      <c r="F576" s="2"/>
      <c r="G576" s="2"/>
      <c r="H576" s="3">
        <f t="shared" si="25"/>
        <v>3</v>
      </c>
      <c r="I576" s="3">
        <f t="shared" si="26"/>
        <v>0</v>
      </c>
    </row>
    <row r="577" spans="1:9" ht="18" customHeight="1" x14ac:dyDescent="0.25">
      <c r="A577" s="4" t="s">
        <v>1134</v>
      </c>
      <c r="B577" s="4" t="s">
        <v>1135</v>
      </c>
      <c r="C577" s="5">
        <v>31</v>
      </c>
      <c r="D577" s="5">
        <v>20</v>
      </c>
      <c r="E577" s="4" t="str">
        <f t="shared" si="24"/>
        <v>OK</v>
      </c>
      <c r="F577" s="4"/>
      <c r="G577" s="4"/>
      <c r="H577" s="5">
        <f t="shared" si="25"/>
        <v>10</v>
      </c>
      <c r="I577" s="5">
        <f t="shared" si="26"/>
        <v>3.1</v>
      </c>
    </row>
    <row r="578" spans="1:9" ht="18" customHeight="1" x14ac:dyDescent="0.25">
      <c r="A578" s="2" t="s">
        <v>1136</v>
      </c>
      <c r="B578" s="2" t="s">
        <v>1137</v>
      </c>
      <c r="C578" s="3">
        <v>28</v>
      </c>
      <c r="D578" s="3">
        <v>20</v>
      </c>
      <c r="E578" s="2" t="str">
        <f t="shared" si="24"/>
        <v>OK</v>
      </c>
      <c r="F578" s="2"/>
      <c r="G578" s="2"/>
      <c r="H578" s="3">
        <f t="shared" si="25"/>
        <v>10</v>
      </c>
      <c r="I578" s="3">
        <f t="shared" si="26"/>
        <v>2.8</v>
      </c>
    </row>
    <row r="579" spans="1:9" ht="18" customHeight="1" x14ac:dyDescent="0.25">
      <c r="A579" s="4" t="s">
        <v>1138</v>
      </c>
      <c r="B579" s="4" t="s">
        <v>1129</v>
      </c>
      <c r="C579" s="5">
        <v>0</v>
      </c>
      <c r="D579" s="5">
        <v>6</v>
      </c>
      <c r="E579" s="4" t="str">
        <f t="shared" si="24"/>
        <v>REORDER NOW</v>
      </c>
      <c r="F579" s="4"/>
      <c r="G579" s="4"/>
      <c r="H579" s="5">
        <f t="shared" si="25"/>
        <v>3</v>
      </c>
      <c r="I579" s="5">
        <f t="shared" si="26"/>
        <v>0</v>
      </c>
    </row>
    <row r="580" spans="1:9" ht="18" customHeight="1" x14ac:dyDescent="0.25">
      <c r="A580" s="2" t="s">
        <v>1139</v>
      </c>
      <c r="B580" s="2" t="s">
        <v>1131</v>
      </c>
      <c r="C580" s="3">
        <v>8</v>
      </c>
      <c r="D580" s="3">
        <v>10</v>
      </c>
      <c r="E580" s="2" t="str">
        <f t="shared" ref="E580:E643" si="27">IF(C580&lt;=D580,"REORDER NOW","OK")</f>
        <v>REORDER NOW</v>
      </c>
      <c r="F580" s="2"/>
      <c r="G580" s="2"/>
      <c r="H580" s="3">
        <f t="shared" ref="H580:H643" si="28">D580/2</f>
        <v>5</v>
      </c>
      <c r="I580" s="3">
        <f t="shared" ref="I580:I643" si="29">IF(H580=0,"N/A",ROUND(C580/H580,1))</f>
        <v>1.6</v>
      </c>
    </row>
    <row r="581" spans="1:9" ht="18" customHeight="1" x14ac:dyDescent="0.25">
      <c r="A581" s="4" t="s">
        <v>1140</v>
      </c>
      <c r="B581" s="4" t="s">
        <v>1141</v>
      </c>
      <c r="C581" s="5">
        <v>0</v>
      </c>
      <c r="D581" s="5">
        <v>6</v>
      </c>
      <c r="E581" s="4" t="str">
        <f t="shared" si="27"/>
        <v>REORDER NOW</v>
      </c>
      <c r="F581" s="4"/>
      <c r="G581" s="4"/>
      <c r="H581" s="5">
        <f t="shared" si="28"/>
        <v>3</v>
      </c>
      <c r="I581" s="5">
        <f t="shared" si="29"/>
        <v>0</v>
      </c>
    </row>
    <row r="582" spans="1:9" ht="18" customHeight="1" x14ac:dyDescent="0.25">
      <c r="A582" s="2" t="s">
        <v>1142</v>
      </c>
      <c r="B582" s="2" t="s">
        <v>1143</v>
      </c>
      <c r="C582" s="3">
        <v>0</v>
      </c>
      <c r="D582" s="3">
        <v>6</v>
      </c>
      <c r="E582" s="2" t="str">
        <f t="shared" si="27"/>
        <v>REORDER NOW</v>
      </c>
      <c r="F582" s="2"/>
      <c r="G582" s="2"/>
      <c r="H582" s="3">
        <f t="shared" si="28"/>
        <v>3</v>
      </c>
      <c r="I582" s="3">
        <f t="shared" si="29"/>
        <v>0</v>
      </c>
    </row>
    <row r="583" spans="1:9" ht="18" customHeight="1" x14ac:dyDescent="0.25">
      <c r="A583" s="4" t="s">
        <v>1144</v>
      </c>
      <c r="B583" s="4" t="s">
        <v>1145</v>
      </c>
      <c r="C583" s="5">
        <v>0</v>
      </c>
      <c r="D583" s="5">
        <v>6</v>
      </c>
      <c r="E583" s="4" t="str">
        <f t="shared" si="27"/>
        <v>REORDER NOW</v>
      </c>
      <c r="F583" s="4"/>
      <c r="G583" s="4"/>
      <c r="H583" s="5">
        <f t="shared" si="28"/>
        <v>3</v>
      </c>
      <c r="I583" s="5">
        <f t="shared" si="29"/>
        <v>0</v>
      </c>
    </row>
    <row r="584" spans="1:9" ht="18" customHeight="1" x14ac:dyDescent="0.25">
      <c r="A584" s="2" t="s">
        <v>1146</v>
      </c>
      <c r="B584" s="2" t="s">
        <v>1147</v>
      </c>
      <c r="C584" s="3">
        <v>0</v>
      </c>
      <c r="D584" s="3">
        <v>6</v>
      </c>
      <c r="E584" s="2" t="str">
        <f t="shared" si="27"/>
        <v>REORDER NOW</v>
      </c>
      <c r="F584" s="2"/>
      <c r="G584" s="2"/>
      <c r="H584" s="3">
        <f t="shared" si="28"/>
        <v>3</v>
      </c>
      <c r="I584" s="3">
        <f t="shared" si="29"/>
        <v>0</v>
      </c>
    </row>
    <row r="585" spans="1:9" ht="18" customHeight="1" x14ac:dyDescent="0.25">
      <c r="A585" s="4" t="s">
        <v>1148</v>
      </c>
      <c r="B585" s="4" t="s">
        <v>42</v>
      </c>
      <c r="C585" s="5">
        <v>11</v>
      </c>
      <c r="D585" s="5">
        <v>10</v>
      </c>
      <c r="E585" s="4" t="str">
        <f t="shared" si="27"/>
        <v>OK</v>
      </c>
      <c r="F585" s="4"/>
      <c r="G585" s="4"/>
      <c r="H585" s="5">
        <f t="shared" si="28"/>
        <v>5</v>
      </c>
      <c r="I585" s="5">
        <f t="shared" si="29"/>
        <v>2.2000000000000002</v>
      </c>
    </row>
    <row r="586" spans="1:9" ht="18" customHeight="1" x14ac:dyDescent="0.25">
      <c r="A586" s="2" t="s">
        <v>1149</v>
      </c>
      <c r="B586" s="2" t="s">
        <v>1150</v>
      </c>
      <c r="C586" s="3">
        <v>31</v>
      </c>
      <c r="D586" s="3">
        <v>20</v>
      </c>
      <c r="E586" s="2" t="str">
        <f t="shared" si="27"/>
        <v>OK</v>
      </c>
      <c r="F586" s="2"/>
      <c r="G586" s="2"/>
      <c r="H586" s="3">
        <f t="shared" si="28"/>
        <v>10</v>
      </c>
      <c r="I586" s="3">
        <f t="shared" si="29"/>
        <v>3.1</v>
      </c>
    </row>
    <row r="587" spans="1:9" ht="18" customHeight="1" x14ac:dyDescent="0.25">
      <c r="A587" s="4" t="s">
        <v>1151</v>
      </c>
      <c r="B587" s="4" t="s">
        <v>58</v>
      </c>
      <c r="C587" s="5">
        <v>0</v>
      </c>
      <c r="D587" s="5">
        <v>6</v>
      </c>
      <c r="E587" s="4" t="str">
        <f t="shared" si="27"/>
        <v>REORDER NOW</v>
      </c>
      <c r="F587" s="4"/>
      <c r="G587" s="4"/>
      <c r="H587" s="5">
        <f t="shared" si="28"/>
        <v>3</v>
      </c>
      <c r="I587" s="5">
        <f t="shared" si="29"/>
        <v>0</v>
      </c>
    </row>
    <row r="588" spans="1:9" ht="18" customHeight="1" x14ac:dyDescent="0.25">
      <c r="A588" s="2" t="s">
        <v>1152</v>
      </c>
      <c r="B588" s="2" t="s">
        <v>62</v>
      </c>
      <c r="C588" s="3">
        <v>0</v>
      </c>
      <c r="D588" s="3">
        <v>6</v>
      </c>
      <c r="E588" s="2" t="str">
        <f t="shared" si="27"/>
        <v>REORDER NOW</v>
      </c>
      <c r="F588" s="2"/>
      <c r="G588" s="2"/>
      <c r="H588" s="3">
        <f t="shared" si="28"/>
        <v>3</v>
      </c>
      <c r="I588" s="3">
        <f t="shared" si="29"/>
        <v>0</v>
      </c>
    </row>
    <row r="589" spans="1:9" ht="18" customHeight="1" x14ac:dyDescent="0.25">
      <c r="A589" s="4" t="s">
        <v>1153</v>
      </c>
      <c r="B589" s="4" t="s">
        <v>64</v>
      </c>
      <c r="C589" s="5">
        <v>0</v>
      </c>
      <c r="D589" s="5">
        <v>6</v>
      </c>
      <c r="E589" s="4" t="str">
        <f t="shared" si="27"/>
        <v>REORDER NOW</v>
      </c>
      <c r="F589" s="4"/>
      <c r="G589" s="4"/>
      <c r="H589" s="5">
        <f t="shared" si="28"/>
        <v>3</v>
      </c>
      <c r="I589" s="5">
        <f t="shared" si="29"/>
        <v>0</v>
      </c>
    </row>
    <row r="590" spans="1:9" ht="18" customHeight="1" x14ac:dyDescent="0.25">
      <c r="A590" s="2" t="s">
        <v>1154</v>
      </c>
      <c r="B590" s="2" t="s">
        <v>1155</v>
      </c>
      <c r="C590" s="3">
        <v>0</v>
      </c>
      <c r="D590" s="3">
        <v>6</v>
      </c>
      <c r="E590" s="2" t="str">
        <f t="shared" si="27"/>
        <v>REORDER NOW</v>
      </c>
      <c r="F590" s="2"/>
      <c r="G590" s="2"/>
      <c r="H590" s="3">
        <f t="shared" si="28"/>
        <v>3</v>
      </c>
      <c r="I590" s="3">
        <f t="shared" si="29"/>
        <v>0</v>
      </c>
    </row>
    <row r="591" spans="1:9" ht="18" customHeight="1" x14ac:dyDescent="0.25">
      <c r="A591" s="4" t="s">
        <v>1156</v>
      </c>
      <c r="B591" s="4" t="s">
        <v>78</v>
      </c>
      <c r="C591" s="5">
        <v>82</v>
      </c>
      <c r="D591" s="5">
        <v>40</v>
      </c>
      <c r="E591" s="4" t="str">
        <f t="shared" si="27"/>
        <v>OK</v>
      </c>
      <c r="F591" s="4"/>
      <c r="G591" s="4"/>
      <c r="H591" s="5">
        <f t="shared" si="28"/>
        <v>20</v>
      </c>
      <c r="I591" s="5">
        <f t="shared" si="29"/>
        <v>4.0999999999999996</v>
      </c>
    </row>
    <row r="592" spans="1:9" ht="18" customHeight="1" x14ac:dyDescent="0.25">
      <c r="A592" s="2" t="s">
        <v>1157</v>
      </c>
      <c r="B592" s="2" t="s">
        <v>1158</v>
      </c>
      <c r="C592" s="3">
        <v>2</v>
      </c>
      <c r="D592" s="3">
        <v>6</v>
      </c>
      <c r="E592" s="2" t="str">
        <f t="shared" si="27"/>
        <v>REORDER NOW</v>
      </c>
      <c r="F592" s="2"/>
      <c r="G592" s="2"/>
      <c r="H592" s="3">
        <f t="shared" si="28"/>
        <v>3</v>
      </c>
      <c r="I592" s="3">
        <f t="shared" si="29"/>
        <v>0.7</v>
      </c>
    </row>
    <row r="593" spans="1:9" ht="18" customHeight="1" x14ac:dyDescent="0.25">
      <c r="A593" s="4" t="s">
        <v>1159</v>
      </c>
      <c r="B593" s="4" t="s">
        <v>1160</v>
      </c>
      <c r="C593" s="5">
        <v>0</v>
      </c>
      <c r="D593" s="5">
        <v>6</v>
      </c>
      <c r="E593" s="4" t="str">
        <f t="shared" si="27"/>
        <v>REORDER NOW</v>
      </c>
      <c r="F593" s="4"/>
      <c r="G593" s="4"/>
      <c r="H593" s="5">
        <f t="shared" si="28"/>
        <v>3</v>
      </c>
      <c r="I593" s="5">
        <f t="shared" si="29"/>
        <v>0</v>
      </c>
    </row>
    <row r="594" spans="1:9" ht="18" customHeight="1" x14ac:dyDescent="0.25">
      <c r="A594" s="2" t="s">
        <v>1161</v>
      </c>
      <c r="B594" s="2" t="s">
        <v>1162</v>
      </c>
      <c r="C594" s="3">
        <v>1</v>
      </c>
      <c r="D594" s="3">
        <v>6</v>
      </c>
      <c r="E594" s="2" t="str">
        <f t="shared" si="27"/>
        <v>REORDER NOW</v>
      </c>
      <c r="F594" s="2"/>
      <c r="G594" s="2"/>
      <c r="H594" s="3">
        <f t="shared" si="28"/>
        <v>3</v>
      </c>
      <c r="I594" s="3">
        <f t="shared" si="29"/>
        <v>0.3</v>
      </c>
    </row>
    <row r="595" spans="1:9" ht="18" customHeight="1" x14ac:dyDescent="0.25">
      <c r="A595" s="4" t="s">
        <v>1163</v>
      </c>
      <c r="B595" s="4" t="s">
        <v>1164</v>
      </c>
      <c r="C595" s="5">
        <v>12</v>
      </c>
      <c r="D595" s="5">
        <v>10</v>
      </c>
      <c r="E595" s="4" t="str">
        <f t="shared" si="27"/>
        <v>OK</v>
      </c>
      <c r="F595" s="4"/>
      <c r="G595" s="4"/>
      <c r="H595" s="5">
        <f t="shared" si="28"/>
        <v>5</v>
      </c>
      <c r="I595" s="5">
        <f t="shared" si="29"/>
        <v>2.4</v>
      </c>
    </row>
    <row r="596" spans="1:9" ht="18" customHeight="1" x14ac:dyDescent="0.25">
      <c r="A596" s="2" t="s">
        <v>1165</v>
      </c>
      <c r="B596" s="2" t="s">
        <v>1166</v>
      </c>
      <c r="C596" s="3">
        <v>0</v>
      </c>
      <c r="D596" s="3">
        <v>6</v>
      </c>
      <c r="E596" s="2" t="str">
        <f t="shared" si="27"/>
        <v>REORDER NOW</v>
      </c>
      <c r="F596" s="2"/>
      <c r="G596" s="2"/>
      <c r="H596" s="3">
        <f t="shared" si="28"/>
        <v>3</v>
      </c>
      <c r="I596" s="3">
        <f t="shared" si="29"/>
        <v>0</v>
      </c>
    </row>
    <row r="597" spans="1:9" ht="18" customHeight="1" x14ac:dyDescent="0.25">
      <c r="A597" s="4" t="s">
        <v>1167</v>
      </c>
      <c r="B597" s="4" t="s">
        <v>1168</v>
      </c>
      <c r="C597" s="5">
        <v>2</v>
      </c>
      <c r="D597" s="5">
        <v>6</v>
      </c>
      <c r="E597" s="4" t="str">
        <f t="shared" si="27"/>
        <v>REORDER NOW</v>
      </c>
      <c r="F597" s="4"/>
      <c r="G597" s="4"/>
      <c r="H597" s="5">
        <f t="shared" si="28"/>
        <v>3</v>
      </c>
      <c r="I597" s="5">
        <f t="shared" si="29"/>
        <v>0.7</v>
      </c>
    </row>
    <row r="598" spans="1:9" ht="18" customHeight="1" x14ac:dyDescent="0.25">
      <c r="A598" s="2" t="s">
        <v>1169</v>
      </c>
      <c r="B598" s="2" t="s">
        <v>1170</v>
      </c>
      <c r="C598" s="3">
        <v>0</v>
      </c>
      <c r="D598" s="3">
        <v>6</v>
      </c>
      <c r="E598" s="2" t="str">
        <f t="shared" si="27"/>
        <v>REORDER NOW</v>
      </c>
      <c r="F598" s="2"/>
      <c r="G598" s="2"/>
      <c r="H598" s="3">
        <f t="shared" si="28"/>
        <v>3</v>
      </c>
      <c r="I598" s="3">
        <f t="shared" si="29"/>
        <v>0</v>
      </c>
    </row>
    <row r="599" spans="1:9" ht="18" customHeight="1" x14ac:dyDescent="0.25">
      <c r="A599" s="4" t="s">
        <v>1171</v>
      </c>
      <c r="B599" s="4" t="s">
        <v>1172</v>
      </c>
      <c r="C599" s="5">
        <v>0</v>
      </c>
      <c r="D599" s="5">
        <v>6</v>
      </c>
      <c r="E599" s="4" t="str">
        <f t="shared" si="27"/>
        <v>REORDER NOW</v>
      </c>
      <c r="F599" s="4"/>
      <c r="G599" s="4"/>
      <c r="H599" s="5">
        <f t="shared" si="28"/>
        <v>3</v>
      </c>
      <c r="I599" s="5">
        <f t="shared" si="29"/>
        <v>0</v>
      </c>
    </row>
    <row r="600" spans="1:9" ht="18" customHeight="1" x14ac:dyDescent="0.25">
      <c r="A600" s="2" t="s">
        <v>1173</v>
      </c>
      <c r="B600" s="2" t="s">
        <v>1174</v>
      </c>
      <c r="C600" s="3">
        <v>0</v>
      </c>
      <c r="D600" s="3">
        <v>6</v>
      </c>
      <c r="E600" s="2" t="str">
        <f t="shared" si="27"/>
        <v>REORDER NOW</v>
      </c>
      <c r="F600" s="2"/>
      <c r="G600" s="2"/>
      <c r="H600" s="3">
        <f t="shared" si="28"/>
        <v>3</v>
      </c>
      <c r="I600" s="3">
        <f t="shared" si="29"/>
        <v>0</v>
      </c>
    </row>
    <row r="601" spans="1:9" ht="18" customHeight="1" x14ac:dyDescent="0.25">
      <c r="A601" s="4" t="s">
        <v>1175</v>
      </c>
      <c r="B601" s="4" t="s">
        <v>1176</v>
      </c>
      <c r="C601" s="5">
        <v>0</v>
      </c>
      <c r="D601" s="5">
        <v>6</v>
      </c>
      <c r="E601" s="4" t="str">
        <f t="shared" si="27"/>
        <v>REORDER NOW</v>
      </c>
      <c r="F601" s="4"/>
      <c r="G601" s="4"/>
      <c r="H601" s="5">
        <f t="shared" si="28"/>
        <v>3</v>
      </c>
      <c r="I601" s="5">
        <f t="shared" si="29"/>
        <v>0</v>
      </c>
    </row>
    <row r="602" spans="1:9" ht="18" customHeight="1" x14ac:dyDescent="0.25">
      <c r="A602" s="2" t="s">
        <v>1177</v>
      </c>
      <c r="B602" s="2" t="s">
        <v>1178</v>
      </c>
      <c r="C602" s="3">
        <v>0</v>
      </c>
      <c r="D602" s="3">
        <v>6</v>
      </c>
      <c r="E602" s="2" t="str">
        <f t="shared" si="27"/>
        <v>REORDER NOW</v>
      </c>
      <c r="F602" s="2"/>
      <c r="G602" s="2"/>
      <c r="H602" s="3">
        <f t="shared" si="28"/>
        <v>3</v>
      </c>
      <c r="I602" s="3">
        <f t="shared" si="29"/>
        <v>0</v>
      </c>
    </row>
    <row r="603" spans="1:9" ht="18" customHeight="1" x14ac:dyDescent="0.25">
      <c r="A603" s="4" t="s">
        <v>1179</v>
      </c>
      <c r="B603" s="4" t="s">
        <v>1180</v>
      </c>
      <c r="C603" s="5">
        <v>0</v>
      </c>
      <c r="D603" s="5">
        <v>6</v>
      </c>
      <c r="E603" s="4" t="str">
        <f t="shared" si="27"/>
        <v>REORDER NOW</v>
      </c>
      <c r="F603" s="4"/>
      <c r="G603" s="4"/>
      <c r="H603" s="5">
        <f t="shared" si="28"/>
        <v>3</v>
      </c>
      <c r="I603" s="5">
        <f t="shared" si="29"/>
        <v>0</v>
      </c>
    </row>
    <row r="604" spans="1:9" ht="18" customHeight="1" x14ac:dyDescent="0.25">
      <c r="A604" s="2" t="s">
        <v>1181</v>
      </c>
      <c r="B604" s="2" t="s">
        <v>1182</v>
      </c>
      <c r="C604" s="3">
        <v>0</v>
      </c>
      <c r="D604" s="3">
        <v>6</v>
      </c>
      <c r="E604" s="2" t="str">
        <f t="shared" si="27"/>
        <v>REORDER NOW</v>
      </c>
      <c r="F604" s="2"/>
      <c r="G604" s="2"/>
      <c r="H604" s="3">
        <f t="shared" si="28"/>
        <v>3</v>
      </c>
      <c r="I604" s="3">
        <f t="shared" si="29"/>
        <v>0</v>
      </c>
    </row>
    <row r="605" spans="1:9" ht="18" customHeight="1" x14ac:dyDescent="0.25">
      <c r="A605" s="4" t="s">
        <v>1183</v>
      </c>
      <c r="B605" s="4" t="s">
        <v>1184</v>
      </c>
      <c r="C605" s="5">
        <v>0</v>
      </c>
      <c r="D605" s="5">
        <v>6</v>
      </c>
      <c r="E605" s="4" t="str">
        <f t="shared" si="27"/>
        <v>REORDER NOW</v>
      </c>
      <c r="F605" s="4"/>
      <c r="G605" s="4"/>
      <c r="H605" s="5">
        <f t="shared" si="28"/>
        <v>3</v>
      </c>
      <c r="I605" s="5">
        <f t="shared" si="29"/>
        <v>0</v>
      </c>
    </row>
    <row r="606" spans="1:9" ht="18" customHeight="1" x14ac:dyDescent="0.25">
      <c r="A606" s="2" t="s">
        <v>1185</v>
      </c>
      <c r="B606" s="2" t="s">
        <v>1186</v>
      </c>
      <c r="C606" s="3">
        <v>2</v>
      </c>
      <c r="D606" s="3">
        <v>6</v>
      </c>
      <c r="E606" s="2" t="str">
        <f t="shared" si="27"/>
        <v>REORDER NOW</v>
      </c>
      <c r="F606" s="2"/>
      <c r="G606" s="2"/>
      <c r="H606" s="3">
        <f t="shared" si="28"/>
        <v>3</v>
      </c>
      <c r="I606" s="3">
        <f t="shared" si="29"/>
        <v>0.7</v>
      </c>
    </row>
    <row r="607" spans="1:9" ht="18" customHeight="1" x14ac:dyDescent="0.25">
      <c r="A607" s="4" t="s">
        <v>1187</v>
      </c>
      <c r="B607" s="4" t="s">
        <v>1188</v>
      </c>
      <c r="C607" s="5">
        <v>0</v>
      </c>
      <c r="D607" s="5">
        <v>6</v>
      </c>
      <c r="E607" s="4" t="str">
        <f t="shared" si="27"/>
        <v>REORDER NOW</v>
      </c>
      <c r="F607" s="4"/>
      <c r="G607" s="4"/>
      <c r="H607" s="5">
        <f t="shared" si="28"/>
        <v>3</v>
      </c>
      <c r="I607" s="5">
        <f t="shared" si="29"/>
        <v>0</v>
      </c>
    </row>
    <row r="608" spans="1:9" ht="18" customHeight="1" x14ac:dyDescent="0.25">
      <c r="A608" s="2" t="s">
        <v>1189</v>
      </c>
      <c r="B608" s="2" t="s">
        <v>1190</v>
      </c>
      <c r="C608" s="3">
        <v>0</v>
      </c>
      <c r="D608" s="3">
        <v>6</v>
      </c>
      <c r="E608" s="2" t="str">
        <f t="shared" si="27"/>
        <v>REORDER NOW</v>
      </c>
      <c r="F608" s="2"/>
      <c r="G608" s="2"/>
      <c r="H608" s="3">
        <f t="shared" si="28"/>
        <v>3</v>
      </c>
      <c r="I608" s="3">
        <f t="shared" si="29"/>
        <v>0</v>
      </c>
    </row>
    <row r="609" spans="1:9" ht="18" customHeight="1" x14ac:dyDescent="0.25">
      <c r="A609" s="4" t="s">
        <v>1191</v>
      </c>
      <c r="B609" s="4" t="s">
        <v>1192</v>
      </c>
      <c r="C609" s="5">
        <v>0</v>
      </c>
      <c r="D609" s="5">
        <v>6</v>
      </c>
      <c r="E609" s="4" t="str">
        <f t="shared" si="27"/>
        <v>REORDER NOW</v>
      </c>
      <c r="F609" s="4"/>
      <c r="G609" s="4"/>
      <c r="H609" s="5">
        <f t="shared" si="28"/>
        <v>3</v>
      </c>
      <c r="I609" s="5">
        <f t="shared" si="29"/>
        <v>0</v>
      </c>
    </row>
    <row r="610" spans="1:9" ht="18" customHeight="1" x14ac:dyDescent="0.25">
      <c r="A610" s="2" t="s">
        <v>1193</v>
      </c>
      <c r="B610" s="2" t="s">
        <v>1194</v>
      </c>
      <c r="C610" s="3">
        <v>0</v>
      </c>
      <c r="D610" s="3">
        <v>6</v>
      </c>
      <c r="E610" s="2" t="str">
        <f t="shared" si="27"/>
        <v>REORDER NOW</v>
      </c>
      <c r="F610" s="2"/>
      <c r="G610" s="2"/>
      <c r="H610" s="3">
        <f t="shared" si="28"/>
        <v>3</v>
      </c>
      <c r="I610" s="3">
        <f t="shared" si="29"/>
        <v>0</v>
      </c>
    </row>
    <row r="611" spans="1:9" ht="18" customHeight="1" x14ac:dyDescent="0.25">
      <c r="A611" s="4" t="s">
        <v>1195</v>
      </c>
      <c r="B611" s="4" t="s">
        <v>1196</v>
      </c>
      <c r="C611" s="5">
        <v>0</v>
      </c>
      <c r="D611" s="5">
        <v>6</v>
      </c>
      <c r="E611" s="4" t="str">
        <f t="shared" si="27"/>
        <v>REORDER NOW</v>
      </c>
      <c r="F611" s="4"/>
      <c r="G611" s="4"/>
      <c r="H611" s="5">
        <f t="shared" si="28"/>
        <v>3</v>
      </c>
      <c r="I611" s="5">
        <f t="shared" si="29"/>
        <v>0</v>
      </c>
    </row>
    <row r="612" spans="1:9" ht="18" customHeight="1" x14ac:dyDescent="0.25">
      <c r="A612" s="2" t="s">
        <v>1197</v>
      </c>
      <c r="B612" s="2" t="s">
        <v>1198</v>
      </c>
      <c r="C612" s="3">
        <v>0</v>
      </c>
      <c r="D612" s="3">
        <v>6</v>
      </c>
      <c r="E612" s="2" t="str">
        <f t="shared" si="27"/>
        <v>REORDER NOW</v>
      </c>
      <c r="F612" s="2"/>
      <c r="G612" s="2"/>
      <c r="H612" s="3">
        <f t="shared" si="28"/>
        <v>3</v>
      </c>
      <c r="I612" s="3">
        <f t="shared" si="29"/>
        <v>0</v>
      </c>
    </row>
    <row r="613" spans="1:9" ht="18" customHeight="1" x14ac:dyDescent="0.25">
      <c r="A613" s="4" t="s">
        <v>1199</v>
      </c>
      <c r="B613" s="4" t="s">
        <v>1200</v>
      </c>
      <c r="C613" s="5">
        <v>0</v>
      </c>
      <c r="D613" s="5">
        <v>6</v>
      </c>
      <c r="E613" s="4" t="str">
        <f t="shared" si="27"/>
        <v>REORDER NOW</v>
      </c>
      <c r="F613" s="4"/>
      <c r="G613" s="4"/>
      <c r="H613" s="5">
        <f t="shared" si="28"/>
        <v>3</v>
      </c>
      <c r="I613" s="5">
        <f t="shared" si="29"/>
        <v>0</v>
      </c>
    </row>
    <row r="614" spans="1:9" ht="18" customHeight="1" x14ac:dyDescent="0.25">
      <c r="A614" s="2" t="s">
        <v>1201</v>
      </c>
      <c r="B614" s="2" t="s">
        <v>1202</v>
      </c>
      <c r="C614" s="3">
        <v>0</v>
      </c>
      <c r="D614" s="3">
        <v>6</v>
      </c>
      <c r="E614" s="2" t="str">
        <f t="shared" si="27"/>
        <v>REORDER NOW</v>
      </c>
      <c r="F614" s="2"/>
      <c r="G614" s="2"/>
      <c r="H614" s="3">
        <f t="shared" si="28"/>
        <v>3</v>
      </c>
      <c r="I614" s="3">
        <f t="shared" si="29"/>
        <v>0</v>
      </c>
    </row>
    <row r="615" spans="1:9" ht="18" customHeight="1" x14ac:dyDescent="0.25">
      <c r="A615" s="4" t="s">
        <v>1203</v>
      </c>
      <c r="B615" s="4" t="s">
        <v>173</v>
      </c>
      <c r="C615" s="5">
        <v>0</v>
      </c>
      <c r="D615" s="5">
        <v>6</v>
      </c>
      <c r="E615" s="4" t="str">
        <f t="shared" si="27"/>
        <v>REORDER NOW</v>
      </c>
      <c r="F615" s="4"/>
      <c r="G615" s="4"/>
      <c r="H615" s="5">
        <f t="shared" si="28"/>
        <v>3</v>
      </c>
      <c r="I615" s="5">
        <f t="shared" si="29"/>
        <v>0</v>
      </c>
    </row>
    <row r="616" spans="1:9" ht="18" customHeight="1" x14ac:dyDescent="0.25">
      <c r="A616" s="2" t="s">
        <v>1204</v>
      </c>
      <c r="B616" s="2" t="s">
        <v>1205</v>
      </c>
      <c r="C616" s="3">
        <v>0</v>
      </c>
      <c r="D616" s="3">
        <v>6</v>
      </c>
      <c r="E616" s="2" t="str">
        <f t="shared" si="27"/>
        <v>REORDER NOW</v>
      </c>
      <c r="F616" s="2"/>
      <c r="G616" s="2"/>
      <c r="H616" s="3">
        <f t="shared" si="28"/>
        <v>3</v>
      </c>
      <c r="I616" s="3">
        <f t="shared" si="29"/>
        <v>0</v>
      </c>
    </row>
    <row r="617" spans="1:9" ht="18" customHeight="1" x14ac:dyDescent="0.25">
      <c r="A617" s="4" t="s">
        <v>1206</v>
      </c>
      <c r="B617" s="4" t="s">
        <v>1207</v>
      </c>
      <c r="C617" s="5">
        <v>0</v>
      </c>
      <c r="D617" s="5">
        <v>6</v>
      </c>
      <c r="E617" s="4" t="str">
        <f t="shared" si="27"/>
        <v>REORDER NOW</v>
      </c>
      <c r="F617" s="4"/>
      <c r="G617" s="4"/>
      <c r="H617" s="5">
        <f t="shared" si="28"/>
        <v>3</v>
      </c>
      <c r="I617" s="5">
        <f t="shared" si="29"/>
        <v>0</v>
      </c>
    </row>
    <row r="618" spans="1:9" ht="18" customHeight="1" x14ac:dyDescent="0.25">
      <c r="A618" s="2" t="s">
        <v>1208</v>
      </c>
      <c r="B618" s="2" t="s">
        <v>175</v>
      </c>
      <c r="C618" s="3">
        <v>0</v>
      </c>
      <c r="D618" s="3">
        <v>6</v>
      </c>
      <c r="E618" s="2" t="str">
        <f t="shared" si="27"/>
        <v>REORDER NOW</v>
      </c>
      <c r="F618" s="2"/>
      <c r="G618" s="2"/>
      <c r="H618" s="3">
        <f t="shared" si="28"/>
        <v>3</v>
      </c>
      <c r="I618" s="3">
        <f t="shared" si="29"/>
        <v>0</v>
      </c>
    </row>
    <row r="619" spans="1:9" ht="18" customHeight="1" x14ac:dyDescent="0.25">
      <c r="A619" s="4" t="s">
        <v>1209</v>
      </c>
      <c r="B619" s="4" t="s">
        <v>177</v>
      </c>
      <c r="C619" s="5">
        <v>0</v>
      </c>
      <c r="D619" s="5">
        <v>6</v>
      </c>
      <c r="E619" s="4" t="str">
        <f t="shared" si="27"/>
        <v>REORDER NOW</v>
      </c>
      <c r="F619" s="4"/>
      <c r="G619" s="4"/>
      <c r="H619" s="5">
        <f t="shared" si="28"/>
        <v>3</v>
      </c>
      <c r="I619" s="5">
        <f t="shared" si="29"/>
        <v>0</v>
      </c>
    </row>
    <row r="620" spans="1:9" ht="18" customHeight="1" x14ac:dyDescent="0.25">
      <c r="A620" s="2" t="s">
        <v>1210</v>
      </c>
      <c r="B620" s="2" t="s">
        <v>179</v>
      </c>
      <c r="C620" s="3">
        <v>0</v>
      </c>
      <c r="D620" s="3">
        <v>6</v>
      </c>
      <c r="E620" s="2" t="str">
        <f t="shared" si="27"/>
        <v>REORDER NOW</v>
      </c>
      <c r="F620" s="2"/>
      <c r="G620" s="2"/>
      <c r="H620" s="3">
        <f t="shared" si="28"/>
        <v>3</v>
      </c>
      <c r="I620" s="3">
        <f t="shared" si="29"/>
        <v>0</v>
      </c>
    </row>
    <row r="621" spans="1:9" ht="18" customHeight="1" x14ac:dyDescent="0.25">
      <c r="A621" s="4" t="s">
        <v>1211</v>
      </c>
      <c r="B621" s="4" t="s">
        <v>181</v>
      </c>
      <c r="C621" s="5">
        <v>0</v>
      </c>
      <c r="D621" s="5">
        <v>6</v>
      </c>
      <c r="E621" s="4" t="str">
        <f t="shared" si="27"/>
        <v>REORDER NOW</v>
      </c>
      <c r="F621" s="4"/>
      <c r="G621" s="4"/>
      <c r="H621" s="5">
        <f t="shared" si="28"/>
        <v>3</v>
      </c>
      <c r="I621" s="5">
        <f t="shared" si="29"/>
        <v>0</v>
      </c>
    </row>
    <row r="622" spans="1:9" ht="18" customHeight="1" x14ac:dyDescent="0.25">
      <c r="A622" s="2" t="s">
        <v>1212</v>
      </c>
      <c r="B622" s="2" t="s">
        <v>1213</v>
      </c>
      <c r="C622" s="3">
        <v>0</v>
      </c>
      <c r="D622" s="3">
        <v>6</v>
      </c>
      <c r="E622" s="2" t="str">
        <f t="shared" si="27"/>
        <v>REORDER NOW</v>
      </c>
      <c r="F622" s="2"/>
      <c r="G622" s="2"/>
      <c r="H622" s="3">
        <f t="shared" si="28"/>
        <v>3</v>
      </c>
      <c r="I622" s="3">
        <f t="shared" si="29"/>
        <v>0</v>
      </c>
    </row>
    <row r="623" spans="1:9" ht="18" customHeight="1" x14ac:dyDescent="0.25">
      <c r="A623" s="4" t="s">
        <v>1214</v>
      </c>
      <c r="B623" s="4" t="s">
        <v>1215</v>
      </c>
      <c r="C623" s="5">
        <v>9</v>
      </c>
      <c r="D623" s="5">
        <v>10</v>
      </c>
      <c r="E623" s="4" t="str">
        <f t="shared" si="27"/>
        <v>REORDER NOW</v>
      </c>
      <c r="F623" s="4"/>
      <c r="G623" s="4"/>
      <c r="H623" s="5">
        <f t="shared" si="28"/>
        <v>5</v>
      </c>
      <c r="I623" s="5">
        <f t="shared" si="29"/>
        <v>1.8</v>
      </c>
    </row>
    <row r="624" spans="1:9" ht="18" customHeight="1" x14ac:dyDescent="0.25">
      <c r="A624" s="2" t="s">
        <v>1216</v>
      </c>
      <c r="B624" s="2" t="s">
        <v>1217</v>
      </c>
      <c r="C624" s="3">
        <v>0</v>
      </c>
      <c r="D624" s="3">
        <v>6</v>
      </c>
      <c r="E624" s="2" t="str">
        <f t="shared" si="27"/>
        <v>REORDER NOW</v>
      </c>
      <c r="F624" s="2"/>
      <c r="G624" s="2"/>
      <c r="H624" s="3">
        <f t="shared" si="28"/>
        <v>3</v>
      </c>
      <c r="I624" s="3">
        <f t="shared" si="29"/>
        <v>0</v>
      </c>
    </row>
    <row r="625" spans="1:9" ht="18" customHeight="1" x14ac:dyDescent="0.25">
      <c r="A625" s="4" t="s">
        <v>1218</v>
      </c>
      <c r="B625" s="4" t="s">
        <v>1219</v>
      </c>
      <c r="C625" s="5">
        <v>204</v>
      </c>
      <c r="D625" s="5">
        <v>100</v>
      </c>
      <c r="E625" s="4" t="str">
        <f t="shared" si="27"/>
        <v>OK</v>
      </c>
      <c r="F625" s="4"/>
      <c r="G625" s="4"/>
      <c r="H625" s="5">
        <f t="shared" si="28"/>
        <v>50</v>
      </c>
      <c r="I625" s="5">
        <f t="shared" si="29"/>
        <v>4.0999999999999996</v>
      </c>
    </row>
    <row r="626" spans="1:9" ht="18" customHeight="1" x14ac:dyDescent="0.25">
      <c r="A626" s="2" t="s">
        <v>1220</v>
      </c>
      <c r="B626" s="2" t="s">
        <v>1221</v>
      </c>
      <c r="C626" s="3">
        <v>0</v>
      </c>
      <c r="D626" s="3">
        <v>6</v>
      </c>
      <c r="E626" s="2" t="str">
        <f t="shared" si="27"/>
        <v>REORDER NOW</v>
      </c>
      <c r="F626" s="2"/>
      <c r="G626" s="2"/>
      <c r="H626" s="3">
        <f t="shared" si="28"/>
        <v>3</v>
      </c>
      <c r="I626" s="3">
        <f t="shared" si="29"/>
        <v>0</v>
      </c>
    </row>
    <row r="627" spans="1:9" ht="18" customHeight="1" x14ac:dyDescent="0.25">
      <c r="A627" s="4" t="s">
        <v>1222</v>
      </c>
      <c r="B627" s="4" t="s">
        <v>1223</v>
      </c>
      <c r="C627" s="5">
        <v>0</v>
      </c>
      <c r="D627" s="5">
        <v>6</v>
      </c>
      <c r="E627" s="4" t="str">
        <f t="shared" si="27"/>
        <v>REORDER NOW</v>
      </c>
      <c r="F627" s="4"/>
      <c r="G627" s="4"/>
      <c r="H627" s="5">
        <f t="shared" si="28"/>
        <v>3</v>
      </c>
      <c r="I627" s="5">
        <f t="shared" si="29"/>
        <v>0</v>
      </c>
    </row>
    <row r="628" spans="1:9" ht="18" customHeight="1" x14ac:dyDescent="0.25">
      <c r="A628" s="2" t="s">
        <v>1224</v>
      </c>
      <c r="B628" s="2" t="s">
        <v>1225</v>
      </c>
      <c r="C628" s="3">
        <v>0</v>
      </c>
      <c r="D628" s="3">
        <v>6</v>
      </c>
      <c r="E628" s="2" t="str">
        <f t="shared" si="27"/>
        <v>REORDER NOW</v>
      </c>
      <c r="F628" s="2"/>
      <c r="G628" s="2"/>
      <c r="H628" s="3">
        <f t="shared" si="28"/>
        <v>3</v>
      </c>
      <c r="I628" s="3">
        <f t="shared" si="29"/>
        <v>0</v>
      </c>
    </row>
    <row r="629" spans="1:9" ht="18" customHeight="1" x14ac:dyDescent="0.25">
      <c r="A629" s="4" t="s">
        <v>1226</v>
      </c>
      <c r="B629" s="4" t="s">
        <v>1227</v>
      </c>
      <c r="C629" s="5">
        <v>1</v>
      </c>
      <c r="D629" s="5">
        <v>6</v>
      </c>
      <c r="E629" s="4" t="str">
        <f t="shared" si="27"/>
        <v>REORDER NOW</v>
      </c>
      <c r="F629" s="4"/>
      <c r="G629" s="4"/>
      <c r="H629" s="5">
        <f t="shared" si="28"/>
        <v>3</v>
      </c>
      <c r="I629" s="5">
        <f t="shared" si="29"/>
        <v>0.3</v>
      </c>
    </row>
    <row r="630" spans="1:9" ht="18" customHeight="1" x14ac:dyDescent="0.25">
      <c r="A630" s="2" t="s">
        <v>1228</v>
      </c>
      <c r="B630" s="2" t="s">
        <v>1229</v>
      </c>
      <c r="C630" s="3">
        <v>8</v>
      </c>
      <c r="D630" s="3">
        <v>10</v>
      </c>
      <c r="E630" s="2" t="str">
        <f t="shared" si="27"/>
        <v>REORDER NOW</v>
      </c>
      <c r="F630" s="2"/>
      <c r="G630" s="2"/>
      <c r="H630" s="3">
        <f t="shared" si="28"/>
        <v>5</v>
      </c>
      <c r="I630" s="3">
        <f t="shared" si="29"/>
        <v>1.6</v>
      </c>
    </row>
    <row r="631" spans="1:9" ht="18" customHeight="1" x14ac:dyDescent="0.25">
      <c r="A631" s="4" t="s">
        <v>1230</v>
      </c>
      <c r="B631" s="4" t="s">
        <v>1231</v>
      </c>
      <c r="C631" s="5">
        <v>0</v>
      </c>
      <c r="D631" s="5">
        <v>6</v>
      </c>
      <c r="E631" s="4" t="str">
        <f t="shared" si="27"/>
        <v>REORDER NOW</v>
      </c>
      <c r="F631" s="4"/>
      <c r="G631" s="4"/>
      <c r="H631" s="5">
        <f t="shared" si="28"/>
        <v>3</v>
      </c>
      <c r="I631" s="5">
        <f t="shared" si="29"/>
        <v>0</v>
      </c>
    </row>
    <row r="632" spans="1:9" ht="18" customHeight="1" x14ac:dyDescent="0.25">
      <c r="A632" s="2" t="s">
        <v>1232</v>
      </c>
      <c r="B632" s="2" t="s">
        <v>1233</v>
      </c>
      <c r="C632" s="3">
        <v>0</v>
      </c>
      <c r="D632" s="3">
        <v>6</v>
      </c>
      <c r="E632" s="2" t="str">
        <f t="shared" si="27"/>
        <v>REORDER NOW</v>
      </c>
      <c r="F632" s="2"/>
      <c r="G632" s="2"/>
      <c r="H632" s="3">
        <f t="shared" si="28"/>
        <v>3</v>
      </c>
      <c r="I632" s="3">
        <f t="shared" si="29"/>
        <v>0</v>
      </c>
    </row>
    <row r="633" spans="1:9" ht="18" customHeight="1" x14ac:dyDescent="0.25">
      <c r="A633" s="4" t="s">
        <v>1234</v>
      </c>
      <c r="B633" s="4" t="s">
        <v>1235</v>
      </c>
      <c r="C633" s="5">
        <v>0</v>
      </c>
      <c r="D633" s="5">
        <v>6</v>
      </c>
      <c r="E633" s="4" t="str">
        <f t="shared" si="27"/>
        <v>REORDER NOW</v>
      </c>
      <c r="F633" s="4"/>
      <c r="G633" s="4"/>
      <c r="H633" s="5">
        <f t="shared" si="28"/>
        <v>3</v>
      </c>
      <c r="I633" s="5">
        <f t="shared" si="29"/>
        <v>0</v>
      </c>
    </row>
    <row r="634" spans="1:9" ht="18" customHeight="1" x14ac:dyDescent="0.25">
      <c r="A634" s="2" t="s">
        <v>1236</v>
      </c>
      <c r="B634" s="2" t="s">
        <v>1237</v>
      </c>
      <c r="C634" s="3">
        <v>0</v>
      </c>
      <c r="D634" s="3">
        <v>6</v>
      </c>
      <c r="E634" s="2" t="str">
        <f t="shared" si="27"/>
        <v>REORDER NOW</v>
      </c>
      <c r="F634" s="2"/>
      <c r="G634" s="2"/>
      <c r="H634" s="3">
        <f t="shared" si="28"/>
        <v>3</v>
      </c>
      <c r="I634" s="3">
        <f t="shared" si="29"/>
        <v>0</v>
      </c>
    </row>
    <row r="635" spans="1:9" ht="18" customHeight="1" x14ac:dyDescent="0.25">
      <c r="A635" s="4" t="s">
        <v>1238</v>
      </c>
      <c r="B635" s="4" t="s">
        <v>1239</v>
      </c>
      <c r="C635" s="5">
        <v>2</v>
      </c>
      <c r="D635" s="5">
        <v>6</v>
      </c>
      <c r="E635" s="4" t="str">
        <f t="shared" si="27"/>
        <v>REORDER NOW</v>
      </c>
      <c r="F635" s="4"/>
      <c r="G635" s="4"/>
      <c r="H635" s="5">
        <f t="shared" si="28"/>
        <v>3</v>
      </c>
      <c r="I635" s="5">
        <f t="shared" si="29"/>
        <v>0.7</v>
      </c>
    </row>
    <row r="636" spans="1:9" ht="18" customHeight="1" x14ac:dyDescent="0.25">
      <c r="A636" s="2" t="s">
        <v>1240</v>
      </c>
      <c r="B636" s="2" t="s">
        <v>1241</v>
      </c>
      <c r="C636" s="3">
        <v>3</v>
      </c>
      <c r="D636" s="3">
        <v>6</v>
      </c>
      <c r="E636" s="2" t="str">
        <f t="shared" si="27"/>
        <v>REORDER NOW</v>
      </c>
      <c r="F636" s="2"/>
      <c r="G636" s="2"/>
      <c r="H636" s="3">
        <f t="shared" si="28"/>
        <v>3</v>
      </c>
      <c r="I636" s="3">
        <f t="shared" si="29"/>
        <v>1</v>
      </c>
    </row>
    <row r="637" spans="1:9" ht="18" customHeight="1" x14ac:dyDescent="0.25">
      <c r="A637" s="4" t="s">
        <v>1242</v>
      </c>
      <c r="B637" s="4" t="s">
        <v>1243</v>
      </c>
      <c r="C637" s="5">
        <v>1</v>
      </c>
      <c r="D637" s="5">
        <v>6</v>
      </c>
      <c r="E637" s="4" t="str">
        <f t="shared" si="27"/>
        <v>REORDER NOW</v>
      </c>
      <c r="F637" s="4"/>
      <c r="G637" s="4"/>
      <c r="H637" s="5">
        <f t="shared" si="28"/>
        <v>3</v>
      </c>
      <c r="I637" s="5">
        <f t="shared" si="29"/>
        <v>0.3</v>
      </c>
    </row>
    <row r="638" spans="1:9" ht="18" customHeight="1" x14ac:dyDescent="0.25">
      <c r="A638" s="2" t="s">
        <v>1244</v>
      </c>
      <c r="B638" s="2" t="s">
        <v>1245</v>
      </c>
      <c r="C638" s="3">
        <v>0</v>
      </c>
      <c r="D638" s="3">
        <v>6</v>
      </c>
      <c r="E638" s="2" t="str">
        <f t="shared" si="27"/>
        <v>REORDER NOW</v>
      </c>
      <c r="F638" s="2"/>
      <c r="G638" s="2"/>
      <c r="H638" s="3">
        <f t="shared" si="28"/>
        <v>3</v>
      </c>
      <c r="I638" s="3">
        <f t="shared" si="29"/>
        <v>0</v>
      </c>
    </row>
    <row r="639" spans="1:9" ht="18" customHeight="1" x14ac:dyDescent="0.25">
      <c r="A639" s="4" t="s">
        <v>1246</v>
      </c>
      <c r="B639" s="4" t="s">
        <v>1247</v>
      </c>
      <c r="C639" s="5">
        <v>87</v>
      </c>
      <c r="D639" s="5">
        <v>40</v>
      </c>
      <c r="E639" s="4" t="str">
        <f t="shared" si="27"/>
        <v>OK</v>
      </c>
      <c r="F639" s="4"/>
      <c r="G639" s="4"/>
      <c r="H639" s="5">
        <f t="shared" si="28"/>
        <v>20</v>
      </c>
      <c r="I639" s="5">
        <f t="shared" si="29"/>
        <v>4.4000000000000004</v>
      </c>
    </row>
    <row r="640" spans="1:9" ht="18" customHeight="1" x14ac:dyDescent="0.25">
      <c r="A640" s="2" t="s">
        <v>1248</v>
      </c>
      <c r="B640" s="2" t="s">
        <v>1249</v>
      </c>
      <c r="C640" s="3">
        <v>1</v>
      </c>
      <c r="D640" s="3">
        <v>6</v>
      </c>
      <c r="E640" s="2" t="str">
        <f t="shared" si="27"/>
        <v>REORDER NOW</v>
      </c>
      <c r="F640" s="2"/>
      <c r="G640" s="2"/>
      <c r="H640" s="3">
        <f t="shared" si="28"/>
        <v>3</v>
      </c>
      <c r="I640" s="3">
        <f t="shared" si="29"/>
        <v>0.3</v>
      </c>
    </row>
    <row r="641" spans="1:9" ht="18" customHeight="1" x14ac:dyDescent="0.25">
      <c r="A641" s="4" t="s">
        <v>1250</v>
      </c>
      <c r="B641" s="4" t="s">
        <v>1251</v>
      </c>
      <c r="C641" s="5">
        <v>0</v>
      </c>
      <c r="D641" s="5">
        <v>6</v>
      </c>
      <c r="E641" s="4" t="str">
        <f t="shared" si="27"/>
        <v>REORDER NOW</v>
      </c>
      <c r="F641" s="4"/>
      <c r="G641" s="4"/>
      <c r="H641" s="5">
        <f t="shared" si="28"/>
        <v>3</v>
      </c>
      <c r="I641" s="5">
        <f t="shared" si="29"/>
        <v>0</v>
      </c>
    </row>
    <row r="642" spans="1:9" ht="18" customHeight="1" x14ac:dyDescent="0.25">
      <c r="A642" s="2" t="s">
        <v>1252</v>
      </c>
      <c r="B642" s="2" t="s">
        <v>1253</v>
      </c>
      <c r="C642" s="3">
        <v>0</v>
      </c>
      <c r="D642" s="3">
        <v>6</v>
      </c>
      <c r="E642" s="2" t="str">
        <f t="shared" si="27"/>
        <v>REORDER NOW</v>
      </c>
      <c r="F642" s="2"/>
      <c r="G642" s="2"/>
      <c r="H642" s="3">
        <f t="shared" si="28"/>
        <v>3</v>
      </c>
      <c r="I642" s="3">
        <f t="shared" si="29"/>
        <v>0</v>
      </c>
    </row>
    <row r="643" spans="1:9" ht="18" customHeight="1" x14ac:dyDescent="0.25">
      <c r="A643" s="4" t="s">
        <v>1254</v>
      </c>
      <c r="B643" s="4" t="s">
        <v>1255</v>
      </c>
      <c r="C643" s="5">
        <v>0</v>
      </c>
      <c r="D643" s="5">
        <v>6</v>
      </c>
      <c r="E643" s="4" t="str">
        <f t="shared" si="27"/>
        <v>REORDER NOW</v>
      </c>
      <c r="F643" s="4"/>
      <c r="G643" s="4"/>
      <c r="H643" s="5">
        <f t="shared" si="28"/>
        <v>3</v>
      </c>
      <c r="I643" s="5">
        <f t="shared" si="29"/>
        <v>0</v>
      </c>
    </row>
    <row r="644" spans="1:9" ht="18" customHeight="1" x14ac:dyDescent="0.25">
      <c r="A644" s="2" t="s">
        <v>1256</v>
      </c>
      <c r="B644" s="2" t="s">
        <v>1257</v>
      </c>
      <c r="C644" s="3">
        <v>0</v>
      </c>
      <c r="D644" s="3">
        <v>6</v>
      </c>
      <c r="E644" s="2" t="str">
        <f t="shared" ref="E644:E707" si="30">IF(C644&lt;=D644,"REORDER NOW","OK")</f>
        <v>REORDER NOW</v>
      </c>
      <c r="F644" s="2"/>
      <c r="G644" s="2"/>
      <c r="H644" s="3">
        <f t="shared" ref="H644:H707" si="31">D644/2</f>
        <v>3</v>
      </c>
      <c r="I644" s="3">
        <f t="shared" ref="I644:I707" si="32">IF(H644=0,"N/A",ROUND(C644/H644,1))</f>
        <v>0</v>
      </c>
    </row>
    <row r="645" spans="1:9" ht="18" customHeight="1" x14ac:dyDescent="0.25">
      <c r="A645" s="4" t="s">
        <v>1258</v>
      </c>
      <c r="B645" s="4" t="s">
        <v>1259</v>
      </c>
      <c r="C645" s="5">
        <v>9</v>
      </c>
      <c r="D645" s="5">
        <v>10</v>
      </c>
      <c r="E645" s="4" t="str">
        <f t="shared" si="30"/>
        <v>REORDER NOW</v>
      </c>
      <c r="F645" s="4"/>
      <c r="G645" s="4"/>
      <c r="H645" s="5">
        <f t="shared" si="31"/>
        <v>5</v>
      </c>
      <c r="I645" s="5">
        <f t="shared" si="32"/>
        <v>1.8</v>
      </c>
    </row>
    <row r="646" spans="1:9" ht="18" customHeight="1" x14ac:dyDescent="0.25">
      <c r="A646" s="2" t="s">
        <v>1260</v>
      </c>
      <c r="B646" s="2" t="s">
        <v>1261</v>
      </c>
      <c r="C646" s="3">
        <v>100</v>
      </c>
      <c r="D646" s="3">
        <v>40</v>
      </c>
      <c r="E646" s="2" t="str">
        <f t="shared" si="30"/>
        <v>OK</v>
      </c>
      <c r="F646" s="2"/>
      <c r="G646" s="2"/>
      <c r="H646" s="3">
        <f t="shared" si="31"/>
        <v>20</v>
      </c>
      <c r="I646" s="3">
        <f t="shared" si="32"/>
        <v>5</v>
      </c>
    </row>
    <row r="647" spans="1:9" ht="18" customHeight="1" x14ac:dyDescent="0.25">
      <c r="A647" s="4" t="s">
        <v>1262</v>
      </c>
      <c r="B647" s="4" t="s">
        <v>1263</v>
      </c>
      <c r="C647" s="5">
        <v>3</v>
      </c>
      <c r="D647" s="5">
        <v>6</v>
      </c>
      <c r="E647" s="4" t="str">
        <f t="shared" si="30"/>
        <v>REORDER NOW</v>
      </c>
      <c r="F647" s="4"/>
      <c r="G647" s="4"/>
      <c r="H647" s="5">
        <f t="shared" si="31"/>
        <v>3</v>
      </c>
      <c r="I647" s="5">
        <f t="shared" si="32"/>
        <v>1</v>
      </c>
    </row>
    <row r="648" spans="1:9" ht="18" customHeight="1" x14ac:dyDescent="0.25">
      <c r="A648" s="2" t="s">
        <v>1264</v>
      </c>
      <c r="B648" s="2" t="s">
        <v>1265</v>
      </c>
      <c r="C648" s="3">
        <v>1</v>
      </c>
      <c r="D648" s="3">
        <v>6</v>
      </c>
      <c r="E648" s="2" t="str">
        <f t="shared" si="30"/>
        <v>REORDER NOW</v>
      </c>
      <c r="F648" s="2"/>
      <c r="G648" s="2"/>
      <c r="H648" s="3">
        <f t="shared" si="31"/>
        <v>3</v>
      </c>
      <c r="I648" s="3">
        <f t="shared" si="32"/>
        <v>0.3</v>
      </c>
    </row>
    <row r="649" spans="1:9" ht="18" customHeight="1" x14ac:dyDescent="0.25">
      <c r="A649" s="4" t="s">
        <v>1266</v>
      </c>
      <c r="B649" s="4" t="s">
        <v>1267</v>
      </c>
      <c r="C649" s="5">
        <v>0</v>
      </c>
      <c r="D649" s="5">
        <v>6</v>
      </c>
      <c r="E649" s="4" t="str">
        <f t="shared" si="30"/>
        <v>REORDER NOW</v>
      </c>
      <c r="F649" s="4"/>
      <c r="G649" s="4"/>
      <c r="H649" s="5">
        <f t="shared" si="31"/>
        <v>3</v>
      </c>
      <c r="I649" s="5">
        <f t="shared" si="32"/>
        <v>0</v>
      </c>
    </row>
    <row r="650" spans="1:9" ht="18" customHeight="1" x14ac:dyDescent="0.25">
      <c r="A650" s="2" t="s">
        <v>1268</v>
      </c>
      <c r="B650" s="2" t="s">
        <v>1269</v>
      </c>
      <c r="C650" s="3">
        <v>7</v>
      </c>
      <c r="D650" s="3">
        <v>10</v>
      </c>
      <c r="E650" s="2" t="str">
        <f t="shared" si="30"/>
        <v>REORDER NOW</v>
      </c>
      <c r="F650" s="2"/>
      <c r="G650" s="2"/>
      <c r="H650" s="3">
        <f t="shared" si="31"/>
        <v>5</v>
      </c>
      <c r="I650" s="3">
        <f t="shared" si="32"/>
        <v>1.4</v>
      </c>
    </row>
    <row r="651" spans="1:9" ht="18" customHeight="1" x14ac:dyDescent="0.25">
      <c r="A651" s="4" t="s">
        <v>1270</v>
      </c>
      <c r="B651" s="4" t="s">
        <v>1271</v>
      </c>
      <c r="C651" s="5">
        <v>2</v>
      </c>
      <c r="D651" s="5">
        <v>6</v>
      </c>
      <c r="E651" s="4" t="str">
        <f t="shared" si="30"/>
        <v>REORDER NOW</v>
      </c>
      <c r="F651" s="4"/>
      <c r="G651" s="4"/>
      <c r="H651" s="5">
        <f t="shared" si="31"/>
        <v>3</v>
      </c>
      <c r="I651" s="5">
        <f t="shared" si="32"/>
        <v>0.7</v>
      </c>
    </row>
    <row r="652" spans="1:9" ht="18" customHeight="1" x14ac:dyDescent="0.25">
      <c r="A652" s="2" t="s">
        <v>1272</v>
      </c>
      <c r="B652" s="2" t="s">
        <v>1273</v>
      </c>
      <c r="C652" s="3">
        <v>10</v>
      </c>
      <c r="D652" s="3">
        <v>10</v>
      </c>
      <c r="E652" s="2" t="str">
        <f t="shared" si="30"/>
        <v>REORDER NOW</v>
      </c>
      <c r="F652" s="2"/>
      <c r="G652" s="2"/>
      <c r="H652" s="3">
        <f t="shared" si="31"/>
        <v>5</v>
      </c>
      <c r="I652" s="3">
        <f t="shared" si="32"/>
        <v>2</v>
      </c>
    </row>
    <row r="653" spans="1:9" ht="18" customHeight="1" x14ac:dyDescent="0.25">
      <c r="A653" s="4" t="s">
        <v>1274</v>
      </c>
      <c r="B653" s="4" t="s">
        <v>1275</v>
      </c>
      <c r="C653" s="5">
        <v>0</v>
      </c>
      <c r="D653" s="5">
        <v>6</v>
      </c>
      <c r="E653" s="4" t="str">
        <f t="shared" si="30"/>
        <v>REORDER NOW</v>
      </c>
      <c r="F653" s="4"/>
      <c r="G653" s="4"/>
      <c r="H653" s="5">
        <f t="shared" si="31"/>
        <v>3</v>
      </c>
      <c r="I653" s="5">
        <f t="shared" si="32"/>
        <v>0</v>
      </c>
    </row>
    <row r="654" spans="1:9" ht="18" customHeight="1" x14ac:dyDescent="0.25">
      <c r="A654" s="2" t="s">
        <v>1276</v>
      </c>
      <c r="B654" s="2" t="s">
        <v>1277</v>
      </c>
      <c r="C654" s="3">
        <v>0</v>
      </c>
      <c r="D654" s="3">
        <v>6</v>
      </c>
      <c r="E654" s="2" t="str">
        <f t="shared" si="30"/>
        <v>REORDER NOW</v>
      </c>
      <c r="F654" s="2"/>
      <c r="G654" s="2"/>
      <c r="H654" s="3">
        <f t="shared" si="31"/>
        <v>3</v>
      </c>
      <c r="I654" s="3">
        <f t="shared" si="32"/>
        <v>0</v>
      </c>
    </row>
    <row r="655" spans="1:9" ht="18" customHeight="1" x14ac:dyDescent="0.25">
      <c r="A655" s="4" t="s">
        <v>1278</v>
      </c>
      <c r="B655" s="4" t="s">
        <v>1279</v>
      </c>
      <c r="C655" s="5">
        <v>0</v>
      </c>
      <c r="D655" s="5">
        <v>6</v>
      </c>
      <c r="E655" s="4" t="str">
        <f t="shared" si="30"/>
        <v>REORDER NOW</v>
      </c>
      <c r="F655" s="4"/>
      <c r="G655" s="4"/>
      <c r="H655" s="5">
        <f t="shared" si="31"/>
        <v>3</v>
      </c>
      <c r="I655" s="5">
        <f t="shared" si="32"/>
        <v>0</v>
      </c>
    </row>
    <row r="656" spans="1:9" ht="18" customHeight="1" x14ac:dyDescent="0.25">
      <c r="A656" s="2" t="s">
        <v>1280</v>
      </c>
      <c r="B656" s="2" t="s">
        <v>1281</v>
      </c>
      <c r="C656" s="3">
        <v>6</v>
      </c>
      <c r="D656" s="3">
        <v>10</v>
      </c>
      <c r="E656" s="2" t="str">
        <f t="shared" si="30"/>
        <v>REORDER NOW</v>
      </c>
      <c r="F656" s="2"/>
      <c r="G656" s="2"/>
      <c r="H656" s="3">
        <f t="shared" si="31"/>
        <v>5</v>
      </c>
      <c r="I656" s="3">
        <f t="shared" si="32"/>
        <v>1.2</v>
      </c>
    </row>
    <row r="657" spans="1:9" ht="18" customHeight="1" x14ac:dyDescent="0.25">
      <c r="A657" s="4" t="s">
        <v>1282</v>
      </c>
      <c r="B657" s="4" t="s">
        <v>1283</v>
      </c>
      <c r="C657" s="5">
        <v>0</v>
      </c>
      <c r="D657" s="5">
        <v>6</v>
      </c>
      <c r="E657" s="4" t="str">
        <f t="shared" si="30"/>
        <v>REORDER NOW</v>
      </c>
      <c r="F657" s="4"/>
      <c r="G657" s="4"/>
      <c r="H657" s="5">
        <f t="shared" si="31"/>
        <v>3</v>
      </c>
      <c r="I657" s="5">
        <f t="shared" si="32"/>
        <v>0</v>
      </c>
    </row>
    <row r="658" spans="1:9" ht="18" customHeight="1" x14ac:dyDescent="0.25">
      <c r="A658" s="2" t="s">
        <v>1284</v>
      </c>
      <c r="B658" s="2" t="s">
        <v>1285</v>
      </c>
      <c r="C658" s="3">
        <v>2</v>
      </c>
      <c r="D658" s="3">
        <v>6</v>
      </c>
      <c r="E658" s="2" t="str">
        <f t="shared" si="30"/>
        <v>REORDER NOW</v>
      </c>
      <c r="F658" s="2"/>
      <c r="G658" s="2"/>
      <c r="H658" s="3">
        <f t="shared" si="31"/>
        <v>3</v>
      </c>
      <c r="I658" s="3">
        <f t="shared" si="32"/>
        <v>0.7</v>
      </c>
    </row>
    <row r="659" spans="1:9" ht="18" customHeight="1" x14ac:dyDescent="0.25">
      <c r="A659" s="4" t="s">
        <v>1286</v>
      </c>
      <c r="B659" s="4" t="s">
        <v>1287</v>
      </c>
      <c r="C659" s="5">
        <v>0</v>
      </c>
      <c r="D659" s="5">
        <v>6</v>
      </c>
      <c r="E659" s="4" t="str">
        <f t="shared" si="30"/>
        <v>REORDER NOW</v>
      </c>
      <c r="F659" s="4"/>
      <c r="G659" s="4"/>
      <c r="H659" s="5">
        <f t="shared" si="31"/>
        <v>3</v>
      </c>
      <c r="I659" s="5">
        <f t="shared" si="32"/>
        <v>0</v>
      </c>
    </row>
    <row r="660" spans="1:9" ht="18" customHeight="1" x14ac:dyDescent="0.25">
      <c r="A660" s="2" t="s">
        <v>1288</v>
      </c>
      <c r="B660" s="2" t="s">
        <v>1289</v>
      </c>
      <c r="C660" s="3">
        <v>2</v>
      </c>
      <c r="D660" s="3">
        <v>6</v>
      </c>
      <c r="E660" s="2" t="str">
        <f t="shared" si="30"/>
        <v>REORDER NOW</v>
      </c>
      <c r="F660" s="2"/>
      <c r="G660" s="2"/>
      <c r="H660" s="3">
        <f t="shared" si="31"/>
        <v>3</v>
      </c>
      <c r="I660" s="3">
        <f t="shared" si="32"/>
        <v>0.7</v>
      </c>
    </row>
    <row r="661" spans="1:9" ht="18" customHeight="1" x14ac:dyDescent="0.25">
      <c r="A661" s="4" t="s">
        <v>1290</v>
      </c>
      <c r="B661" s="4" t="s">
        <v>1291</v>
      </c>
      <c r="C661" s="5">
        <v>3</v>
      </c>
      <c r="D661" s="5">
        <v>6</v>
      </c>
      <c r="E661" s="4" t="str">
        <f t="shared" si="30"/>
        <v>REORDER NOW</v>
      </c>
      <c r="F661" s="4"/>
      <c r="G661" s="4"/>
      <c r="H661" s="5">
        <f t="shared" si="31"/>
        <v>3</v>
      </c>
      <c r="I661" s="5">
        <f t="shared" si="32"/>
        <v>1</v>
      </c>
    </row>
    <row r="662" spans="1:9" ht="18" customHeight="1" x14ac:dyDescent="0.25">
      <c r="A662" s="2" t="s">
        <v>1292</v>
      </c>
      <c r="B662" s="2" t="s">
        <v>1293</v>
      </c>
      <c r="C662" s="3">
        <v>0</v>
      </c>
      <c r="D662" s="3">
        <v>6</v>
      </c>
      <c r="E662" s="2" t="str">
        <f t="shared" si="30"/>
        <v>REORDER NOW</v>
      </c>
      <c r="F662" s="2"/>
      <c r="G662" s="2"/>
      <c r="H662" s="3">
        <f t="shared" si="31"/>
        <v>3</v>
      </c>
      <c r="I662" s="3">
        <f t="shared" si="32"/>
        <v>0</v>
      </c>
    </row>
    <row r="663" spans="1:9" ht="18" customHeight="1" x14ac:dyDescent="0.25">
      <c r="A663" s="4" t="s">
        <v>1294</v>
      </c>
      <c r="B663" s="4" t="s">
        <v>1295</v>
      </c>
      <c r="C663" s="5">
        <v>0</v>
      </c>
      <c r="D663" s="5">
        <v>6</v>
      </c>
      <c r="E663" s="4" t="str">
        <f t="shared" si="30"/>
        <v>REORDER NOW</v>
      </c>
      <c r="F663" s="4"/>
      <c r="G663" s="4"/>
      <c r="H663" s="5">
        <f t="shared" si="31"/>
        <v>3</v>
      </c>
      <c r="I663" s="5">
        <f t="shared" si="32"/>
        <v>0</v>
      </c>
    </row>
    <row r="664" spans="1:9" ht="18" customHeight="1" x14ac:dyDescent="0.25">
      <c r="A664" s="2" t="s">
        <v>1296</v>
      </c>
      <c r="B664" s="2" t="s">
        <v>1297</v>
      </c>
      <c r="C664" s="3">
        <v>0</v>
      </c>
      <c r="D664" s="3">
        <v>6</v>
      </c>
      <c r="E664" s="2" t="str">
        <f t="shared" si="30"/>
        <v>REORDER NOW</v>
      </c>
      <c r="F664" s="2"/>
      <c r="G664" s="2"/>
      <c r="H664" s="3">
        <f t="shared" si="31"/>
        <v>3</v>
      </c>
      <c r="I664" s="3">
        <f t="shared" si="32"/>
        <v>0</v>
      </c>
    </row>
    <row r="665" spans="1:9" ht="18" customHeight="1" x14ac:dyDescent="0.25">
      <c r="A665" s="4" t="s">
        <v>1298</v>
      </c>
      <c r="B665" s="4" t="s">
        <v>1299</v>
      </c>
      <c r="C665" s="5">
        <v>0</v>
      </c>
      <c r="D665" s="5">
        <v>6</v>
      </c>
      <c r="E665" s="4" t="str">
        <f t="shared" si="30"/>
        <v>REORDER NOW</v>
      </c>
      <c r="F665" s="4"/>
      <c r="G665" s="4"/>
      <c r="H665" s="5">
        <f t="shared" si="31"/>
        <v>3</v>
      </c>
      <c r="I665" s="5">
        <f t="shared" si="32"/>
        <v>0</v>
      </c>
    </row>
    <row r="666" spans="1:9" ht="18" customHeight="1" x14ac:dyDescent="0.25">
      <c r="A666" s="2" t="s">
        <v>1300</v>
      </c>
      <c r="B666" s="2" t="s">
        <v>1301</v>
      </c>
      <c r="C666" s="3">
        <v>0</v>
      </c>
      <c r="D666" s="3">
        <v>6</v>
      </c>
      <c r="E666" s="2" t="str">
        <f t="shared" si="30"/>
        <v>REORDER NOW</v>
      </c>
      <c r="F666" s="2"/>
      <c r="G666" s="2"/>
      <c r="H666" s="3">
        <f t="shared" si="31"/>
        <v>3</v>
      </c>
      <c r="I666" s="3">
        <f t="shared" si="32"/>
        <v>0</v>
      </c>
    </row>
    <row r="667" spans="1:9" ht="18" customHeight="1" x14ac:dyDescent="0.25">
      <c r="A667" s="4" t="s">
        <v>1302</v>
      </c>
      <c r="B667" s="4" t="s">
        <v>1303</v>
      </c>
      <c r="C667" s="5">
        <v>700</v>
      </c>
      <c r="D667" s="5">
        <v>200</v>
      </c>
      <c r="E667" s="4" t="str">
        <f t="shared" si="30"/>
        <v>OK</v>
      </c>
      <c r="F667" s="4"/>
      <c r="G667" s="4"/>
      <c r="H667" s="5">
        <f t="shared" si="31"/>
        <v>100</v>
      </c>
      <c r="I667" s="5">
        <f t="shared" si="32"/>
        <v>7</v>
      </c>
    </row>
    <row r="668" spans="1:9" ht="18" customHeight="1" x14ac:dyDescent="0.25">
      <c r="A668" s="2" t="s">
        <v>1304</v>
      </c>
      <c r="B668" s="2" t="s">
        <v>1305</v>
      </c>
      <c r="C668" s="3">
        <v>80</v>
      </c>
      <c r="D668" s="3">
        <v>40</v>
      </c>
      <c r="E668" s="2" t="str">
        <f t="shared" si="30"/>
        <v>OK</v>
      </c>
      <c r="F668" s="2"/>
      <c r="G668" s="2"/>
      <c r="H668" s="3">
        <f t="shared" si="31"/>
        <v>20</v>
      </c>
      <c r="I668" s="3">
        <f t="shared" si="32"/>
        <v>4</v>
      </c>
    </row>
    <row r="669" spans="1:9" ht="18" customHeight="1" x14ac:dyDescent="0.25">
      <c r="A669" s="4" t="s">
        <v>1306</v>
      </c>
      <c r="B669" s="4" t="s">
        <v>1307</v>
      </c>
      <c r="C669" s="5">
        <v>85</v>
      </c>
      <c r="D669" s="5">
        <v>40</v>
      </c>
      <c r="E669" s="4" t="str">
        <f t="shared" si="30"/>
        <v>OK</v>
      </c>
      <c r="F669" s="4"/>
      <c r="G669" s="4"/>
      <c r="H669" s="5">
        <f t="shared" si="31"/>
        <v>20</v>
      </c>
      <c r="I669" s="5">
        <f t="shared" si="32"/>
        <v>4.3</v>
      </c>
    </row>
    <row r="670" spans="1:9" ht="18" customHeight="1" x14ac:dyDescent="0.25">
      <c r="A670" s="2" t="s">
        <v>1308</v>
      </c>
      <c r="B670" s="2" t="s">
        <v>1309</v>
      </c>
      <c r="C670" s="3">
        <v>0</v>
      </c>
      <c r="D670" s="3">
        <v>6</v>
      </c>
      <c r="E670" s="2" t="str">
        <f t="shared" si="30"/>
        <v>REORDER NOW</v>
      </c>
      <c r="F670" s="2"/>
      <c r="G670" s="2"/>
      <c r="H670" s="3">
        <f t="shared" si="31"/>
        <v>3</v>
      </c>
      <c r="I670" s="3">
        <f t="shared" si="32"/>
        <v>0</v>
      </c>
    </row>
    <row r="671" spans="1:9" ht="18" customHeight="1" x14ac:dyDescent="0.25">
      <c r="A671" s="4" t="s">
        <v>1310</v>
      </c>
      <c r="B671" s="4" t="s">
        <v>1311</v>
      </c>
      <c r="C671" s="5">
        <v>0</v>
      </c>
      <c r="D671" s="5">
        <v>6</v>
      </c>
      <c r="E671" s="4" t="str">
        <f t="shared" si="30"/>
        <v>REORDER NOW</v>
      </c>
      <c r="F671" s="4"/>
      <c r="G671" s="4"/>
      <c r="H671" s="5">
        <f t="shared" si="31"/>
        <v>3</v>
      </c>
      <c r="I671" s="5">
        <f t="shared" si="32"/>
        <v>0</v>
      </c>
    </row>
    <row r="672" spans="1:9" ht="18" customHeight="1" x14ac:dyDescent="0.25">
      <c r="A672" s="2" t="s">
        <v>1312</v>
      </c>
      <c r="B672" s="2" t="s">
        <v>1313</v>
      </c>
      <c r="C672" s="3">
        <v>46</v>
      </c>
      <c r="D672" s="3">
        <v>20</v>
      </c>
      <c r="E672" s="2" t="str">
        <f t="shared" si="30"/>
        <v>OK</v>
      </c>
      <c r="F672" s="2"/>
      <c r="G672" s="2"/>
      <c r="H672" s="3">
        <f t="shared" si="31"/>
        <v>10</v>
      </c>
      <c r="I672" s="3">
        <f t="shared" si="32"/>
        <v>4.5999999999999996</v>
      </c>
    </row>
    <row r="673" spans="1:9" ht="18" customHeight="1" x14ac:dyDescent="0.25">
      <c r="A673" s="4" t="s">
        <v>1314</v>
      </c>
      <c r="B673" s="4" t="s">
        <v>1315</v>
      </c>
      <c r="C673" s="5">
        <v>0</v>
      </c>
      <c r="D673" s="5">
        <v>6</v>
      </c>
      <c r="E673" s="4" t="str">
        <f t="shared" si="30"/>
        <v>REORDER NOW</v>
      </c>
      <c r="F673" s="4"/>
      <c r="G673" s="4"/>
      <c r="H673" s="5">
        <f t="shared" si="31"/>
        <v>3</v>
      </c>
      <c r="I673" s="5">
        <f t="shared" si="32"/>
        <v>0</v>
      </c>
    </row>
    <row r="674" spans="1:9" ht="18" customHeight="1" x14ac:dyDescent="0.25">
      <c r="A674" s="2" t="s">
        <v>1316</v>
      </c>
      <c r="B674" s="2" t="s">
        <v>1317</v>
      </c>
      <c r="C674" s="3">
        <v>1</v>
      </c>
      <c r="D674" s="3">
        <v>6</v>
      </c>
      <c r="E674" s="2" t="str">
        <f t="shared" si="30"/>
        <v>REORDER NOW</v>
      </c>
      <c r="F674" s="2"/>
      <c r="G674" s="2"/>
      <c r="H674" s="3">
        <f t="shared" si="31"/>
        <v>3</v>
      </c>
      <c r="I674" s="3">
        <f t="shared" si="32"/>
        <v>0.3</v>
      </c>
    </row>
    <row r="675" spans="1:9" ht="18" customHeight="1" x14ac:dyDescent="0.25">
      <c r="A675" s="4" t="s">
        <v>1318</v>
      </c>
      <c r="B675" s="4" t="s">
        <v>1319</v>
      </c>
      <c r="C675" s="5">
        <v>0</v>
      </c>
      <c r="D675" s="5">
        <v>6</v>
      </c>
      <c r="E675" s="4" t="str">
        <f t="shared" si="30"/>
        <v>REORDER NOW</v>
      </c>
      <c r="F675" s="4"/>
      <c r="G675" s="4"/>
      <c r="H675" s="5">
        <f t="shared" si="31"/>
        <v>3</v>
      </c>
      <c r="I675" s="5">
        <f t="shared" si="32"/>
        <v>0</v>
      </c>
    </row>
    <row r="676" spans="1:9" ht="18" customHeight="1" x14ac:dyDescent="0.25">
      <c r="A676" s="2" t="s">
        <v>1320</v>
      </c>
      <c r="B676" s="2" t="s">
        <v>1321</v>
      </c>
      <c r="C676" s="3">
        <v>209</v>
      </c>
      <c r="D676" s="3">
        <v>100</v>
      </c>
      <c r="E676" s="2" t="str">
        <f t="shared" si="30"/>
        <v>OK</v>
      </c>
      <c r="F676" s="2"/>
      <c r="G676" s="2"/>
      <c r="H676" s="3">
        <f t="shared" si="31"/>
        <v>50</v>
      </c>
      <c r="I676" s="3">
        <f t="shared" si="32"/>
        <v>4.2</v>
      </c>
    </row>
    <row r="677" spans="1:9" ht="18" customHeight="1" x14ac:dyDescent="0.25">
      <c r="A677" s="4" t="s">
        <v>1322</v>
      </c>
      <c r="B677" s="4" t="s">
        <v>826</v>
      </c>
      <c r="C677" s="5">
        <v>0</v>
      </c>
      <c r="D677" s="5">
        <v>6</v>
      </c>
      <c r="E677" s="4" t="str">
        <f t="shared" si="30"/>
        <v>REORDER NOW</v>
      </c>
      <c r="F677" s="4"/>
      <c r="G677" s="4"/>
      <c r="H677" s="5">
        <f t="shared" si="31"/>
        <v>3</v>
      </c>
      <c r="I677" s="5">
        <f t="shared" si="32"/>
        <v>0</v>
      </c>
    </row>
    <row r="678" spans="1:9" ht="18" customHeight="1" x14ac:dyDescent="0.25">
      <c r="A678" s="2" t="s">
        <v>1323</v>
      </c>
      <c r="B678" s="2" t="s">
        <v>1324</v>
      </c>
      <c r="C678" s="3">
        <v>0</v>
      </c>
      <c r="D678" s="3">
        <v>6</v>
      </c>
      <c r="E678" s="2" t="str">
        <f t="shared" si="30"/>
        <v>REORDER NOW</v>
      </c>
      <c r="F678" s="2"/>
      <c r="G678" s="2"/>
      <c r="H678" s="3">
        <f t="shared" si="31"/>
        <v>3</v>
      </c>
      <c r="I678" s="3">
        <f t="shared" si="32"/>
        <v>0</v>
      </c>
    </row>
    <row r="679" spans="1:9" ht="18" customHeight="1" x14ac:dyDescent="0.25">
      <c r="A679" s="4" t="s">
        <v>1325</v>
      </c>
      <c r="B679" s="4" t="s">
        <v>1326</v>
      </c>
      <c r="C679" s="5">
        <v>0</v>
      </c>
      <c r="D679" s="5">
        <v>6</v>
      </c>
      <c r="E679" s="4" t="str">
        <f t="shared" si="30"/>
        <v>REORDER NOW</v>
      </c>
      <c r="F679" s="4"/>
      <c r="G679" s="4"/>
      <c r="H679" s="5">
        <f t="shared" si="31"/>
        <v>3</v>
      </c>
      <c r="I679" s="5">
        <f t="shared" si="32"/>
        <v>0</v>
      </c>
    </row>
    <row r="680" spans="1:9" ht="18" customHeight="1" x14ac:dyDescent="0.25">
      <c r="A680" s="2" t="s">
        <v>1327</v>
      </c>
      <c r="B680" s="2" t="s">
        <v>846</v>
      </c>
      <c r="C680" s="3">
        <v>0</v>
      </c>
      <c r="D680" s="3">
        <v>6</v>
      </c>
      <c r="E680" s="2" t="str">
        <f t="shared" si="30"/>
        <v>REORDER NOW</v>
      </c>
      <c r="F680" s="2"/>
      <c r="G680" s="2"/>
      <c r="H680" s="3">
        <f t="shared" si="31"/>
        <v>3</v>
      </c>
      <c r="I680" s="3">
        <f t="shared" si="32"/>
        <v>0</v>
      </c>
    </row>
    <row r="681" spans="1:9" ht="18" customHeight="1" x14ac:dyDescent="0.25">
      <c r="A681" s="4" t="s">
        <v>1328</v>
      </c>
      <c r="B681" s="4" t="s">
        <v>641</v>
      </c>
      <c r="C681" s="5">
        <v>0</v>
      </c>
      <c r="D681" s="5">
        <v>6</v>
      </c>
      <c r="E681" s="4" t="str">
        <f t="shared" si="30"/>
        <v>REORDER NOW</v>
      </c>
      <c r="F681" s="4"/>
      <c r="G681" s="4"/>
      <c r="H681" s="5">
        <f t="shared" si="31"/>
        <v>3</v>
      </c>
      <c r="I681" s="5">
        <f t="shared" si="32"/>
        <v>0</v>
      </c>
    </row>
    <row r="682" spans="1:9" ht="18" customHeight="1" x14ac:dyDescent="0.25">
      <c r="A682" s="2" t="s">
        <v>1329</v>
      </c>
      <c r="B682" s="2" t="s">
        <v>1330</v>
      </c>
      <c r="C682" s="3">
        <v>0</v>
      </c>
      <c r="D682" s="3">
        <v>6</v>
      </c>
      <c r="E682" s="2" t="str">
        <f t="shared" si="30"/>
        <v>REORDER NOW</v>
      </c>
      <c r="F682" s="2"/>
      <c r="G682" s="2"/>
      <c r="H682" s="3">
        <f t="shared" si="31"/>
        <v>3</v>
      </c>
      <c r="I682" s="3">
        <f t="shared" si="32"/>
        <v>0</v>
      </c>
    </row>
    <row r="683" spans="1:9" ht="18" customHeight="1" x14ac:dyDescent="0.25">
      <c r="A683" s="4" t="s">
        <v>1331</v>
      </c>
      <c r="B683" s="4" t="s">
        <v>1332</v>
      </c>
      <c r="C683" s="5">
        <v>0</v>
      </c>
      <c r="D683" s="5">
        <v>6</v>
      </c>
      <c r="E683" s="4" t="str">
        <f t="shared" si="30"/>
        <v>REORDER NOW</v>
      </c>
      <c r="F683" s="4"/>
      <c r="G683" s="4"/>
      <c r="H683" s="5">
        <f t="shared" si="31"/>
        <v>3</v>
      </c>
      <c r="I683" s="5">
        <f t="shared" si="32"/>
        <v>0</v>
      </c>
    </row>
    <row r="684" spans="1:9" ht="18" customHeight="1" x14ac:dyDescent="0.25">
      <c r="A684" s="2" t="s">
        <v>1333</v>
      </c>
      <c r="B684" s="2" t="s">
        <v>1334</v>
      </c>
      <c r="C684" s="3">
        <v>0</v>
      </c>
      <c r="D684" s="3">
        <v>6</v>
      </c>
      <c r="E684" s="2" t="str">
        <f t="shared" si="30"/>
        <v>REORDER NOW</v>
      </c>
      <c r="F684" s="2"/>
      <c r="G684" s="2"/>
      <c r="H684" s="3">
        <f t="shared" si="31"/>
        <v>3</v>
      </c>
      <c r="I684" s="3">
        <f t="shared" si="32"/>
        <v>0</v>
      </c>
    </row>
    <row r="685" spans="1:9" ht="18" customHeight="1" x14ac:dyDescent="0.25">
      <c r="A685" s="4" t="s">
        <v>1335</v>
      </c>
      <c r="B685" s="4" t="s">
        <v>1336</v>
      </c>
      <c r="C685" s="5">
        <v>0</v>
      </c>
      <c r="D685" s="5">
        <v>6</v>
      </c>
      <c r="E685" s="4" t="str">
        <f t="shared" si="30"/>
        <v>REORDER NOW</v>
      </c>
      <c r="F685" s="4"/>
      <c r="G685" s="4"/>
      <c r="H685" s="5">
        <f t="shared" si="31"/>
        <v>3</v>
      </c>
      <c r="I685" s="5">
        <f t="shared" si="32"/>
        <v>0</v>
      </c>
    </row>
    <row r="686" spans="1:9" ht="18" customHeight="1" x14ac:dyDescent="0.25">
      <c r="A686" s="2" t="s">
        <v>1337</v>
      </c>
      <c r="B686" s="2" t="s">
        <v>888</v>
      </c>
      <c r="C686" s="3">
        <v>0</v>
      </c>
      <c r="D686" s="3">
        <v>6</v>
      </c>
      <c r="E686" s="2" t="str">
        <f t="shared" si="30"/>
        <v>REORDER NOW</v>
      </c>
      <c r="F686" s="2"/>
      <c r="G686" s="2"/>
      <c r="H686" s="3">
        <f t="shared" si="31"/>
        <v>3</v>
      </c>
      <c r="I686" s="3">
        <f t="shared" si="32"/>
        <v>0</v>
      </c>
    </row>
    <row r="687" spans="1:9" ht="18" customHeight="1" x14ac:dyDescent="0.25">
      <c r="A687" s="4" t="s">
        <v>1338</v>
      </c>
      <c r="B687" s="4" t="s">
        <v>1339</v>
      </c>
      <c r="C687" s="5">
        <v>0</v>
      </c>
      <c r="D687" s="5">
        <v>6</v>
      </c>
      <c r="E687" s="4" t="str">
        <f t="shared" si="30"/>
        <v>REORDER NOW</v>
      </c>
      <c r="F687" s="4"/>
      <c r="G687" s="4"/>
      <c r="H687" s="5">
        <f t="shared" si="31"/>
        <v>3</v>
      </c>
      <c r="I687" s="5">
        <f t="shared" si="32"/>
        <v>0</v>
      </c>
    </row>
    <row r="688" spans="1:9" ht="18" customHeight="1" x14ac:dyDescent="0.25">
      <c r="A688" s="2" t="s">
        <v>1340</v>
      </c>
      <c r="B688" s="2" t="s">
        <v>1341</v>
      </c>
      <c r="C688" s="3">
        <v>0</v>
      </c>
      <c r="D688" s="3">
        <v>6</v>
      </c>
      <c r="E688" s="2" t="str">
        <f t="shared" si="30"/>
        <v>REORDER NOW</v>
      </c>
      <c r="F688" s="2"/>
      <c r="G688" s="2"/>
      <c r="H688" s="3">
        <f t="shared" si="31"/>
        <v>3</v>
      </c>
      <c r="I688" s="3">
        <f t="shared" si="32"/>
        <v>0</v>
      </c>
    </row>
    <row r="689" spans="1:9" ht="18" customHeight="1" x14ac:dyDescent="0.25">
      <c r="A689" s="4" t="s">
        <v>1342</v>
      </c>
      <c r="B689" s="4" t="s">
        <v>719</v>
      </c>
      <c r="C689" s="5">
        <v>0</v>
      </c>
      <c r="D689" s="5">
        <v>6</v>
      </c>
      <c r="E689" s="4" t="str">
        <f t="shared" si="30"/>
        <v>REORDER NOW</v>
      </c>
      <c r="F689" s="4"/>
      <c r="G689" s="4"/>
      <c r="H689" s="5">
        <f t="shared" si="31"/>
        <v>3</v>
      </c>
      <c r="I689" s="5">
        <f t="shared" si="32"/>
        <v>0</v>
      </c>
    </row>
    <row r="690" spans="1:9" ht="18" customHeight="1" x14ac:dyDescent="0.25">
      <c r="A690" s="2" t="s">
        <v>1343</v>
      </c>
      <c r="B690" s="2" t="s">
        <v>1344</v>
      </c>
      <c r="C690" s="3">
        <v>0</v>
      </c>
      <c r="D690" s="3">
        <v>6</v>
      </c>
      <c r="E690" s="2" t="str">
        <f t="shared" si="30"/>
        <v>REORDER NOW</v>
      </c>
      <c r="F690" s="2"/>
      <c r="G690" s="2"/>
      <c r="H690" s="3">
        <f t="shared" si="31"/>
        <v>3</v>
      </c>
      <c r="I690" s="3">
        <f t="shared" si="32"/>
        <v>0</v>
      </c>
    </row>
    <row r="691" spans="1:9" ht="18" customHeight="1" x14ac:dyDescent="0.25">
      <c r="A691" s="4" t="s">
        <v>1345</v>
      </c>
      <c r="B691" s="4" t="s">
        <v>1346</v>
      </c>
      <c r="C691" s="5">
        <v>1</v>
      </c>
      <c r="D691" s="5">
        <v>6</v>
      </c>
      <c r="E691" s="4" t="str">
        <f t="shared" si="30"/>
        <v>REORDER NOW</v>
      </c>
      <c r="F691" s="4"/>
      <c r="G691" s="4"/>
      <c r="H691" s="5">
        <f t="shared" si="31"/>
        <v>3</v>
      </c>
      <c r="I691" s="5">
        <f t="shared" si="32"/>
        <v>0.3</v>
      </c>
    </row>
    <row r="692" spans="1:9" ht="18" customHeight="1" x14ac:dyDescent="0.25">
      <c r="A692" s="2" t="s">
        <v>1347</v>
      </c>
      <c r="B692" s="2" t="s">
        <v>1348</v>
      </c>
      <c r="C692" s="3">
        <v>0</v>
      </c>
      <c r="D692" s="3">
        <v>6</v>
      </c>
      <c r="E692" s="2" t="str">
        <f t="shared" si="30"/>
        <v>REORDER NOW</v>
      </c>
      <c r="F692" s="2"/>
      <c r="G692" s="2"/>
      <c r="H692" s="3">
        <f t="shared" si="31"/>
        <v>3</v>
      </c>
      <c r="I692" s="3">
        <f t="shared" si="32"/>
        <v>0</v>
      </c>
    </row>
    <row r="693" spans="1:9" ht="18" customHeight="1" x14ac:dyDescent="0.25">
      <c r="A693" s="4" t="s">
        <v>1349</v>
      </c>
      <c r="B693" s="4" t="s">
        <v>1350</v>
      </c>
      <c r="C693" s="5">
        <v>0</v>
      </c>
      <c r="D693" s="5">
        <v>6</v>
      </c>
      <c r="E693" s="4" t="str">
        <f t="shared" si="30"/>
        <v>REORDER NOW</v>
      </c>
      <c r="F693" s="4"/>
      <c r="G693" s="4"/>
      <c r="H693" s="5">
        <f t="shared" si="31"/>
        <v>3</v>
      </c>
      <c r="I693" s="5">
        <f t="shared" si="32"/>
        <v>0</v>
      </c>
    </row>
    <row r="694" spans="1:9" ht="18" customHeight="1" x14ac:dyDescent="0.25">
      <c r="A694" s="2" t="s">
        <v>1351</v>
      </c>
      <c r="B694" s="2" t="s">
        <v>1352</v>
      </c>
      <c r="C694" s="3">
        <v>0</v>
      </c>
      <c r="D694" s="3">
        <v>6</v>
      </c>
      <c r="E694" s="2" t="str">
        <f t="shared" si="30"/>
        <v>REORDER NOW</v>
      </c>
      <c r="F694" s="2"/>
      <c r="G694" s="2"/>
      <c r="H694" s="3">
        <f t="shared" si="31"/>
        <v>3</v>
      </c>
      <c r="I694" s="3">
        <f t="shared" si="32"/>
        <v>0</v>
      </c>
    </row>
    <row r="695" spans="1:9" ht="18" customHeight="1" x14ac:dyDescent="0.25">
      <c r="A695" s="4" t="s">
        <v>1353</v>
      </c>
      <c r="B695" s="4" t="s">
        <v>1354</v>
      </c>
      <c r="C695" s="5">
        <v>15</v>
      </c>
      <c r="D695" s="5">
        <v>10</v>
      </c>
      <c r="E695" s="4" t="str">
        <f t="shared" si="30"/>
        <v>OK</v>
      </c>
      <c r="F695" s="4"/>
      <c r="G695" s="4"/>
      <c r="H695" s="5">
        <f t="shared" si="31"/>
        <v>5</v>
      </c>
      <c r="I695" s="5">
        <f t="shared" si="32"/>
        <v>3</v>
      </c>
    </row>
    <row r="696" spans="1:9" ht="18" customHeight="1" x14ac:dyDescent="0.25">
      <c r="A696" s="2" t="s">
        <v>1355</v>
      </c>
      <c r="B696" s="2" t="s">
        <v>1356</v>
      </c>
      <c r="C696" s="3">
        <v>0</v>
      </c>
      <c r="D696" s="3">
        <v>6</v>
      </c>
      <c r="E696" s="2" t="str">
        <f t="shared" si="30"/>
        <v>REORDER NOW</v>
      </c>
      <c r="F696" s="2"/>
      <c r="G696" s="2"/>
      <c r="H696" s="3">
        <f t="shared" si="31"/>
        <v>3</v>
      </c>
      <c r="I696" s="3">
        <f t="shared" si="32"/>
        <v>0</v>
      </c>
    </row>
    <row r="697" spans="1:9" ht="18" customHeight="1" x14ac:dyDescent="0.25">
      <c r="A697" s="4" t="s">
        <v>1357</v>
      </c>
      <c r="B697" s="4" t="s">
        <v>1358</v>
      </c>
      <c r="C697" s="5">
        <v>0</v>
      </c>
      <c r="D697" s="5">
        <v>6</v>
      </c>
      <c r="E697" s="4" t="str">
        <f t="shared" si="30"/>
        <v>REORDER NOW</v>
      </c>
      <c r="F697" s="4"/>
      <c r="G697" s="4"/>
      <c r="H697" s="5">
        <f t="shared" si="31"/>
        <v>3</v>
      </c>
      <c r="I697" s="5">
        <f t="shared" si="32"/>
        <v>0</v>
      </c>
    </row>
    <row r="698" spans="1:9" ht="18" customHeight="1" x14ac:dyDescent="0.25">
      <c r="A698" s="2" t="s">
        <v>1359</v>
      </c>
      <c r="B698" s="2" t="s">
        <v>1360</v>
      </c>
      <c r="C698" s="3">
        <v>0</v>
      </c>
      <c r="D698" s="3">
        <v>6</v>
      </c>
      <c r="E698" s="2" t="str">
        <f t="shared" si="30"/>
        <v>REORDER NOW</v>
      </c>
      <c r="F698" s="2"/>
      <c r="G698" s="2"/>
      <c r="H698" s="3">
        <f t="shared" si="31"/>
        <v>3</v>
      </c>
      <c r="I698" s="3">
        <f t="shared" si="32"/>
        <v>0</v>
      </c>
    </row>
    <row r="699" spans="1:9" ht="18" customHeight="1" x14ac:dyDescent="0.25">
      <c r="A699" s="4" t="s">
        <v>1361</v>
      </c>
      <c r="B699" s="4" t="s">
        <v>1362</v>
      </c>
      <c r="C699" s="5">
        <v>0</v>
      </c>
      <c r="D699" s="5">
        <v>6</v>
      </c>
      <c r="E699" s="4" t="str">
        <f t="shared" si="30"/>
        <v>REORDER NOW</v>
      </c>
      <c r="F699" s="4"/>
      <c r="G699" s="4"/>
      <c r="H699" s="5">
        <f t="shared" si="31"/>
        <v>3</v>
      </c>
      <c r="I699" s="5">
        <f t="shared" si="32"/>
        <v>0</v>
      </c>
    </row>
    <row r="700" spans="1:9" ht="18" customHeight="1" x14ac:dyDescent="0.25">
      <c r="A700" s="2" t="s">
        <v>1363</v>
      </c>
      <c r="B700" s="2" t="s">
        <v>1364</v>
      </c>
      <c r="C700" s="3">
        <v>25</v>
      </c>
      <c r="D700" s="3">
        <v>20</v>
      </c>
      <c r="E700" s="2" t="str">
        <f t="shared" si="30"/>
        <v>OK</v>
      </c>
      <c r="F700" s="2"/>
      <c r="G700" s="2"/>
      <c r="H700" s="3">
        <f t="shared" si="31"/>
        <v>10</v>
      </c>
      <c r="I700" s="3">
        <f t="shared" si="32"/>
        <v>2.5</v>
      </c>
    </row>
    <row r="701" spans="1:9" ht="18" customHeight="1" x14ac:dyDescent="0.25">
      <c r="A701" s="4" t="s">
        <v>1365</v>
      </c>
      <c r="B701" s="4" t="s">
        <v>1366</v>
      </c>
      <c r="C701" s="5">
        <v>0</v>
      </c>
      <c r="D701" s="5">
        <v>6</v>
      </c>
      <c r="E701" s="4" t="str">
        <f t="shared" si="30"/>
        <v>REORDER NOW</v>
      </c>
      <c r="F701" s="4"/>
      <c r="G701" s="4"/>
      <c r="H701" s="5">
        <f t="shared" si="31"/>
        <v>3</v>
      </c>
      <c r="I701" s="5">
        <f t="shared" si="32"/>
        <v>0</v>
      </c>
    </row>
    <row r="702" spans="1:9" ht="18" customHeight="1" x14ac:dyDescent="0.25">
      <c r="A702" s="2" t="s">
        <v>1367</v>
      </c>
      <c r="B702" s="2" t="s">
        <v>1368</v>
      </c>
      <c r="C702" s="3">
        <v>0</v>
      </c>
      <c r="D702" s="3">
        <v>6</v>
      </c>
      <c r="E702" s="2" t="str">
        <f t="shared" si="30"/>
        <v>REORDER NOW</v>
      </c>
      <c r="F702" s="2"/>
      <c r="G702" s="2"/>
      <c r="H702" s="3">
        <f t="shared" si="31"/>
        <v>3</v>
      </c>
      <c r="I702" s="3">
        <f t="shared" si="32"/>
        <v>0</v>
      </c>
    </row>
    <row r="703" spans="1:9" ht="18" customHeight="1" x14ac:dyDescent="0.25">
      <c r="A703" s="4" t="s">
        <v>1369</v>
      </c>
      <c r="B703" s="4" t="s">
        <v>1370</v>
      </c>
      <c r="C703" s="5">
        <v>0</v>
      </c>
      <c r="D703" s="5">
        <v>6</v>
      </c>
      <c r="E703" s="4" t="str">
        <f t="shared" si="30"/>
        <v>REORDER NOW</v>
      </c>
      <c r="F703" s="4"/>
      <c r="G703" s="4"/>
      <c r="H703" s="5">
        <f t="shared" si="31"/>
        <v>3</v>
      </c>
      <c r="I703" s="5">
        <f t="shared" si="32"/>
        <v>0</v>
      </c>
    </row>
    <row r="704" spans="1:9" ht="18" customHeight="1" x14ac:dyDescent="0.25">
      <c r="A704" s="2" t="s">
        <v>1371</v>
      </c>
      <c r="B704" s="2" t="s">
        <v>1372</v>
      </c>
      <c r="C704" s="3">
        <v>1</v>
      </c>
      <c r="D704" s="3">
        <v>6</v>
      </c>
      <c r="E704" s="2" t="str">
        <f t="shared" si="30"/>
        <v>REORDER NOW</v>
      </c>
      <c r="F704" s="2"/>
      <c r="G704" s="2"/>
      <c r="H704" s="3">
        <f t="shared" si="31"/>
        <v>3</v>
      </c>
      <c r="I704" s="3">
        <f t="shared" si="32"/>
        <v>0.3</v>
      </c>
    </row>
    <row r="705" spans="1:9" ht="18" customHeight="1" x14ac:dyDescent="0.25">
      <c r="A705" s="4" t="s">
        <v>1373</v>
      </c>
      <c r="B705" s="4" t="s">
        <v>1374</v>
      </c>
      <c r="C705" s="5">
        <v>2</v>
      </c>
      <c r="D705" s="5">
        <v>6</v>
      </c>
      <c r="E705" s="4" t="str">
        <f t="shared" si="30"/>
        <v>REORDER NOW</v>
      </c>
      <c r="F705" s="4"/>
      <c r="G705" s="4"/>
      <c r="H705" s="5">
        <f t="shared" si="31"/>
        <v>3</v>
      </c>
      <c r="I705" s="5">
        <f t="shared" si="32"/>
        <v>0.7</v>
      </c>
    </row>
    <row r="706" spans="1:9" ht="18" customHeight="1" x14ac:dyDescent="0.25">
      <c r="A706" s="2" t="s">
        <v>1375</v>
      </c>
      <c r="B706" s="2" t="s">
        <v>1376</v>
      </c>
      <c r="C706" s="3">
        <v>0</v>
      </c>
      <c r="D706" s="3">
        <v>6</v>
      </c>
      <c r="E706" s="2" t="str">
        <f t="shared" si="30"/>
        <v>REORDER NOW</v>
      </c>
      <c r="F706" s="2"/>
      <c r="G706" s="2"/>
      <c r="H706" s="3">
        <f t="shared" si="31"/>
        <v>3</v>
      </c>
      <c r="I706" s="3">
        <f t="shared" si="32"/>
        <v>0</v>
      </c>
    </row>
    <row r="707" spans="1:9" ht="18" customHeight="1" x14ac:dyDescent="0.25">
      <c r="A707" s="4" t="s">
        <v>1377</v>
      </c>
      <c r="B707" s="4" t="s">
        <v>1378</v>
      </c>
      <c r="C707" s="5">
        <v>0</v>
      </c>
      <c r="D707" s="5">
        <v>6</v>
      </c>
      <c r="E707" s="4" t="str">
        <f t="shared" si="30"/>
        <v>REORDER NOW</v>
      </c>
      <c r="F707" s="4"/>
      <c r="G707" s="4"/>
      <c r="H707" s="5">
        <f t="shared" si="31"/>
        <v>3</v>
      </c>
      <c r="I707" s="5">
        <f t="shared" si="32"/>
        <v>0</v>
      </c>
    </row>
    <row r="708" spans="1:9" ht="18" customHeight="1" x14ac:dyDescent="0.25">
      <c r="A708" s="2" t="s">
        <v>1379</v>
      </c>
      <c r="B708" s="2" t="s">
        <v>1380</v>
      </c>
      <c r="C708" s="3">
        <v>0</v>
      </c>
      <c r="D708" s="3">
        <v>6</v>
      </c>
      <c r="E708" s="2" t="str">
        <f t="shared" ref="E708:E771" si="33">IF(C708&lt;=D708,"REORDER NOW","OK")</f>
        <v>REORDER NOW</v>
      </c>
      <c r="F708" s="2"/>
      <c r="G708" s="2"/>
      <c r="H708" s="3">
        <f t="shared" ref="H708:H771" si="34">D708/2</f>
        <v>3</v>
      </c>
      <c r="I708" s="3">
        <f t="shared" ref="I708:I771" si="35">IF(H708=0,"N/A",ROUND(C708/H708,1))</f>
        <v>0</v>
      </c>
    </row>
    <row r="709" spans="1:9" ht="18" customHeight="1" x14ac:dyDescent="0.25">
      <c r="A709" s="4" t="s">
        <v>1381</v>
      </c>
      <c r="B709" s="4" t="s">
        <v>1382</v>
      </c>
      <c r="C709" s="5">
        <v>0</v>
      </c>
      <c r="D709" s="5">
        <v>6</v>
      </c>
      <c r="E709" s="4" t="str">
        <f t="shared" si="33"/>
        <v>REORDER NOW</v>
      </c>
      <c r="F709" s="4"/>
      <c r="G709" s="4"/>
      <c r="H709" s="5">
        <f t="shared" si="34"/>
        <v>3</v>
      </c>
      <c r="I709" s="5">
        <f t="shared" si="35"/>
        <v>0</v>
      </c>
    </row>
    <row r="710" spans="1:9" ht="18" customHeight="1" x14ac:dyDescent="0.25">
      <c r="A710" s="2" t="s">
        <v>1383</v>
      </c>
      <c r="B710" s="2" t="s">
        <v>1384</v>
      </c>
      <c r="C710" s="3">
        <v>75</v>
      </c>
      <c r="D710" s="3">
        <v>40</v>
      </c>
      <c r="E710" s="2" t="str">
        <f t="shared" si="33"/>
        <v>OK</v>
      </c>
      <c r="F710" s="2"/>
      <c r="G710" s="2"/>
      <c r="H710" s="3">
        <f t="shared" si="34"/>
        <v>20</v>
      </c>
      <c r="I710" s="3">
        <f t="shared" si="35"/>
        <v>3.8</v>
      </c>
    </row>
    <row r="711" spans="1:9" ht="18" customHeight="1" x14ac:dyDescent="0.25">
      <c r="A711" s="4" t="s">
        <v>1385</v>
      </c>
      <c r="B711" s="4" t="s">
        <v>1386</v>
      </c>
      <c r="C711" s="5">
        <v>17</v>
      </c>
      <c r="D711" s="5">
        <v>10</v>
      </c>
      <c r="E711" s="4" t="str">
        <f t="shared" si="33"/>
        <v>OK</v>
      </c>
      <c r="F711" s="4"/>
      <c r="G711" s="4"/>
      <c r="H711" s="5">
        <f t="shared" si="34"/>
        <v>5</v>
      </c>
      <c r="I711" s="5">
        <f t="shared" si="35"/>
        <v>3.4</v>
      </c>
    </row>
    <row r="712" spans="1:9" ht="18" customHeight="1" x14ac:dyDescent="0.25">
      <c r="A712" s="2" t="s">
        <v>1387</v>
      </c>
      <c r="B712" s="2" t="s">
        <v>1388</v>
      </c>
      <c r="C712" s="3">
        <v>0</v>
      </c>
      <c r="D712" s="3">
        <v>6</v>
      </c>
      <c r="E712" s="2" t="str">
        <f t="shared" si="33"/>
        <v>REORDER NOW</v>
      </c>
      <c r="F712" s="2"/>
      <c r="G712" s="2"/>
      <c r="H712" s="3">
        <f t="shared" si="34"/>
        <v>3</v>
      </c>
      <c r="I712" s="3">
        <f t="shared" si="35"/>
        <v>0</v>
      </c>
    </row>
    <row r="713" spans="1:9" ht="18" customHeight="1" x14ac:dyDescent="0.25">
      <c r="A713" s="4" t="s">
        <v>1389</v>
      </c>
      <c r="B713" s="4" t="s">
        <v>1390</v>
      </c>
      <c r="C713" s="5">
        <v>1</v>
      </c>
      <c r="D713" s="5">
        <v>6</v>
      </c>
      <c r="E713" s="4" t="str">
        <f t="shared" si="33"/>
        <v>REORDER NOW</v>
      </c>
      <c r="F713" s="4"/>
      <c r="G713" s="4"/>
      <c r="H713" s="5">
        <f t="shared" si="34"/>
        <v>3</v>
      </c>
      <c r="I713" s="5">
        <f t="shared" si="35"/>
        <v>0.3</v>
      </c>
    </row>
    <row r="714" spans="1:9" ht="18" customHeight="1" x14ac:dyDescent="0.25">
      <c r="A714" s="2" t="s">
        <v>1391</v>
      </c>
      <c r="B714" s="2" t="s">
        <v>1392</v>
      </c>
      <c r="C714" s="3">
        <v>0</v>
      </c>
      <c r="D714" s="3">
        <v>6</v>
      </c>
      <c r="E714" s="2" t="str">
        <f t="shared" si="33"/>
        <v>REORDER NOW</v>
      </c>
      <c r="F714" s="2"/>
      <c r="G714" s="2"/>
      <c r="H714" s="3">
        <f t="shared" si="34"/>
        <v>3</v>
      </c>
      <c r="I714" s="3">
        <f t="shared" si="35"/>
        <v>0</v>
      </c>
    </row>
    <row r="715" spans="1:9" ht="18" customHeight="1" x14ac:dyDescent="0.25">
      <c r="A715" s="4" t="s">
        <v>1393</v>
      </c>
      <c r="B715" s="4" t="s">
        <v>1394</v>
      </c>
      <c r="C715" s="5">
        <v>0</v>
      </c>
      <c r="D715" s="5">
        <v>6</v>
      </c>
      <c r="E715" s="4" t="str">
        <f t="shared" si="33"/>
        <v>REORDER NOW</v>
      </c>
      <c r="F715" s="4"/>
      <c r="G715" s="4"/>
      <c r="H715" s="5">
        <f t="shared" si="34"/>
        <v>3</v>
      </c>
      <c r="I715" s="5">
        <f t="shared" si="35"/>
        <v>0</v>
      </c>
    </row>
    <row r="716" spans="1:9" ht="18" customHeight="1" x14ac:dyDescent="0.25">
      <c r="A716" s="2" t="s">
        <v>1395</v>
      </c>
      <c r="B716" s="2" t="s">
        <v>1396</v>
      </c>
      <c r="C716" s="3">
        <v>0</v>
      </c>
      <c r="D716" s="3">
        <v>6</v>
      </c>
      <c r="E716" s="2" t="str">
        <f t="shared" si="33"/>
        <v>REORDER NOW</v>
      </c>
      <c r="F716" s="2"/>
      <c r="G716" s="2"/>
      <c r="H716" s="3">
        <f t="shared" si="34"/>
        <v>3</v>
      </c>
      <c r="I716" s="3">
        <f t="shared" si="35"/>
        <v>0</v>
      </c>
    </row>
    <row r="717" spans="1:9" ht="18" customHeight="1" x14ac:dyDescent="0.25">
      <c r="A717" s="4" t="s">
        <v>1397</v>
      </c>
      <c r="B717" s="4" t="s">
        <v>1398</v>
      </c>
      <c r="C717" s="5">
        <v>0</v>
      </c>
      <c r="D717" s="5">
        <v>6</v>
      </c>
      <c r="E717" s="4" t="str">
        <f t="shared" si="33"/>
        <v>REORDER NOW</v>
      </c>
      <c r="F717" s="4"/>
      <c r="G717" s="4"/>
      <c r="H717" s="5">
        <f t="shared" si="34"/>
        <v>3</v>
      </c>
      <c r="I717" s="5">
        <f t="shared" si="35"/>
        <v>0</v>
      </c>
    </row>
    <row r="718" spans="1:9" ht="18" customHeight="1" x14ac:dyDescent="0.25">
      <c r="A718" s="2" t="s">
        <v>1399</v>
      </c>
      <c r="B718" s="2" t="s">
        <v>1400</v>
      </c>
      <c r="C718" s="3">
        <v>0</v>
      </c>
      <c r="D718" s="3">
        <v>6</v>
      </c>
      <c r="E718" s="2" t="str">
        <f t="shared" si="33"/>
        <v>REORDER NOW</v>
      </c>
      <c r="F718" s="2"/>
      <c r="G718" s="2"/>
      <c r="H718" s="3">
        <f t="shared" si="34"/>
        <v>3</v>
      </c>
      <c r="I718" s="3">
        <f t="shared" si="35"/>
        <v>0</v>
      </c>
    </row>
    <row r="719" spans="1:9" ht="18" customHeight="1" x14ac:dyDescent="0.25">
      <c r="A719" s="4" t="s">
        <v>1401</v>
      </c>
      <c r="B719" s="4" t="s">
        <v>1402</v>
      </c>
      <c r="C719" s="5">
        <v>0</v>
      </c>
      <c r="D719" s="5">
        <v>6</v>
      </c>
      <c r="E719" s="4" t="str">
        <f t="shared" si="33"/>
        <v>REORDER NOW</v>
      </c>
      <c r="F719" s="4"/>
      <c r="G719" s="4"/>
      <c r="H719" s="5">
        <f t="shared" si="34"/>
        <v>3</v>
      </c>
      <c r="I719" s="5">
        <f t="shared" si="35"/>
        <v>0</v>
      </c>
    </row>
    <row r="720" spans="1:9" ht="18" customHeight="1" x14ac:dyDescent="0.25">
      <c r="A720" s="2" t="s">
        <v>1403</v>
      </c>
      <c r="B720" s="2" t="s">
        <v>1404</v>
      </c>
      <c r="C720" s="3">
        <v>0</v>
      </c>
      <c r="D720" s="3">
        <v>6</v>
      </c>
      <c r="E720" s="2" t="str">
        <f t="shared" si="33"/>
        <v>REORDER NOW</v>
      </c>
      <c r="F720" s="2"/>
      <c r="G720" s="2"/>
      <c r="H720" s="3">
        <f t="shared" si="34"/>
        <v>3</v>
      </c>
      <c r="I720" s="3">
        <f t="shared" si="35"/>
        <v>0</v>
      </c>
    </row>
    <row r="721" spans="1:9" ht="18" customHeight="1" x14ac:dyDescent="0.25">
      <c r="A721" s="4" t="s">
        <v>1405</v>
      </c>
      <c r="B721" s="4" t="s">
        <v>1406</v>
      </c>
      <c r="C721" s="5">
        <v>0</v>
      </c>
      <c r="D721" s="5">
        <v>6</v>
      </c>
      <c r="E721" s="4" t="str">
        <f t="shared" si="33"/>
        <v>REORDER NOW</v>
      </c>
      <c r="F721" s="4"/>
      <c r="G721" s="4"/>
      <c r="H721" s="5">
        <f t="shared" si="34"/>
        <v>3</v>
      </c>
      <c r="I721" s="5">
        <f t="shared" si="35"/>
        <v>0</v>
      </c>
    </row>
    <row r="722" spans="1:9" ht="18" customHeight="1" x14ac:dyDescent="0.25">
      <c r="A722" s="2" t="s">
        <v>1407</v>
      </c>
      <c r="B722" s="2" t="s">
        <v>1408</v>
      </c>
      <c r="C722" s="3">
        <v>60</v>
      </c>
      <c r="D722" s="3">
        <v>40</v>
      </c>
      <c r="E722" s="2" t="str">
        <f t="shared" si="33"/>
        <v>OK</v>
      </c>
      <c r="F722" s="2"/>
      <c r="G722" s="2"/>
      <c r="H722" s="3">
        <f t="shared" si="34"/>
        <v>20</v>
      </c>
      <c r="I722" s="3">
        <f t="shared" si="35"/>
        <v>3</v>
      </c>
    </row>
    <row r="723" spans="1:9" ht="18" customHeight="1" x14ac:dyDescent="0.25">
      <c r="A723" s="4" t="s">
        <v>1409</v>
      </c>
      <c r="B723" s="4" t="s">
        <v>1410</v>
      </c>
      <c r="C723" s="5">
        <v>435</v>
      </c>
      <c r="D723" s="5">
        <v>100</v>
      </c>
      <c r="E723" s="4" t="str">
        <f t="shared" si="33"/>
        <v>OK</v>
      </c>
      <c r="F723" s="4"/>
      <c r="G723" s="4"/>
      <c r="H723" s="5">
        <f t="shared" si="34"/>
        <v>50</v>
      </c>
      <c r="I723" s="5">
        <f t="shared" si="35"/>
        <v>8.6999999999999993</v>
      </c>
    </row>
    <row r="724" spans="1:9" ht="18" customHeight="1" x14ac:dyDescent="0.25">
      <c r="A724" s="2" t="s">
        <v>1411</v>
      </c>
      <c r="B724" s="2" t="s">
        <v>1412</v>
      </c>
      <c r="C724" s="3">
        <v>0</v>
      </c>
      <c r="D724" s="3">
        <v>6</v>
      </c>
      <c r="E724" s="2" t="str">
        <f t="shared" si="33"/>
        <v>REORDER NOW</v>
      </c>
      <c r="F724" s="2"/>
      <c r="G724" s="2"/>
      <c r="H724" s="3">
        <f t="shared" si="34"/>
        <v>3</v>
      </c>
      <c r="I724" s="3">
        <f t="shared" si="35"/>
        <v>0</v>
      </c>
    </row>
    <row r="725" spans="1:9" ht="18" customHeight="1" x14ac:dyDescent="0.25">
      <c r="A725" s="4" t="s">
        <v>1413</v>
      </c>
      <c r="B725" s="4" t="s">
        <v>1414</v>
      </c>
      <c r="C725" s="5">
        <v>0</v>
      </c>
      <c r="D725" s="5">
        <v>6</v>
      </c>
      <c r="E725" s="4" t="str">
        <f t="shared" si="33"/>
        <v>REORDER NOW</v>
      </c>
      <c r="F725" s="4"/>
      <c r="G725" s="4"/>
      <c r="H725" s="5">
        <f t="shared" si="34"/>
        <v>3</v>
      </c>
      <c r="I725" s="5">
        <f t="shared" si="35"/>
        <v>0</v>
      </c>
    </row>
    <row r="726" spans="1:9" ht="18" customHeight="1" x14ac:dyDescent="0.25">
      <c r="A726" s="2" t="s">
        <v>1415</v>
      </c>
      <c r="B726" s="2" t="s">
        <v>1416</v>
      </c>
      <c r="C726" s="3">
        <v>0</v>
      </c>
      <c r="D726" s="3">
        <v>6</v>
      </c>
      <c r="E726" s="2" t="str">
        <f t="shared" si="33"/>
        <v>REORDER NOW</v>
      </c>
      <c r="F726" s="2"/>
      <c r="G726" s="2"/>
      <c r="H726" s="3">
        <f t="shared" si="34"/>
        <v>3</v>
      </c>
      <c r="I726" s="3">
        <f t="shared" si="35"/>
        <v>0</v>
      </c>
    </row>
    <row r="727" spans="1:9" ht="18" customHeight="1" x14ac:dyDescent="0.25">
      <c r="A727" s="4" t="s">
        <v>1417</v>
      </c>
      <c r="B727" s="4" t="s">
        <v>1418</v>
      </c>
      <c r="C727" s="5">
        <v>0</v>
      </c>
      <c r="D727" s="5">
        <v>6</v>
      </c>
      <c r="E727" s="4" t="str">
        <f t="shared" si="33"/>
        <v>REORDER NOW</v>
      </c>
      <c r="F727" s="4"/>
      <c r="G727" s="4"/>
      <c r="H727" s="5">
        <f t="shared" si="34"/>
        <v>3</v>
      </c>
      <c r="I727" s="5">
        <f t="shared" si="35"/>
        <v>0</v>
      </c>
    </row>
    <row r="728" spans="1:9" ht="18" customHeight="1" x14ac:dyDescent="0.25">
      <c r="A728" s="2" t="s">
        <v>1419</v>
      </c>
      <c r="B728" s="2" t="s">
        <v>1420</v>
      </c>
      <c r="C728" s="3">
        <v>6</v>
      </c>
      <c r="D728" s="3">
        <v>10</v>
      </c>
      <c r="E728" s="2" t="str">
        <f t="shared" si="33"/>
        <v>REORDER NOW</v>
      </c>
      <c r="F728" s="2"/>
      <c r="G728" s="2"/>
      <c r="H728" s="3">
        <f t="shared" si="34"/>
        <v>5</v>
      </c>
      <c r="I728" s="3">
        <f t="shared" si="35"/>
        <v>1.2</v>
      </c>
    </row>
    <row r="729" spans="1:9" ht="18" customHeight="1" x14ac:dyDescent="0.25">
      <c r="A729" s="4" t="s">
        <v>1421</v>
      </c>
      <c r="B729" s="4" t="s">
        <v>1422</v>
      </c>
      <c r="C729" s="5">
        <v>0</v>
      </c>
      <c r="D729" s="5">
        <v>6</v>
      </c>
      <c r="E729" s="4" t="str">
        <f t="shared" si="33"/>
        <v>REORDER NOW</v>
      </c>
      <c r="F729" s="4"/>
      <c r="G729" s="4"/>
      <c r="H729" s="5">
        <f t="shared" si="34"/>
        <v>3</v>
      </c>
      <c r="I729" s="5">
        <f t="shared" si="35"/>
        <v>0</v>
      </c>
    </row>
    <row r="730" spans="1:9" ht="18" customHeight="1" x14ac:dyDescent="0.25">
      <c r="A730" s="2" t="s">
        <v>1423</v>
      </c>
      <c r="B730" s="2" t="s">
        <v>1424</v>
      </c>
      <c r="C730" s="3">
        <v>0</v>
      </c>
      <c r="D730" s="3">
        <v>6</v>
      </c>
      <c r="E730" s="2" t="str">
        <f t="shared" si="33"/>
        <v>REORDER NOW</v>
      </c>
      <c r="F730" s="2"/>
      <c r="G730" s="2"/>
      <c r="H730" s="3">
        <f t="shared" si="34"/>
        <v>3</v>
      </c>
      <c r="I730" s="3">
        <f t="shared" si="35"/>
        <v>0</v>
      </c>
    </row>
    <row r="731" spans="1:9" ht="18" customHeight="1" x14ac:dyDescent="0.25">
      <c r="A731" s="4" t="s">
        <v>1425</v>
      </c>
      <c r="B731" s="4" t="s">
        <v>1426</v>
      </c>
      <c r="C731" s="5">
        <v>0</v>
      </c>
      <c r="D731" s="5">
        <v>6</v>
      </c>
      <c r="E731" s="4" t="str">
        <f t="shared" si="33"/>
        <v>REORDER NOW</v>
      </c>
      <c r="F731" s="4"/>
      <c r="G731" s="4"/>
      <c r="H731" s="5">
        <f t="shared" si="34"/>
        <v>3</v>
      </c>
      <c r="I731" s="5">
        <f t="shared" si="35"/>
        <v>0</v>
      </c>
    </row>
    <row r="732" spans="1:9" ht="18" customHeight="1" x14ac:dyDescent="0.25">
      <c r="A732" s="2" t="s">
        <v>1427</v>
      </c>
      <c r="B732" s="2" t="s">
        <v>1428</v>
      </c>
      <c r="C732" s="3">
        <v>0</v>
      </c>
      <c r="D732" s="3">
        <v>6</v>
      </c>
      <c r="E732" s="2" t="str">
        <f t="shared" si="33"/>
        <v>REORDER NOW</v>
      </c>
      <c r="F732" s="2"/>
      <c r="G732" s="2"/>
      <c r="H732" s="3">
        <f t="shared" si="34"/>
        <v>3</v>
      </c>
      <c r="I732" s="3">
        <f t="shared" si="35"/>
        <v>0</v>
      </c>
    </row>
    <row r="733" spans="1:9" ht="18" customHeight="1" x14ac:dyDescent="0.25">
      <c r="A733" s="4" t="s">
        <v>1429</v>
      </c>
      <c r="B733" s="4" t="s">
        <v>1430</v>
      </c>
      <c r="C733" s="5">
        <v>0</v>
      </c>
      <c r="D733" s="5">
        <v>6</v>
      </c>
      <c r="E733" s="4" t="str">
        <f t="shared" si="33"/>
        <v>REORDER NOW</v>
      </c>
      <c r="F733" s="4"/>
      <c r="G733" s="4"/>
      <c r="H733" s="5">
        <f t="shared" si="34"/>
        <v>3</v>
      </c>
      <c r="I733" s="5">
        <f t="shared" si="35"/>
        <v>0</v>
      </c>
    </row>
    <row r="734" spans="1:9" ht="18" customHeight="1" x14ac:dyDescent="0.25">
      <c r="A734" s="2" t="s">
        <v>1431</v>
      </c>
      <c r="B734" s="2" t="s">
        <v>1432</v>
      </c>
      <c r="C734" s="3">
        <v>0</v>
      </c>
      <c r="D734" s="3">
        <v>6</v>
      </c>
      <c r="E734" s="2" t="str">
        <f t="shared" si="33"/>
        <v>REORDER NOW</v>
      </c>
      <c r="F734" s="2"/>
      <c r="G734" s="2"/>
      <c r="H734" s="3">
        <f t="shared" si="34"/>
        <v>3</v>
      </c>
      <c r="I734" s="3">
        <f t="shared" si="35"/>
        <v>0</v>
      </c>
    </row>
    <row r="735" spans="1:9" ht="18" customHeight="1" x14ac:dyDescent="0.25">
      <c r="A735" s="4" t="s">
        <v>1433</v>
      </c>
      <c r="B735" s="4" t="s">
        <v>1434</v>
      </c>
      <c r="C735" s="5">
        <v>0</v>
      </c>
      <c r="D735" s="5">
        <v>6</v>
      </c>
      <c r="E735" s="4" t="str">
        <f t="shared" si="33"/>
        <v>REORDER NOW</v>
      </c>
      <c r="F735" s="4"/>
      <c r="G735" s="4"/>
      <c r="H735" s="5">
        <f t="shared" si="34"/>
        <v>3</v>
      </c>
      <c r="I735" s="5">
        <f t="shared" si="35"/>
        <v>0</v>
      </c>
    </row>
    <row r="736" spans="1:9" ht="18" customHeight="1" x14ac:dyDescent="0.25">
      <c r="A736" s="2" t="s">
        <v>1435</v>
      </c>
      <c r="B736" s="2" t="s">
        <v>1436</v>
      </c>
      <c r="C736" s="3">
        <v>0</v>
      </c>
      <c r="D736" s="3">
        <v>6</v>
      </c>
      <c r="E736" s="2" t="str">
        <f t="shared" si="33"/>
        <v>REORDER NOW</v>
      </c>
      <c r="F736" s="2"/>
      <c r="G736" s="2"/>
      <c r="H736" s="3">
        <f t="shared" si="34"/>
        <v>3</v>
      </c>
      <c r="I736" s="3">
        <f t="shared" si="35"/>
        <v>0</v>
      </c>
    </row>
    <row r="737" spans="1:9" ht="18" customHeight="1" x14ac:dyDescent="0.25">
      <c r="A737" s="4" t="s">
        <v>1437</v>
      </c>
      <c r="B737" s="4" t="s">
        <v>1438</v>
      </c>
      <c r="C737" s="5">
        <v>0</v>
      </c>
      <c r="D737" s="5">
        <v>6</v>
      </c>
      <c r="E737" s="4" t="str">
        <f t="shared" si="33"/>
        <v>REORDER NOW</v>
      </c>
      <c r="F737" s="4"/>
      <c r="G737" s="4"/>
      <c r="H737" s="5">
        <f t="shared" si="34"/>
        <v>3</v>
      </c>
      <c r="I737" s="5">
        <f t="shared" si="35"/>
        <v>0</v>
      </c>
    </row>
    <row r="738" spans="1:9" ht="18" customHeight="1" x14ac:dyDescent="0.25">
      <c r="A738" s="2" t="s">
        <v>1439</v>
      </c>
      <c r="B738" s="2" t="s">
        <v>1440</v>
      </c>
      <c r="C738" s="3">
        <v>0</v>
      </c>
      <c r="D738" s="3">
        <v>6</v>
      </c>
      <c r="E738" s="2" t="str">
        <f t="shared" si="33"/>
        <v>REORDER NOW</v>
      </c>
      <c r="F738" s="2"/>
      <c r="G738" s="2"/>
      <c r="H738" s="3">
        <f t="shared" si="34"/>
        <v>3</v>
      </c>
      <c r="I738" s="3">
        <f t="shared" si="35"/>
        <v>0</v>
      </c>
    </row>
    <row r="739" spans="1:9" ht="18" customHeight="1" x14ac:dyDescent="0.25">
      <c r="A739" s="4" t="s">
        <v>1441</v>
      </c>
      <c r="B739" s="4" t="s">
        <v>1442</v>
      </c>
      <c r="C739" s="5">
        <v>0</v>
      </c>
      <c r="D739" s="5">
        <v>6</v>
      </c>
      <c r="E739" s="4" t="str">
        <f t="shared" si="33"/>
        <v>REORDER NOW</v>
      </c>
      <c r="F739" s="4"/>
      <c r="G739" s="4"/>
      <c r="H739" s="5">
        <f t="shared" si="34"/>
        <v>3</v>
      </c>
      <c r="I739" s="5">
        <f t="shared" si="35"/>
        <v>0</v>
      </c>
    </row>
    <row r="740" spans="1:9" ht="18" customHeight="1" x14ac:dyDescent="0.25">
      <c r="A740" s="2" t="s">
        <v>1443</v>
      </c>
      <c r="B740" s="2" t="s">
        <v>1444</v>
      </c>
      <c r="C740" s="3">
        <v>0</v>
      </c>
      <c r="D740" s="3">
        <v>6</v>
      </c>
      <c r="E740" s="2" t="str">
        <f t="shared" si="33"/>
        <v>REORDER NOW</v>
      </c>
      <c r="F740" s="2"/>
      <c r="G740" s="2"/>
      <c r="H740" s="3">
        <f t="shared" si="34"/>
        <v>3</v>
      </c>
      <c r="I740" s="3">
        <f t="shared" si="35"/>
        <v>0</v>
      </c>
    </row>
    <row r="741" spans="1:9" ht="18" customHeight="1" x14ac:dyDescent="0.25">
      <c r="A741" s="4" t="s">
        <v>1445</v>
      </c>
      <c r="B741" s="4" t="s">
        <v>1446</v>
      </c>
      <c r="C741" s="5">
        <v>0</v>
      </c>
      <c r="D741" s="5">
        <v>6</v>
      </c>
      <c r="E741" s="4" t="str">
        <f t="shared" si="33"/>
        <v>REORDER NOW</v>
      </c>
      <c r="F741" s="4"/>
      <c r="G741" s="4"/>
      <c r="H741" s="5">
        <f t="shared" si="34"/>
        <v>3</v>
      </c>
      <c r="I741" s="5">
        <f t="shared" si="35"/>
        <v>0</v>
      </c>
    </row>
    <row r="742" spans="1:9" ht="18" customHeight="1" x14ac:dyDescent="0.25">
      <c r="A742" s="2" t="s">
        <v>1447</v>
      </c>
      <c r="B742" s="2" t="s">
        <v>1448</v>
      </c>
      <c r="C742" s="3">
        <v>0</v>
      </c>
      <c r="D742" s="3">
        <v>6</v>
      </c>
      <c r="E742" s="2" t="str">
        <f t="shared" si="33"/>
        <v>REORDER NOW</v>
      </c>
      <c r="F742" s="2"/>
      <c r="G742" s="2"/>
      <c r="H742" s="3">
        <f t="shared" si="34"/>
        <v>3</v>
      </c>
      <c r="I742" s="3">
        <f t="shared" si="35"/>
        <v>0</v>
      </c>
    </row>
    <row r="743" spans="1:9" ht="18" customHeight="1" x14ac:dyDescent="0.25">
      <c r="A743" s="4" t="s">
        <v>1449</v>
      </c>
      <c r="B743" s="4" t="s">
        <v>1450</v>
      </c>
      <c r="C743" s="5">
        <v>2</v>
      </c>
      <c r="D743" s="5">
        <v>6</v>
      </c>
      <c r="E743" s="4" t="str">
        <f t="shared" si="33"/>
        <v>REORDER NOW</v>
      </c>
      <c r="F743" s="4"/>
      <c r="G743" s="4"/>
      <c r="H743" s="5">
        <f t="shared" si="34"/>
        <v>3</v>
      </c>
      <c r="I743" s="5">
        <f t="shared" si="35"/>
        <v>0.7</v>
      </c>
    </row>
    <row r="744" spans="1:9" ht="18" customHeight="1" x14ac:dyDescent="0.25">
      <c r="A744" s="2" t="s">
        <v>1451</v>
      </c>
      <c r="B744" s="2" t="s">
        <v>1452</v>
      </c>
      <c r="C744" s="3">
        <v>9</v>
      </c>
      <c r="D744" s="3">
        <v>10</v>
      </c>
      <c r="E744" s="2" t="str">
        <f t="shared" si="33"/>
        <v>REORDER NOW</v>
      </c>
      <c r="F744" s="2"/>
      <c r="G744" s="2"/>
      <c r="H744" s="3">
        <f t="shared" si="34"/>
        <v>5</v>
      </c>
      <c r="I744" s="3">
        <f t="shared" si="35"/>
        <v>1.8</v>
      </c>
    </row>
    <row r="745" spans="1:9" ht="18" customHeight="1" x14ac:dyDescent="0.25">
      <c r="A745" s="4" t="s">
        <v>1453</v>
      </c>
      <c r="B745" s="4" t="s">
        <v>1454</v>
      </c>
      <c r="C745" s="5">
        <v>1</v>
      </c>
      <c r="D745" s="5">
        <v>6</v>
      </c>
      <c r="E745" s="4" t="str">
        <f t="shared" si="33"/>
        <v>REORDER NOW</v>
      </c>
      <c r="F745" s="4"/>
      <c r="G745" s="4"/>
      <c r="H745" s="5">
        <f t="shared" si="34"/>
        <v>3</v>
      </c>
      <c r="I745" s="5">
        <f t="shared" si="35"/>
        <v>0.3</v>
      </c>
    </row>
    <row r="746" spans="1:9" ht="18" customHeight="1" x14ac:dyDescent="0.25">
      <c r="A746" s="2" t="s">
        <v>1455</v>
      </c>
      <c r="B746" s="2" t="s">
        <v>1456</v>
      </c>
      <c r="C746" s="3">
        <v>1</v>
      </c>
      <c r="D746" s="3">
        <v>6</v>
      </c>
      <c r="E746" s="2" t="str">
        <f t="shared" si="33"/>
        <v>REORDER NOW</v>
      </c>
      <c r="F746" s="2"/>
      <c r="G746" s="2"/>
      <c r="H746" s="3">
        <f t="shared" si="34"/>
        <v>3</v>
      </c>
      <c r="I746" s="3">
        <f t="shared" si="35"/>
        <v>0.3</v>
      </c>
    </row>
    <row r="747" spans="1:9" ht="18" customHeight="1" x14ac:dyDescent="0.25">
      <c r="A747" s="4" t="s">
        <v>1457</v>
      </c>
      <c r="B747" s="4" t="s">
        <v>1458</v>
      </c>
      <c r="C747" s="5">
        <v>2</v>
      </c>
      <c r="D747" s="5">
        <v>6</v>
      </c>
      <c r="E747" s="4" t="str">
        <f t="shared" si="33"/>
        <v>REORDER NOW</v>
      </c>
      <c r="F747" s="4"/>
      <c r="G747" s="4"/>
      <c r="H747" s="5">
        <f t="shared" si="34"/>
        <v>3</v>
      </c>
      <c r="I747" s="5">
        <f t="shared" si="35"/>
        <v>0.7</v>
      </c>
    </row>
    <row r="748" spans="1:9" ht="18" customHeight="1" x14ac:dyDescent="0.25">
      <c r="A748" s="2" t="s">
        <v>1459</v>
      </c>
      <c r="B748" s="2" t="s">
        <v>1460</v>
      </c>
      <c r="C748" s="3">
        <v>0</v>
      </c>
      <c r="D748" s="3">
        <v>6</v>
      </c>
      <c r="E748" s="2" t="str">
        <f t="shared" si="33"/>
        <v>REORDER NOW</v>
      </c>
      <c r="F748" s="2"/>
      <c r="G748" s="2"/>
      <c r="H748" s="3">
        <f t="shared" si="34"/>
        <v>3</v>
      </c>
      <c r="I748" s="3">
        <f t="shared" si="35"/>
        <v>0</v>
      </c>
    </row>
    <row r="749" spans="1:9" ht="18" customHeight="1" x14ac:dyDescent="0.25">
      <c r="A749" s="4" t="s">
        <v>1461</v>
      </c>
      <c r="B749" s="4" t="s">
        <v>1462</v>
      </c>
      <c r="C749" s="5">
        <v>0</v>
      </c>
      <c r="D749" s="5">
        <v>6</v>
      </c>
      <c r="E749" s="4" t="str">
        <f t="shared" si="33"/>
        <v>REORDER NOW</v>
      </c>
      <c r="F749" s="4"/>
      <c r="G749" s="4"/>
      <c r="H749" s="5">
        <f t="shared" si="34"/>
        <v>3</v>
      </c>
      <c r="I749" s="5">
        <f t="shared" si="35"/>
        <v>0</v>
      </c>
    </row>
    <row r="750" spans="1:9" ht="18" customHeight="1" x14ac:dyDescent="0.25">
      <c r="A750" s="2" t="s">
        <v>1463</v>
      </c>
      <c r="B750" s="2" t="s">
        <v>1464</v>
      </c>
      <c r="C750" s="3">
        <v>0</v>
      </c>
      <c r="D750" s="3">
        <v>6</v>
      </c>
      <c r="E750" s="2" t="str">
        <f t="shared" si="33"/>
        <v>REORDER NOW</v>
      </c>
      <c r="F750" s="2"/>
      <c r="G750" s="2"/>
      <c r="H750" s="3">
        <f t="shared" si="34"/>
        <v>3</v>
      </c>
      <c r="I750" s="3">
        <f t="shared" si="35"/>
        <v>0</v>
      </c>
    </row>
    <row r="751" spans="1:9" ht="18" customHeight="1" x14ac:dyDescent="0.25">
      <c r="A751" s="4" t="s">
        <v>1465</v>
      </c>
      <c r="B751" s="4" t="s">
        <v>21</v>
      </c>
      <c r="C751" s="5">
        <v>0</v>
      </c>
      <c r="D751" s="5">
        <v>6</v>
      </c>
      <c r="E751" s="4" t="str">
        <f t="shared" si="33"/>
        <v>REORDER NOW</v>
      </c>
      <c r="F751" s="4"/>
      <c r="G751" s="4"/>
      <c r="H751" s="5">
        <f t="shared" si="34"/>
        <v>3</v>
      </c>
      <c r="I751" s="5">
        <f t="shared" si="35"/>
        <v>0</v>
      </c>
    </row>
    <row r="752" spans="1:9" ht="18" customHeight="1" x14ac:dyDescent="0.25">
      <c r="A752" s="2" t="s">
        <v>1466</v>
      </c>
      <c r="B752" s="2" t="s">
        <v>19</v>
      </c>
      <c r="C752" s="3">
        <v>0</v>
      </c>
      <c r="D752" s="3">
        <v>6</v>
      </c>
      <c r="E752" s="2" t="str">
        <f t="shared" si="33"/>
        <v>REORDER NOW</v>
      </c>
      <c r="F752" s="2"/>
      <c r="G752" s="2"/>
      <c r="H752" s="3">
        <f t="shared" si="34"/>
        <v>3</v>
      </c>
      <c r="I752" s="3">
        <f t="shared" si="35"/>
        <v>0</v>
      </c>
    </row>
    <row r="753" spans="1:9" ht="18" customHeight="1" x14ac:dyDescent="0.25">
      <c r="A753" s="4" t="s">
        <v>1467</v>
      </c>
      <c r="B753" s="4" t="s">
        <v>1468</v>
      </c>
      <c r="C753" s="5">
        <v>0</v>
      </c>
      <c r="D753" s="5">
        <v>6</v>
      </c>
      <c r="E753" s="4" t="str">
        <f t="shared" si="33"/>
        <v>REORDER NOW</v>
      </c>
      <c r="F753" s="4"/>
      <c r="G753" s="4"/>
      <c r="H753" s="5">
        <f t="shared" si="34"/>
        <v>3</v>
      </c>
      <c r="I753" s="5">
        <f t="shared" si="35"/>
        <v>0</v>
      </c>
    </row>
    <row r="754" spans="1:9" ht="18" customHeight="1" x14ac:dyDescent="0.25">
      <c r="A754" s="2" t="s">
        <v>1469</v>
      </c>
      <c r="B754" s="2" t="s">
        <v>1470</v>
      </c>
      <c r="C754" s="3">
        <v>1</v>
      </c>
      <c r="D754" s="3">
        <v>6</v>
      </c>
      <c r="E754" s="2" t="str">
        <f t="shared" si="33"/>
        <v>REORDER NOW</v>
      </c>
      <c r="F754" s="2"/>
      <c r="G754" s="2"/>
      <c r="H754" s="3">
        <f t="shared" si="34"/>
        <v>3</v>
      </c>
      <c r="I754" s="3">
        <f t="shared" si="35"/>
        <v>0.3</v>
      </c>
    </row>
    <row r="755" spans="1:9" ht="18" customHeight="1" x14ac:dyDescent="0.25">
      <c r="A755" s="4" t="s">
        <v>1471</v>
      </c>
      <c r="B755" s="4" t="s">
        <v>1472</v>
      </c>
      <c r="C755" s="5">
        <v>0</v>
      </c>
      <c r="D755" s="5">
        <v>6</v>
      </c>
      <c r="E755" s="4" t="str">
        <f t="shared" si="33"/>
        <v>REORDER NOW</v>
      </c>
      <c r="F755" s="4"/>
      <c r="G755" s="4"/>
      <c r="H755" s="5">
        <f t="shared" si="34"/>
        <v>3</v>
      </c>
      <c r="I755" s="5">
        <f t="shared" si="35"/>
        <v>0</v>
      </c>
    </row>
    <row r="756" spans="1:9" ht="18" customHeight="1" x14ac:dyDescent="0.25">
      <c r="A756" s="2" t="s">
        <v>1473</v>
      </c>
      <c r="B756" s="2" t="s">
        <v>457</v>
      </c>
      <c r="C756" s="3">
        <v>0</v>
      </c>
      <c r="D756" s="3">
        <v>6</v>
      </c>
      <c r="E756" s="2" t="str">
        <f t="shared" si="33"/>
        <v>REORDER NOW</v>
      </c>
      <c r="F756" s="2"/>
      <c r="G756" s="2"/>
      <c r="H756" s="3">
        <f t="shared" si="34"/>
        <v>3</v>
      </c>
      <c r="I756" s="3">
        <f t="shared" si="35"/>
        <v>0</v>
      </c>
    </row>
    <row r="757" spans="1:9" ht="18" customHeight="1" x14ac:dyDescent="0.25">
      <c r="A757" s="4" t="s">
        <v>1474</v>
      </c>
      <c r="B757" s="4" t="s">
        <v>1475</v>
      </c>
      <c r="C757" s="5">
        <v>0</v>
      </c>
      <c r="D757" s="5">
        <v>6</v>
      </c>
      <c r="E757" s="4" t="str">
        <f t="shared" si="33"/>
        <v>REORDER NOW</v>
      </c>
      <c r="F757" s="4"/>
      <c r="G757" s="4"/>
      <c r="H757" s="5">
        <f t="shared" si="34"/>
        <v>3</v>
      </c>
      <c r="I757" s="5">
        <f t="shared" si="35"/>
        <v>0</v>
      </c>
    </row>
    <row r="758" spans="1:9" ht="18" customHeight="1" x14ac:dyDescent="0.25">
      <c r="A758" s="2" t="s">
        <v>1476</v>
      </c>
      <c r="B758" s="2" t="s">
        <v>1477</v>
      </c>
      <c r="C758" s="3">
        <v>0</v>
      </c>
      <c r="D758" s="3">
        <v>6</v>
      </c>
      <c r="E758" s="2" t="str">
        <f t="shared" si="33"/>
        <v>REORDER NOW</v>
      </c>
      <c r="F758" s="2"/>
      <c r="G758" s="2"/>
      <c r="H758" s="3">
        <f t="shared" si="34"/>
        <v>3</v>
      </c>
      <c r="I758" s="3">
        <f t="shared" si="35"/>
        <v>0</v>
      </c>
    </row>
    <row r="759" spans="1:9" ht="18" customHeight="1" x14ac:dyDescent="0.25">
      <c r="A759" s="4" t="s">
        <v>1478</v>
      </c>
      <c r="B759" s="4" t="s">
        <v>1479</v>
      </c>
      <c r="C759" s="5">
        <v>2</v>
      </c>
      <c r="D759" s="5">
        <v>6</v>
      </c>
      <c r="E759" s="4" t="str">
        <f t="shared" si="33"/>
        <v>REORDER NOW</v>
      </c>
      <c r="F759" s="4"/>
      <c r="G759" s="4"/>
      <c r="H759" s="5">
        <f t="shared" si="34"/>
        <v>3</v>
      </c>
      <c r="I759" s="5">
        <f t="shared" si="35"/>
        <v>0.7</v>
      </c>
    </row>
    <row r="760" spans="1:9" ht="18" customHeight="1" x14ac:dyDescent="0.25">
      <c r="A760" s="2" t="s">
        <v>1480</v>
      </c>
      <c r="B760" s="2" t="s">
        <v>1481</v>
      </c>
      <c r="C760" s="3">
        <v>1</v>
      </c>
      <c r="D760" s="3">
        <v>6</v>
      </c>
      <c r="E760" s="2" t="str">
        <f t="shared" si="33"/>
        <v>REORDER NOW</v>
      </c>
      <c r="F760" s="2"/>
      <c r="G760" s="2"/>
      <c r="H760" s="3">
        <f t="shared" si="34"/>
        <v>3</v>
      </c>
      <c r="I760" s="3">
        <f t="shared" si="35"/>
        <v>0.3</v>
      </c>
    </row>
    <row r="761" spans="1:9" ht="18" customHeight="1" x14ac:dyDescent="0.25">
      <c r="A761" s="4" t="s">
        <v>1482</v>
      </c>
      <c r="B761" s="4" t="s">
        <v>1483</v>
      </c>
      <c r="C761" s="5">
        <v>1</v>
      </c>
      <c r="D761" s="5">
        <v>6</v>
      </c>
      <c r="E761" s="4" t="str">
        <f t="shared" si="33"/>
        <v>REORDER NOW</v>
      </c>
      <c r="F761" s="4"/>
      <c r="G761" s="4"/>
      <c r="H761" s="5">
        <f t="shared" si="34"/>
        <v>3</v>
      </c>
      <c r="I761" s="5">
        <f t="shared" si="35"/>
        <v>0.3</v>
      </c>
    </row>
    <row r="762" spans="1:9" ht="18" customHeight="1" x14ac:dyDescent="0.25">
      <c r="A762" s="2" t="s">
        <v>1484</v>
      </c>
      <c r="B762" s="2" t="s">
        <v>1485</v>
      </c>
      <c r="C762" s="3">
        <v>6</v>
      </c>
      <c r="D762" s="3">
        <v>10</v>
      </c>
      <c r="E762" s="2" t="str">
        <f t="shared" si="33"/>
        <v>REORDER NOW</v>
      </c>
      <c r="F762" s="2"/>
      <c r="G762" s="2"/>
      <c r="H762" s="3">
        <f t="shared" si="34"/>
        <v>5</v>
      </c>
      <c r="I762" s="3">
        <f t="shared" si="35"/>
        <v>1.2</v>
      </c>
    </row>
    <row r="763" spans="1:9" ht="18" customHeight="1" x14ac:dyDescent="0.25">
      <c r="A763" s="4" t="s">
        <v>1486</v>
      </c>
      <c r="B763" s="4" t="s">
        <v>1487</v>
      </c>
      <c r="C763" s="5">
        <v>1</v>
      </c>
      <c r="D763" s="5">
        <v>6</v>
      </c>
      <c r="E763" s="4" t="str">
        <f t="shared" si="33"/>
        <v>REORDER NOW</v>
      </c>
      <c r="F763" s="4"/>
      <c r="G763" s="4"/>
      <c r="H763" s="5">
        <f t="shared" si="34"/>
        <v>3</v>
      </c>
      <c r="I763" s="5">
        <f t="shared" si="35"/>
        <v>0.3</v>
      </c>
    </row>
    <row r="764" spans="1:9" ht="18" customHeight="1" x14ac:dyDescent="0.25">
      <c r="A764" s="2" t="s">
        <v>1488</v>
      </c>
      <c r="B764" s="2" t="s">
        <v>1489</v>
      </c>
      <c r="C764" s="3">
        <v>1</v>
      </c>
      <c r="D764" s="3">
        <v>6</v>
      </c>
      <c r="E764" s="2" t="str">
        <f t="shared" si="33"/>
        <v>REORDER NOW</v>
      </c>
      <c r="F764" s="2"/>
      <c r="G764" s="2"/>
      <c r="H764" s="3">
        <f t="shared" si="34"/>
        <v>3</v>
      </c>
      <c r="I764" s="3">
        <f t="shared" si="35"/>
        <v>0.3</v>
      </c>
    </row>
    <row r="765" spans="1:9" ht="18" customHeight="1" x14ac:dyDescent="0.25">
      <c r="A765" s="4" t="s">
        <v>1490</v>
      </c>
      <c r="B765" s="4" t="s">
        <v>1491</v>
      </c>
      <c r="C765" s="5">
        <v>0</v>
      </c>
      <c r="D765" s="5">
        <v>6</v>
      </c>
      <c r="E765" s="4" t="str">
        <f t="shared" si="33"/>
        <v>REORDER NOW</v>
      </c>
      <c r="F765" s="4"/>
      <c r="G765" s="4"/>
      <c r="H765" s="5">
        <f t="shared" si="34"/>
        <v>3</v>
      </c>
      <c r="I765" s="5">
        <f t="shared" si="35"/>
        <v>0</v>
      </c>
    </row>
    <row r="766" spans="1:9" ht="18" customHeight="1" x14ac:dyDescent="0.25">
      <c r="A766" s="2" t="s">
        <v>1492</v>
      </c>
      <c r="B766" s="2" t="s">
        <v>1493</v>
      </c>
      <c r="C766" s="3">
        <v>0</v>
      </c>
      <c r="D766" s="3">
        <v>6</v>
      </c>
      <c r="E766" s="2" t="str">
        <f t="shared" si="33"/>
        <v>REORDER NOW</v>
      </c>
      <c r="F766" s="2"/>
      <c r="G766" s="2"/>
      <c r="H766" s="3">
        <f t="shared" si="34"/>
        <v>3</v>
      </c>
      <c r="I766" s="3">
        <f t="shared" si="35"/>
        <v>0</v>
      </c>
    </row>
    <row r="767" spans="1:9" ht="18" customHeight="1" x14ac:dyDescent="0.25">
      <c r="A767" s="4" t="s">
        <v>1494</v>
      </c>
      <c r="B767" s="4" t="s">
        <v>1495</v>
      </c>
      <c r="C767" s="5">
        <v>7</v>
      </c>
      <c r="D767" s="5">
        <v>10</v>
      </c>
      <c r="E767" s="4" t="str">
        <f t="shared" si="33"/>
        <v>REORDER NOW</v>
      </c>
      <c r="F767" s="4"/>
      <c r="G767" s="4"/>
      <c r="H767" s="5">
        <f t="shared" si="34"/>
        <v>5</v>
      </c>
      <c r="I767" s="5">
        <f t="shared" si="35"/>
        <v>1.4</v>
      </c>
    </row>
    <row r="768" spans="1:9" ht="18" customHeight="1" x14ac:dyDescent="0.25">
      <c r="A768" s="2" t="s">
        <v>1496</v>
      </c>
      <c r="B768" s="2" t="s">
        <v>1497</v>
      </c>
      <c r="C768" s="3">
        <v>19</v>
      </c>
      <c r="D768" s="3">
        <v>10</v>
      </c>
      <c r="E768" s="2" t="str">
        <f t="shared" si="33"/>
        <v>OK</v>
      </c>
      <c r="F768" s="2"/>
      <c r="G768" s="2"/>
      <c r="H768" s="3">
        <f t="shared" si="34"/>
        <v>5</v>
      </c>
      <c r="I768" s="3">
        <f t="shared" si="35"/>
        <v>3.8</v>
      </c>
    </row>
    <row r="769" spans="1:9" ht="18" customHeight="1" x14ac:dyDescent="0.25">
      <c r="A769" s="4" t="s">
        <v>1498</v>
      </c>
      <c r="B769" s="4" t="s">
        <v>1499</v>
      </c>
      <c r="C769" s="5">
        <v>8</v>
      </c>
      <c r="D769" s="5">
        <v>10</v>
      </c>
      <c r="E769" s="4" t="str">
        <f t="shared" si="33"/>
        <v>REORDER NOW</v>
      </c>
      <c r="F769" s="4"/>
      <c r="G769" s="4"/>
      <c r="H769" s="5">
        <f t="shared" si="34"/>
        <v>5</v>
      </c>
      <c r="I769" s="5">
        <f t="shared" si="35"/>
        <v>1.6</v>
      </c>
    </row>
    <row r="770" spans="1:9" ht="18" customHeight="1" x14ac:dyDescent="0.25">
      <c r="A770" s="2" t="s">
        <v>1500</v>
      </c>
      <c r="B770" s="2" t="s">
        <v>1501</v>
      </c>
      <c r="C770" s="3">
        <v>0</v>
      </c>
      <c r="D770" s="3">
        <v>6</v>
      </c>
      <c r="E770" s="2" t="str">
        <f t="shared" si="33"/>
        <v>REORDER NOW</v>
      </c>
      <c r="F770" s="2"/>
      <c r="G770" s="2"/>
      <c r="H770" s="3">
        <f t="shared" si="34"/>
        <v>3</v>
      </c>
      <c r="I770" s="3">
        <f t="shared" si="35"/>
        <v>0</v>
      </c>
    </row>
    <row r="771" spans="1:9" ht="18" customHeight="1" x14ac:dyDescent="0.25">
      <c r="A771" s="4" t="s">
        <v>1502</v>
      </c>
      <c r="B771" s="4" t="s">
        <v>1503</v>
      </c>
      <c r="C771" s="5">
        <v>0</v>
      </c>
      <c r="D771" s="5">
        <v>6</v>
      </c>
      <c r="E771" s="4" t="str">
        <f t="shared" si="33"/>
        <v>REORDER NOW</v>
      </c>
      <c r="F771" s="4"/>
      <c r="G771" s="4"/>
      <c r="H771" s="5">
        <f t="shared" si="34"/>
        <v>3</v>
      </c>
      <c r="I771" s="5">
        <f t="shared" si="35"/>
        <v>0</v>
      </c>
    </row>
    <row r="772" spans="1:9" ht="18" customHeight="1" x14ac:dyDescent="0.25">
      <c r="A772" s="2" t="s">
        <v>1504</v>
      </c>
      <c r="B772" s="2" t="s">
        <v>1505</v>
      </c>
      <c r="C772" s="3">
        <v>1</v>
      </c>
      <c r="D772" s="3">
        <v>6</v>
      </c>
      <c r="E772" s="2" t="str">
        <f t="shared" ref="E772:E835" si="36">IF(C772&lt;=D772,"REORDER NOW","OK")</f>
        <v>REORDER NOW</v>
      </c>
      <c r="F772" s="2"/>
      <c r="G772" s="2"/>
      <c r="H772" s="3">
        <f t="shared" ref="H772:H835" si="37">D772/2</f>
        <v>3</v>
      </c>
      <c r="I772" s="3">
        <f t="shared" ref="I772:I835" si="38">IF(H772=0,"N/A",ROUND(C772/H772,1))</f>
        <v>0.3</v>
      </c>
    </row>
    <row r="773" spans="1:9" ht="18" customHeight="1" x14ac:dyDescent="0.25">
      <c r="A773" s="4" t="s">
        <v>1506</v>
      </c>
      <c r="B773" s="4" t="s">
        <v>1507</v>
      </c>
      <c r="C773" s="5">
        <v>0</v>
      </c>
      <c r="D773" s="5">
        <v>6</v>
      </c>
      <c r="E773" s="4" t="str">
        <f t="shared" si="36"/>
        <v>REORDER NOW</v>
      </c>
      <c r="F773" s="4"/>
      <c r="G773" s="4"/>
      <c r="H773" s="5">
        <f t="shared" si="37"/>
        <v>3</v>
      </c>
      <c r="I773" s="5">
        <f t="shared" si="38"/>
        <v>0</v>
      </c>
    </row>
    <row r="774" spans="1:9" ht="18" customHeight="1" x14ac:dyDescent="0.25">
      <c r="A774" s="2" t="s">
        <v>1508</v>
      </c>
      <c r="B774" s="2" t="s">
        <v>1196</v>
      </c>
      <c r="C774" s="3">
        <v>0</v>
      </c>
      <c r="D774" s="3">
        <v>6</v>
      </c>
      <c r="E774" s="2" t="str">
        <f t="shared" si="36"/>
        <v>REORDER NOW</v>
      </c>
      <c r="F774" s="2"/>
      <c r="G774" s="2"/>
      <c r="H774" s="3">
        <f t="shared" si="37"/>
        <v>3</v>
      </c>
      <c r="I774" s="3">
        <f t="shared" si="38"/>
        <v>0</v>
      </c>
    </row>
    <row r="775" spans="1:9" ht="18" customHeight="1" x14ac:dyDescent="0.25">
      <c r="A775" s="4" t="s">
        <v>1509</v>
      </c>
      <c r="B775" s="4" t="s">
        <v>123</v>
      </c>
      <c r="C775" s="5">
        <v>0</v>
      </c>
      <c r="D775" s="5">
        <v>6</v>
      </c>
      <c r="E775" s="4" t="str">
        <f t="shared" si="36"/>
        <v>REORDER NOW</v>
      </c>
      <c r="F775" s="4"/>
      <c r="G775" s="4"/>
      <c r="H775" s="5">
        <f t="shared" si="37"/>
        <v>3</v>
      </c>
      <c r="I775" s="5">
        <f t="shared" si="38"/>
        <v>0</v>
      </c>
    </row>
    <row r="776" spans="1:9" ht="18" customHeight="1" x14ac:dyDescent="0.25">
      <c r="A776" s="2" t="s">
        <v>1510</v>
      </c>
      <c r="B776" s="2" t="s">
        <v>1511</v>
      </c>
      <c r="C776" s="3">
        <v>0</v>
      </c>
      <c r="D776" s="3">
        <v>6</v>
      </c>
      <c r="E776" s="2" t="str">
        <f t="shared" si="36"/>
        <v>REORDER NOW</v>
      </c>
      <c r="F776" s="2"/>
      <c r="G776" s="2"/>
      <c r="H776" s="3">
        <f t="shared" si="37"/>
        <v>3</v>
      </c>
      <c r="I776" s="3">
        <f t="shared" si="38"/>
        <v>0</v>
      </c>
    </row>
    <row r="777" spans="1:9" ht="18" customHeight="1" x14ac:dyDescent="0.25">
      <c r="A777" s="4" t="s">
        <v>1512</v>
      </c>
      <c r="B777" s="4" t="s">
        <v>1513</v>
      </c>
      <c r="C777" s="5">
        <v>0</v>
      </c>
      <c r="D777" s="5">
        <v>6</v>
      </c>
      <c r="E777" s="4" t="str">
        <f t="shared" si="36"/>
        <v>REORDER NOW</v>
      </c>
      <c r="F777" s="4"/>
      <c r="G777" s="4"/>
      <c r="H777" s="5">
        <f t="shared" si="37"/>
        <v>3</v>
      </c>
      <c r="I777" s="5">
        <f t="shared" si="38"/>
        <v>0</v>
      </c>
    </row>
    <row r="778" spans="1:9" ht="18" customHeight="1" x14ac:dyDescent="0.25">
      <c r="A778" s="2" t="s">
        <v>1514</v>
      </c>
      <c r="B778" s="2" t="s">
        <v>132</v>
      </c>
      <c r="C778" s="3">
        <v>0</v>
      </c>
      <c r="D778" s="3">
        <v>6</v>
      </c>
      <c r="E778" s="2" t="str">
        <f t="shared" si="36"/>
        <v>REORDER NOW</v>
      </c>
      <c r="F778" s="2"/>
      <c r="G778" s="2"/>
      <c r="H778" s="3">
        <f t="shared" si="37"/>
        <v>3</v>
      </c>
      <c r="I778" s="3">
        <f t="shared" si="38"/>
        <v>0</v>
      </c>
    </row>
    <row r="779" spans="1:9" ht="18" customHeight="1" x14ac:dyDescent="0.25">
      <c r="A779" s="4" t="s">
        <v>1515</v>
      </c>
      <c r="B779" s="4" t="s">
        <v>132</v>
      </c>
      <c r="C779" s="5">
        <v>0</v>
      </c>
      <c r="D779" s="5">
        <v>6</v>
      </c>
      <c r="E779" s="4" t="str">
        <f t="shared" si="36"/>
        <v>REORDER NOW</v>
      </c>
      <c r="F779" s="4"/>
      <c r="G779" s="4"/>
      <c r="H779" s="5">
        <f t="shared" si="37"/>
        <v>3</v>
      </c>
      <c r="I779" s="5">
        <f t="shared" si="38"/>
        <v>0</v>
      </c>
    </row>
    <row r="780" spans="1:9" ht="18" customHeight="1" x14ac:dyDescent="0.25">
      <c r="A780" s="2" t="s">
        <v>1516</v>
      </c>
      <c r="B780" s="2" t="s">
        <v>173</v>
      </c>
      <c r="C780" s="3">
        <v>0</v>
      </c>
      <c r="D780" s="3">
        <v>6</v>
      </c>
      <c r="E780" s="2" t="str">
        <f t="shared" si="36"/>
        <v>REORDER NOW</v>
      </c>
      <c r="F780" s="2"/>
      <c r="G780" s="2"/>
      <c r="H780" s="3">
        <f t="shared" si="37"/>
        <v>3</v>
      </c>
      <c r="I780" s="3">
        <f t="shared" si="38"/>
        <v>0</v>
      </c>
    </row>
    <row r="781" spans="1:9" ht="18" customHeight="1" x14ac:dyDescent="0.25">
      <c r="A781" s="4" t="s">
        <v>1517</v>
      </c>
      <c r="B781" s="4" t="s">
        <v>1518</v>
      </c>
      <c r="C781" s="5">
        <v>0</v>
      </c>
      <c r="D781" s="5">
        <v>6</v>
      </c>
      <c r="E781" s="4" t="str">
        <f t="shared" si="36"/>
        <v>REORDER NOW</v>
      </c>
      <c r="F781" s="4"/>
      <c r="G781" s="4"/>
      <c r="H781" s="5">
        <f t="shared" si="37"/>
        <v>3</v>
      </c>
      <c r="I781" s="5">
        <f t="shared" si="38"/>
        <v>0</v>
      </c>
    </row>
    <row r="782" spans="1:9" ht="18" customHeight="1" x14ac:dyDescent="0.25">
      <c r="A782" s="2" t="s">
        <v>1519</v>
      </c>
      <c r="B782" s="2" t="s">
        <v>1520</v>
      </c>
      <c r="C782" s="3">
        <v>0</v>
      </c>
      <c r="D782" s="3">
        <v>6</v>
      </c>
      <c r="E782" s="2" t="str">
        <f t="shared" si="36"/>
        <v>REORDER NOW</v>
      </c>
      <c r="F782" s="2"/>
      <c r="G782" s="2"/>
      <c r="H782" s="3">
        <f t="shared" si="37"/>
        <v>3</v>
      </c>
      <c r="I782" s="3">
        <f t="shared" si="38"/>
        <v>0</v>
      </c>
    </row>
    <row r="783" spans="1:9" ht="18" customHeight="1" x14ac:dyDescent="0.25">
      <c r="A783" s="4" t="s">
        <v>1521</v>
      </c>
      <c r="B783" s="4" t="s">
        <v>1522</v>
      </c>
      <c r="C783" s="5">
        <v>2</v>
      </c>
      <c r="D783" s="5">
        <v>6</v>
      </c>
      <c r="E783" s="4" t="str">
        <f t="shared" si="36"/>
        <v>REORDER NOW</v>
      </c>
      <c r="F783" s="4"/>
      <c r="G783" s="4"/>
      <c r="H783" s="5">
        <f t="shared" si="37"/>
        <v>3</v>
      </c>
      <c r="I783" s="5">
        <f t="shared" si="38"/>
        <v>0.7</v>
      </c>
    </row>
    <row r="784" spans="1:9" ht="18" customHeight="1" x14ac:dyDescent="0.25">
      <c r="A784" s="2" t="s">
        <v>1523</v>
      </c>
      <c r="B784" s="2" t="s">
        <v>1524</v>
      </c>
      <c r="C784" s="3">
        <v>9</v>
      </c>
      <c r="D784" s="3">
        <v>10</v>
      </c>
      <c r="E784" s="2" t="str">
        <f t="shared" si="36"/>
        <v>REORDER NOW</v>
      </c>
      <c r="F784" s="2"/>
      <c r="G784" s="2"/>
      <c r="H784" s="3">
        <f t="shared" si="37"/>
        <v>5</v>
      </c>
      <c r="I784" s="3">
        <f t="shared" si="38"/>
        <v>1.8</v>
      </c>
    </row>
    <row r="785" spans="1:9" ht="18" customHeight="1" x14ac:dyDescent="0.25">
      <c r="A785" s="4" t="s">
        <v>1525</v>
      </c>
      <c r="B785" s="4" t="s">
        <v>1526</v>
      </c>
      <c r="C785" s="5">
        <v>2</v>
      </c>
      <c r="D785" s="5">
        <v>6</v>
      </c>
      <c r="E785" s="4" t="str">
        <f t="shared" si="36"/>
        <v>REORDER NOW</v>
      </c>
      <c r="F785" s="4"/>
      <c r="G785" s="4"/>
      <c r="H785" s="5">
        <f t="shared" si="37"/>
        <v>3</v>
      </c>
      <c r="I785" s="5">
        <f t="shared" si="38"/>
        <v>0.7</v>
      </c>
    </row>
    <row r="786" spans="1:9" ht="18" customHeight="1" x14ac:dyDescent="0.25">
      <c r="A786" s="2" t="s">
        <v>1527</v>
      </c>
      <c r="B786" s="2" t="s">
        <v>1528</v>
      </c>
      <c r="C786" s="3">
        <v>6</v>
      </c>
      <c r="D786" s="3">
        <v>10</v>
      </c>
      <c r="E786" s="2" t="str">
        <f t="shared" si="36"/>
        <v>REORDER NOW</v>
      </c>
      <c r="F786" s="2"/>
      <c r="G786" s="2"/>
      <c r="H786" s="3">
        <f t="shared" si="37"/>
        <v>5</v>
      </c>
      <c r="I786" s="3">
        <f t="shared" si="38"/>
        <v>1.2</v>
      </c>
    </row>
    <row r="787" spans="1:9" ht="18" customHeight="1" x14ac:dyDescent="0.25">
      <c r="A787" s="4" t="s">
        <v>1529</v>
      </c>
      <c r="B787" s="4" t="s">
        <v>1530</v>
      </c>
      <c r="C787" s="5">
        <v>0</v>
      </c>
      <c r="D787" s="5">
        <v>6</v>
      </c>
      <c r="E787" s="4" t="str">
        <f t="shared" si="36"/>
        <v>REORDER NOW</v>
      </c>
      <c r="F787" s="4"/>
      <c r="G787" s="4"/>
      <c r="H787" s="5">
        <f t="shared" si="37"/>
        <v>3</v>
      </c>
      <c r="I787" s="5">
        <f t="shared" si="38"/>
        <v>0</v>
      </c>
    </row>
    <row r="788" spans="1:9" ht="18" customHeight="1" x14ac:dyDescent="0.25">
      <c r="A788" s="2" t="s">
        <v>1531</v>
      </c>
      <c r="B788" s="2" t="s">
        <v>1532</v>
      </c>
      <c r="C788" s="3">
        <v>250</v>
      </c>
      <c r="D788" s="3">
        <v>100</v>
      </c>
      <c r="E788" s="2" t="str">
        <f t="shared" si="36"/>
        <v>OK</v>
      </c>
      <c r="F788" s="2"/>
      <c r="G788" s="2"/>
      <c r="H788" s="3">
        <f t="shared" si="37"/>
        <v>50</v>
      </c>
      <c r="I788" s="3">
        <f t="shared" si="38"/>
        <v>5</v>
      </c>
    </row>
    <row r="789" spans="1:9" ht="18" customHeight="1" x14ac:dyDescent="0.25">
      <c r="A789" s="4" t="s">
        <v>1533</v>
      </c>
      <c r="B789" s="4" t="s">
        <v>1534</v>
      </c>
      <c r="C789" s="5">
        <v>0</v>
      </c>
      <c r="D789" s="5">
        <v>6</v>
      </c>
      <c r="E789" s="4" t="str">
        <f t="shared" si="36"/>
        <v>REORDER NOW</v>
      </c>
      <c r="F789" s="4"/>
      <c r="G789" s="4"/>
      <c r="H789" s="5">
        <f t="shared" si="37"/>
        <v>3</v>
      </c>
      <c r="I789" s="5">
        <f t="shared" si="38"/>
        <v>0</v>
      </c>
    </row>
    <row r="790" spans="1:9" ht="18" customHeight="1" x14ac:dyDescent="0.25">
      <c r="A790" s="2" t="s">
        <v>1535</v>
      </c>
      <c r="B790" s="2" t="s">
        <v>1536</v>
      </c>
      <c r="C790" s="3">
        <v>0</v>
      </c>
      <c r="D790" s="3">
        <v>6</v>
      </c>
      <c r="E790" s="2" t="str">
        <f t="shared" si="36"/>
        <v>REORDER NOW</v>
      </c>
      <c r="F790" s="2"/>
      <c r="G790" s="2"/>
      <c r="H790" s="3">
        <f t="shared" si="37"/>
        <v>3</v>
      </c>
      <c r="I790" s="3">
        <f t="shared" si="38"/>
        <v>0</v>
      </c>
    </row>
    <row r="791" spans="1:9" ht="18" customHeight="1" x14ac:dyDescent="0.25">
      <c r="A791" s="4" t="s">
        <v>1537</v>
      </c>
      <c r="B791" s="4" t="s">
        <v>1538</v>
      </c>
      <c r="C791" s="5">
        <v>0</v>
      </c>
      <c r="D791" s="5">
        <v>6</v>
      </c>
      <c r="E791" s="4" t="str">
        <f t="shared" si="36"/>
        <v>REORDER NOW</v>
      </c>
      <c r="F791" s="4"/>
      <c r="G791" s="4"/>
      <c r="H791" s="5">
        <f t="shared" si="37"/>
        <v>3</v>
      </c>
      <c r="I791" s="5">
        <f t="shared" si="38"/>
        <v>0</v>
      </c>
    </row>
    <row r="792" spans="1:9" ht="18" customHeight="1" x14ac:dyDescent="0.25">
      <c r="A792" s="2" t="s">
        <v>1539</v>
      </c>
      <c r="B792" s="2" t="s">
        <v>1540</v>
      </c>
      <c r="C792" s="3">
        <v>3</v>
      </c>
      <c r="D792" s="3">
        <v>6</v>
      </c>
      <c r="E792" s="2" t="str">
        <f t="shared" si="36"/>
        <v>REORDER NOW</v>
      </c>
      <c r="F792" s="2"/>
      <c r="G792" s="2"/>
      <c r="H792" s="3">
        <f t="shared" si="37"/>
        <v>3</v>
      </c>
      <c r="I792" s="3">
        <f t="shared" si="38"/>
        <v>1</v>
      </c>
    </row>
    <row r="793" spans="1:9" ht="18" customHeight="1" x14ac:dyDescent="0.25">
      <c r="A793" s="4" t="s">
        <v>1541</v>
      </c>
      <c r="B793" s="4" t="s">
        <v>1542</v>
      </c>
      <c r="C793" s="5">
        <v>0</v>
      </c>
      <c r="D793" s="5">
        <v>6</v>
      </c>
      <c r="E793" s="4" t="str">
        <f t="shared" si="36"/>
        <v>REORDER NOW</v>
      </c>
      <c r="F793" s="4"/>
      <c r="G793" s="4"/>
      <c r="H793" s="5">
        <f t="shared" si="37"/>
        <v>3</v>
      </c>
      <c r="I793" s="5">
        <f t="shared" si="38"/>
        <v>0</v>
      </c>
    </row>
    <row r="794" spans="1:9" ht="18" customHeight="1" x14ac:dyDescent="0.25">
      <c r="A794" s="2" t="s">
        <v>1543</v>
      </c>
      <c r="B794" s="2" t="s">
        <v>1544</v>
      </c>
      <c r="C794" s="3">
        <v>0</v>
      </c>
      <c r="D794" s="3">
        <v>6</v>
      </c>
      <c r="E794" s="2" t="str">
        <f t="shared" si="36"/>
        <v>REORDER NOW</v>
      </c>
      <c r="F794" s="2"/>
      <c r="G794" s="2"/>
      <c r="H794" s="3">
        <f t="shared" si="37"/>
        <v>3</v>
      </c>
      <c r="I794" s="3">
        <f t="shared" si="38"/>
        <v>0</v>
      </c>
    </row>
    <row r="795" spans="1:9" ht="18" customHeight="1" x14ac:dyDescent="0.25">
      <c r="A795" s="4" t="s">
        <v>1545</v>
      </c>
      <c r="B795" s="4" t="s">
        <v>1546</v>
      </c>
      <c r="C795" s="5">
        <v>1</v>
      </c>
      <c r="D795" s="5">
        <v>6</v>
      </c>
      <c r="E795" s="4" t="str">
        <f t="shared" si="36"/>
        <v>REORDER NOW</v>
      </c>
      <c r="F795" s="4"/>
      <c r="G795" s="4"/>
      <c r="H795" s="5">
        <f t="shared" si="37"/>
        <v>3</v>
      </c>
      <c r="I795" s="5">
        <f t="shared" si="38"/>
        <v>0.3</v>
      </c>
    </row>
    <row r="796" spans="1:9" ht="18" customHeight="1" x14ac:dyDescent="0.25">
      <c r="A796" s="2" t="s">
        <v>1547</v>
      </c>
      <c r="B796" s="2" t="s">
        <v>1548</v>
      </c>
      <c r="C796" s="3">
        <v>0</v>
      </c>
      <c r="D796" s="3">
        <v>6</v>
      </c>
      <c r="E796" s="2" t="str">
        <f t="shared" si="36"/>
        <v>REORDER NOW</v>
      </c>
      <c r="F796" s="2"/>
      <c r="G796" s="2"/>
      <c r="H796" s="3">
        <f t="shared" si="37"/>
        <v>3</v>
      </c>
      <c r="I796" s="3">
        <f t="shared" si="38"/>
        <v>0</v>
      </c>
    </row>
    <row r="797" spans="1:9" ht="18" customHeight="1" x14ac:dyDescent="0.25">
      <c r="A797" s="4" t="s">
        <v>1549</v>
      </c>
      <c r="B797" s="4" t="s">
        <v>511</v>
      </c>
      <c r="C797" s="5">
        <v>0</v>
      </c>
      <c r="D797" s="5">
        <v>6</v>
      </c>
      <c r="E797" s="4" t="str">
        <f t="shared" si="36"/>
        <v>REORDER NOW</v>
      </c>
      <c r="F797" s="4"/>
      <c r="G797" s="4"/>
      <c r="H797" s="5">
        <f t="shared" si="37"/>
        <v>3</v>
      </c>
      <c r="I797" s="5">
        <f t="shared" si="38"/>
        <v>0</v>
      </c>
    </row>
    <row r="798" spans="1:9" ht="18" customHeight="1" x14ac:dyDescent="0.25">
      <c r="A798" s="2" t="s">
        <v>1550</v>
      </c>
      <c r="B798" s="2" t="s">
        <v>1551</v>
      </c>
      <c r="C798" s="3">
        <v>0</v>
      </c>
      <c r="D798" s="3">
        <v>6</v>
      </c>
      <c r="E798" s="2" t="str">
        <f t="shared" si="36"/>
        <v>REORDER NOW</v>
      </c>
      <c r="F798" s="2"/>
      <c r="G798" s="2"/>
      <c r="H798" s="3">
        <f t="shared" si="37"/>
        <v>3</v>
      </c>
      <c r="I798" s="3">
        <f t="shared" si="38"/>
        <v>0</v>
      </c>
    </row>
    <row r="799" spans="1:9" ht="18" customHeight="1" x14ac:dyDescent="0.25">
      <c r="A799" s="4" t="s">
        <v>1552</v>
      </c>
      <c r="B799" s="4" t="s">
        <v>1551</v>
      </c>
      <c r="C799" s="5">
        <v>0</v>
      </c>
      <c r="D799" s="5">
        <v>6</v>
      </c>
      <c r="E799" s="4" t="str">
        <f t="shared" si="36"/>
        <v>REORDER NOW</v>
      </c>
      <c r="F799" s="4"/>
      <c r="G799" s="4"/>
      <c r="H799" s="5">
        <f t="shared" si="37"/>
        <v>3</v>
      </c>
      <c r="I799" s="5">
        <f t="shared" si="38"/>
        <v>0</v>
      </c>
    </row>
    <row r="800" spans="1:9" ht="18" customHeight="1" x14ac:dyDescent="0.25">
      <c r="A800" s="2" t="s">
        <v>1553</v>
      </c>
      <c r="B800" s="2" t="s">
        <v>40</v>
      </c>
      <c r="C800" s="3">
        <v>0</v>
      </c>
      <c r="D800" s="3">
        <v>6</v>
      </c>
      <c r="E800" s="2" t="str">
        <f t="shared" si="36"/>
        <v>REORDER NOW</v>
      </c>
      <c r="F800" s="2"/>
      <c r="G800" s="2"/>
      <c r="H800" s="3">
        <f t="shared" si="37"/>
        <v>3</v>
      </c>
      <c r="I800" s="3">
        <f t="shared" si="38"/>
        <v>0</v>
      </c>
    </row>
    <row r="801" spans="1:9" ht="18" customHeight="1" x14ac:dyDescent="0.25">
      <c r="A801" s="4" t="s">
        <v>1554</v>
      </c>
      <c r="B801" s="4" t="s">
        <v>1555</v>
      </c>
      <c r="C801" s="5">
        <v>0</v>
      </c>
      <c r="D801" s="5">
        <v>6</v>
      </c>
      <c r="E801" s="4" t="str">
        <f t="shared" si="36"/>
        <v>REORDER NOW</v>
      </c>
      <c r="F801" s="4"/>
      <c r="G801" s="4"/>
      <c r="H801" s="5">
        <f t="shared" si="37"/>
        <v>3</v>
      </c>
      <c r="I801" s="5">
        <f t="shared" si="38"/>
        <v>0</v>
      </c>
    </row>
    <row r="802" spans="1:9" ht="18" customHeight="1" x14ac:dyDescent="0.25">
      <c r="A802" s="2" t="s">
        <v>1556</v>
      </c>
      <c r="B802" s="2" t="s">
        <v>1557</v>
      </c>
      <c r="C802" s="3">
        <v>0</v>
      </c>
      <c r="D802" s="3">
        <v>6</v>
      </c>
      <c r="E802" s="2" t="str">
        <f t="shared" si="36"/>
        <v>REORDER NOW</v>
      </c>
      <c r="F802" s="2"/>
      <c r="G802" s="2"/>
      <c r="H802" s="3">
        <f t="shared" si="37"/>
        <v>3</v>
      </c>
      <c r="I802" s="3">
        <f t="shared" si="38"/>
        <v>0</v>
      </c>
    </row>
    <row r="803" spans="1:9" ht="18" customHeight="1" x14ac:dyDescent="0.25">
      <c r="A803" s="4" t="s">
        <v>1558</v>
      </c>
      <c r="B803" s="4" t="s">
        <v>1559</v>
      </c>
      <c r="C803" s="5">
        <v>0</v>
      </c>
      <c r="D803" s="5">
        <v>6</v>
      </c>
      <c r="E803" s="4" t="str">
        <f t="shared" si="36"/>
        <v>REORDER NOW</v>
      </c>
      <c r="F803" s="4"/>
      <c r="G803" s="4"/>
      <c r="H803" s="5">
        <f t="shared" si="37"/>
        <v>3</v>
      </c>
      <c r="I803" s="5">
        <f t="shared" si="38"/>
        <v>0</v>
      </c>
    </row>
    <row r="804" spans="1:9" ht="18" customHeight="1" x14ac:dyDescent="0.25">
      <c r="A804" s="2" t="s">
        <v>1560</v>
      </c>
      <c r="B804" s="2" t="s">
        <v>1561</v>
      </c>
      <c r="C804" s="3">
        <v>0</v>
      </c>
      <c r="D804" s="3">
        <v>6</v>
      </c>
      <c r="E804" s="2" t="str">
        <f t="shared" si="36"/>
        <v>REORDER NOW</v>
      </c>
      <c r="F804" s="2"/>
      <c r="G804" s="2"/>
      <c r="H804" s="3">
        <f t="shared" si="37"/>
        <v>3</v>
      </c>
      <c r="I804" s="3">
        <f t="shared" si="38"/>
        <v>0</v>
      </c>
    </row>
    <row r="805" spans="1:9" ht="18" customHeight="1" x14ac:dyDescent="0.25">
      <c r="A805" s="4" t="s">
        <v>1562</v>
      </c>
      <c r="B805" s="4" t="s">
        <v>1563</v>
      </c>
      <c r="C805" s="5">
        <v>0</v>
      </c>
      <c r="D805" s="5">
        <v>6</v>
      </c>
      <c r="E805" s="4" t="str">
        <f t="shared" si="36"/>
        <v>REORDER NOW</v>
      </c>
      <c r="F805" s="4"/>
      <c r="G805" s="4"/>
      <c r="H805" s="5">
        <f t="shared" si="37"/>
        <v>3</v>
      </c>
      <c r="I805" s="5">
        <f t="shared" si="38"/>
        <v>0</v>
      </c>
    </row>
    <row r="806" spans="1:9" ht="18" customHeight="1" x14ac:dyDescent="0.25">
      <c r="A806" s="2" t="s">
        <v>1564</v>
      </c>
      <c r="B806" s="2" t="s">
        <v>1565</v>
      </c>
      <c r="C806" s="3">
        <v>2</v>
      </c>
      <c r="D806" s="3">
        <v>6</v>
      </c>
      <c r="E806" s="2" t="str">
        <f t="shared" si="36"/>
        <v>REORDER NOW</v>
      </c>
      <c r="F806" s="2"/>
      <c r="G806" s="2"/>
      <c r="H806" s="3">
        <f t="shared" si="37"/>
        <v>3</v>
      </c>
      <c r="I806" s="3">
        <f t="shared" si="38"/>
        <v>0.7</v>
      </c>
    </row>
    <row r="807" spans="1:9" ht="18" customHeight="1" x14ac:dyDescent="0.25">
      <c r="A807" s="4" t="s">
        <v>1566</v>
      </c>
      <c r="B807" s="4" t="s">
        <v>1567</v>
      </c>
      <c r="C807" s="5">
        <v>0</v>
      </c>
      <c r="D807" s="5">
        <v>6</v>
      </c>
      <c r="E807" s="4" t="str">
        <f t="shared" si="36"/>
        <v>REORDER NOW</v>
      </c>
      <c r="F807" s="4"/>
      <c r="G807" s="4"/>
      <c r="H807" s="5">
        <f t="shared" si="37"/>
        <v>3</v>
      </c>
      <c r="I807" s="5">
        <f t="shared" si="38"/>
        <v>0</v>
      </c>
    </row>
    <row r="808" spans="1:9" ht="18" customHeight="1" x14ac:dyDescent="0.25">
      <c r="A808" s="2" t="s">
        <v>1568</v>
      </c>
      <c r="B808" s="2" t="s">
        <v>1569</v>
      </c>
      <c r="C808" s="3">
        <v>1</v>
      </c>
      <c r="D808" s="3">
        <v>6</v>
      </c>
      <c r="E808" s="2" t="str">
        <f t="shared" si="36"/>
        <v>REORDER NOW</v>
      </c>
      <c r="F808" s="2"/>
      <c r="G808" s="2"/>
      <c r="H808" s="3">
        <f t="shared" si="37"/>
        <v>3</v>
      </c>
      <c r="I808" s="3">
        <f t="shared" si="38"/>
        <v>0.3</v>
      </c>
    </row>
    <row r="809" spans="1:9" ht="18" customHeight="1" x14ac:dyDescent="0.25">
      <c r="A809" s="4" t="s">
        <v>1570</v>
      </c>
      <c r="B809" s="4" t="s">
        <v>1571</v>
      </c>
      <c r="C809" s="5">
        <v>0</v>
      </c>
      <c r="D809" s="5">
        <v>6</v>
      </c>
      <c r="E809" s="4" t="str">
        <f t="shared" si="36"/>
        <v>REORDER NOW</v>
      </c>
      <c r="F809" s="4"/>
      <c r="G809" s="4"/>
      <c r="H809" s="5">
        <f t="shared" si="37"/>
        <v>3</v>
      </c>
      <c r="I809" s="5">
        <f t="shared" si="38"/>
        <v>0</v>
      </c>
    </row>
    <row r="810" spans="1:9" ht="18" customHeight="1" x14ac:dyDescent="0.25">
      <c r="A810" s="2" t="s">
        <v>1572</v>
      </c>
      <c r="B810" s="2" t="s">
        <v>1573</v>
      </c>
      <c r="C810" s="3">
        <v>0</v>
      </c>
      <c r="D810" s="3">
        <v>6</v>
      </c>
      <c r="E810" s="2" t="str">
        <f t="shared" si="36"/>
        <v>REORDER NOW</v>
      </c>
      <c r="F810" s="2"/>
      <c r="G810" s="2"/>
      <c r="H810" s="3">
        <f t="shared" si="37"/>
        <v>3</v>
      </c>
      <c r="I810" s="3">
        <f t="shared" si="38"/>
        <v>0</v>
      </c>
    </row>
    <row r="811" spans="1:9" ht="18" customHeight="1" x14ac:dyDescent="0.25">
      <c r="A811" s="4" t="s">
        <v>1574</v>
      </c>
      <c r="B811" s="4" t="s">
        <v>1575</v>
      </c>
      <c r="C811" s="5">
        <v>0</v>
      </c>
      <c r="D811" s="5">
        <v>6</v>
      </c>
      <c r="E811" s="4" t="str">
        <f t="shared" si="36"/>
        <v>REORDER NOW</v>
      </c>
      <c r="F811" s="4"/>
      <c r="G811" s="4"/>
      <c r="H811" s="5">
        <f t="shared" si="37"/>
        <v>3</v>
      </c>
      <c r="I811" s="5">
        <f t="shared" si="38"/>
        <v>0</v>
      </c>
    </row>
    <row r="812" spans="1:9" ht="18" customHeight="1" x14ac:dyDescent="0.25">
      <c r="A812" s="2" t="s">
        <v>1576</v>
      </c>
      <c r="B812" s="2" t="s">
        <v>1577</v>
      </c>
      <c r="C812" s="3">
        <v>3</v>
      </c>
      <c r="D812" s="3">
        <v>6</v>
      </c>
      <c r="E812" s="2" t="str">
        <f t="shared" si="36"/>
        <v>REORDER NOW</v>
      </c>
      <c r="F812" s="2"/>
      <c r="G812" s="2"/>
      <c r="H812" s="3">
        <f t="shared" si="37"/>
        <v>3</v>
      </c>
      <c r="I812" s="3">
        <f t="shared" si="38"/>
        <v>1</v>
      </c>
    </row>
    <row r="813" spans="1:9" ht="18" customHeight="1" x14ac:dyDescent="0.25">
      <c r="A813" s="4" t="s">
        <v>1578</v>
      </c>
      <c r="B813" s="4" t="s">
        <v>1579</v>
      </c>
      <c r="C813" s="5">
        <v>0</v>
      </c>
      <c r="D813" s="5">
        <v>6</v>
      </c>
      <c r="E813" s="4" t="str">
        <f t="shared" si="36"/>
        <v>REORDER NOW</v>
      </c>
      <c r="F813" s="4"/>
      <c r="G813" s="4"/>
      <c r="H813" s="5">
        <f t="shared" si="37"/>
        <v>3</v>
      </c>
      <c r="I813" s="5">
        <f t="shared" si="38"/>
        <v>0</v>
      </c>
    </row>
    <row r="814" spans="1:9" ht="18" customHeight="1" x14ac:dyDescent="0.25">
      <c r="A814" s="2" t="s">
        <v>1580</v>
      </c>
      <c r="B814" s="2" t="s">
        <v>1581</v>
      </c>
      <c r="C814" s="3">
        <v>0</v>
      </c>
      <c r="D814" s="3">
        <v>6</v>
      </c>
      <c r="E814" s="2" t="str">
        <f t="shared" si="36"/>
        <v>REORDER NOW</v>
      </c>
      <c r="F814" s="2"/>
      <c r="G814" s="2"/>
      <c r="H814" s="3">
        <f t="shared" si="37"/>
        <v>3</v>
      </c>
      <c r="I814" s="3">
        <f t="shared" si="38"/>
        <v>0</v>
      </c>
    </row>
    <row r="815" spans="1:9" ht="18" customHeight="1" x14ac:dyDescent="0.25">
      <c r="A815" s="4" t="s">
        <v>1582</v>
      </c>
      <c r="B815" s="4" t="s">
        <v>1583</v>
      </c>
      <c r="C815" s="5">
        <v>70</v>
      </c>
      <c r="D815" s="5">
        <v>40</v>
      </c>
      <c r="E815" s="4" t="str">
        <f t="shared" si="36"/>
        <v>OK</v>
      </c>
      <c r="F815" s="4"/>
      <c r="G815" s="4"/>
      <c r="H815" s="5">
        <f t="shared" si="37"/>
        <v>20</v>
      </c>
      <c r="I815" s="5">
        <f t="shared" si="38"/>
        <v>3.5</v>
      </c>
    </row>
    <row r="816" spans="1:9" ht="18" customHeight="1" x14ac:dyDescent="0.25">
      <c r="A816" s="2" t="s">
        <v>1584</v>
      </c>
      <c r="B816" s="2" t="s">
        <v>1585</v>
      </c>
      <c r="C816" s="3">
        <v>0</v>
      </c>
      <c r="D816" s="3">
        <v>6</v>
      </c>
      <c r="E816" s="2" t="str">
        <f t="shared" si="36"/>
        <v>REORDER NOW</v>
      </c>
      <c r="F816" s="2"/>
      <c r="G816" s="2"/>
      <c r="H816" s="3">
        <f t="shared" si="37"/>
        <v>3</v>
      </c>
      <c r="I816" s="3">
        <f t="shared" si="38"/>
        <v>0</v>
      </c>
    </row>
    <row r="817" spans="1:9" ht="18" customHeight="1" x14ac:dyDescent="0.25">
      <c r="A817" s="4" t="s">
        <v>1586</v>
      </c>
      <c r="B817" s="4" t="s">
        <v>1587</v>
      </c>
      <c r="C817" s="5">
        <v>0</v>
      </c>
      <c r="D817" s="5">
        <v>6</v>
      </c>
      <c r="E817" s="4" t="str">
        <f t="shared" si="36"/>
        <v>REORDER NOW</v>
      </c>
      <c r="F817" s="4"/>
      <c r="G817" s="4"/>
      <c r="H817" s="5">
        <f t="shared" si="37"/>
        <v>3</v>
      </c>
      <c r="I817" s="5">
        <f t="shared" si="38"/>
        <v>0</v>
      </c>
    </row>
    <row r="818" spans="1:9" ht="18" customHeight="1" x14ac:dyDescent="0.25">
      <c r="A818" s="2" t="s">
        <v>1588</v>
      </c>
      <c r="B818" s="2" t="s">
        <v>1589</v>
      </c>
      <c r="C818" s="3">
        <v>0</v>
      </c>
      <c r="D818" s="3">
        <v>6</v>
      </c>
      <c r="E818" s="2" t="str">
        <f t="shared" si="36"/>
        <v>REORDER NOW</v>
      </c>
      <c r="F818" s="2"/>
      <c r="G818" s="2"/>
      <c r="H818" s="3">
        <f t="shared" si="37"/>
        <v>3</v>
      </c>
      <c r="I818" s="3">
        <f t="shared" si="38"/>
        <v>0</v>
      </c>
    </row>
    <row r="819" spans="1:9" ht="18" customHeight="1" x14ac:dyDescent="0.25">
      <c r="A819" s="4" t="s">
        <v>1590</v>
      </c>
      <c r="B819" s="4" t="s">
        <v>1591</v>
      </c>
      <c r="C819" s="5">
        <v>2</v>
      </c>
      <c r="D819" s="5">
        <v>6</v>
      </c>
      <c r="E819" s="4" t="str">
        <f t="shared" si="36"/>
        <v>REORDER NOW</v>
      </c>
      <c r="F819" s="4"/>
      <c r="G819" s="4"/>
      <c r="H819" s="5">
        <f t="shared" si="37"/>
        <v>3</v>
      </c>
      <c r="I819" s="5">
        <f t="shared" si="38"/>
        <v>0.7</v>
      </c>
    </row>
    <row r="820" spans="1:9" ht="18" customHeight="1" x14ac:dyDescent="0.25">
      <c r="A820" s="2" t="s">
        <v>1592</v>
      </c>
      <c r="B820" s="2" t="s">
        <v>1593</v>
      </c>
      <c r="C820" s="3">
        <v>0</v>
      </c>
      <c r="D820" s="3">
        <v>6</v>
      </c>
      <c r="E820" s="2" t="str">
        <f t="shared" si="36"/>
        <v>REORDER NOW</v>
      </c>
      <c r="F820" s="2"/>
      <c r="G820" s="2"/>
      <c r="H820" s="3">
        <f t="shared" si="37"/>
        <v>3</v>
      </c>
      <c r="I820" s="3">
        <f t="shared" si="38"/>
        <v>0</v>
      </c>
    </row>
    <row r="821" spans="1:9" ht="18" customHeight="1" x14ac:dyDescent="0.25">
      <c r="A821" s="4" t="s">
        <v>1594</v>
      </c>
      <c r="B821" s="4" t="s">
        <v>1595</v>
      </c>
      <c r="C821" s="5">
        <v>0</v>
      </c>
      <c r="D821" s="5">
        <v>6</v>
      </c>
      <c r="E821" s="4" t="str">
        <f t="shared" si="36"/>
        <v>REORDER NOW</v>
      </c>
      <c r="F821" s="4"/>
      <c r="G821" s="4"/>
      <c r="H821" s="5">
        <f t="shared" si="37"/>
        <v>3</v>
      </c>
      <c r="I821" s="5">
        <f t="shared" si="38"/>
        <v>0</v>
      </c>
    </row>
    <row r="822" spans="1:9" ht="18" customHeight="1" x14ac:dyDescent="0.25">
      <c r="A822" s="2" t="s">
        <v>1596</v>
      </c>
      <c r="B822" s="2" t="s">
        <v>1597</v>
      </c>
      <c r="C822" s="3">
        <v>0</v>
      </c>
      <c r="D822" s="3">
        <v>6</v>
      </c>
      <c r="E822" s="2" t="str">
        <f t="shared" si="36"/>
        <v>REORDER NOW</v>
      </c>
      <c r="F822" s="2"/>
      <c r="G822" s="2"/>
      <c r="H822" s="3">
        <f t="shared" si="37"/>
        <v>3</v>
      </c>
      <c r="I822" s="3">
        <f t="shared" si="38"/>
        <v>0</v>
      </c>
    </row>
    <row r="823" spans="1:9" ht="18" customHeight="1" x14ac:dyDescent="0.25">
      <c r="A823" s="4" t="s">
        <v>1598</v>
      </c>
      <c r="B823" s="4" t="s">
        <v>1599</v>
      </c>
      <c r="C823" s="5">
        <v>0</v>
      </c>
      <c r="D823" s="5">
        <v>6</v>
      </c>
      <c r="E823" s="4" t="str">
        <f t="shared" si="36"/>
        <v>REORDER NOW</v>
      </c>
      <c r="F823" s="4"/>
      <c r="G823" s="4"/>
      <c r="H823" s="5">
        <f t="shared" si="37"/>
        <v>3</v>
      </c>
      <c r="I823" s="5">
        <f t="shared" si="38"/>
        <v>0</v>
      </c>
    </row>
    <row r="824" spans="1:9" ht="18" customHeight="1" x14ac:dyDescent="0.25">
      <c r="A824" s="2" t="s">
        <v>1600</v>
      </c>
      <c r="B824" s="2" t="s">
        <v>1601</v>
      </c>
      <c r="C824" s="3">
        <v>0</v>
      </c>
      <c r="D824" s="3">
        <v>6</v>
      </c>
      <c r="E824" s="2" t="str">
        <f t="shared" si="36"/>
        <v>REORDER NOW</v>
      </c>
      <c r="F824" s="2"/>
      <c r="G824" s="2"/>
      <c r="H824" s="3">
        <f t="shared" si="37"/>
        <v>3</v>
      </c>
      <c r="I824" s="3">
        <f t="shared" si="38"/>
        <v>0</v>
      </c>
    </row>
    <row r="825" spans="1:9" ht="18" customHeight="1" x14ac:dyDescent="0.25">
      <c r="A825" s="4" t="s">
        <v>1602</v>
      </c>
      <c r="B825" s="4" t="s">
        <v>1603</v>
      </c>
      <c r="C825" s="5">
        <v>0</v>
      </c>
      <c r="D825" s="5">
        <v>6</v>
      </c>
      <c r="E825" s="4" t="str">
        <f t="shared" si="36"/>
        <v>REORDER NOW</v>
      </c>
      <c r="F825" s="4"/>
      <c r="G825" s="4"/>
      <c r="H825" s="5">
        <f t="shared" si="37"/>
        <v>3</v>
      </c>
      <c r="I825" s="5">
        <f t="shared" si="38"/>
        <v>0</v>
      </c>
    </row>
    <row r="826" spans="1:9" ht="18" customHeight="1" x14ac:dyDescent="0.25">
      <c r="A826" s="2" t="s">
        <v>1604</v>
      </c>
      <c r="B826" s="2" t="s">
        <v>1605</v>
      </c>
      <c r="C826" s="3">
        <v>1</v>
      </c>
      <c r="D826" s="3">
        <v>6</v>
      </c>
      <c r="E826" s="2" t="str">
        <f t="shared" si="36"/>
        <v>REORDER NOW</v>
      </c>
      <c r="F826" s="2"/>
      <c r="G826" s="2"/>
      <c r="H826" s="3">
        <f t="shared" si="37"/>
        <v>3</v>
      </c>
      <c r="I826" s="3">
        <f t="shared" si="38"/>
        <v>0.3</v>
      </c>
    </row>
    <row r="827" spans="1:9" ht="18" customHeight="1" x14ac:dyDescent="0.25">
      <c r="A827" s="4" t="s">
        <v>1606</v>
      </c>
      <c r="B827" s="4" t="s">
        <v>1607</v>
      </c>
      <c r="C827" s="5">
        <v>0</v>
      </c>
      <c r="D827" s="5">
        <v>6</v>
      </c>
      <c r="E827" s="4" t="str">
        <f t="shared" si="36"/>
        <v>REORDER NOW</v>
      </c>
      <c r="F827" s="4"/>
      <c r="G827" s="4"/>
      <c r="H827" s="5">
        <f t="shared" si="37"/>
        <v>3</v>
      </c>
      <c r="I827" s="5">
        <f t="shared" si="38"/>
        <v>0</v>
      </c>
    </row>
    <row r="828" spans="1:9" ht="18" customHeight="1" x14ac:dyDescent="0.25">
      <c r="A828" s="2" t="s">
        <v>1608</v>
      </c>
      <c r="B828" s="2" t="s">
        <v>1609</v>
      </c>
      <c r="C828" s="3">
        <v>10</v>
      </c>
      <c r="D828" s="3">
        <v>10</v>
      </c>
      <c r="E828" s="2" t="str">
        <f t="shared" si="36"/>
        <v>REORDER NOW</v>
      </c>
      <c r="F828" s="2"/>
      <c r="G828" s="2"/>
      <c r="H828" s="3">
        <f t="shared" si="37"/>
        <v>5</v>
      </c>
      <c r="I828" s="3">
        <f t="shared" si="38"/>
        <v>2</v>
      </c>
    </row>
    <row r="829" spans="1:9" ht="18" customHeight="1" x14ac:dyDescent="0.25">
      <c r="A829" s="4" t="s">
        <v>1610</v>
      </c>
      <c r="B829" s="4" t="s">
        <v>1611</v>
      </c>
      <c r="C829" s="5">
        <v>10</v>
      </c>
      <c r="D829" s="5">
        <v>10</v>
      </c>
      <c r="E829" s="4" t="str">
        <f t="shared" si="36"/>
        <v>REORDER NOW</v>
      </c>
      <c r="F829" s="4"/>
      <c r="G829" s="4"/>
      <c r="H829" s="5">
        <f t="shared" si="37"/>
        <v>5</v>
      </c>
      <c r="I829" s="5">
        <f t="shared" si="38"/>
        <v>2</v>
      </c>
    </row>
    <row r="830" spans="1:9" ht="18" customHeight="1" x14ac:dyDescent="0.25">
      <c r="A830" s="2" t="s">
        <v>1612</v>
      </c>
      <c r="B830" s="2" t="s">
        <v>243</v>
      </c>
      <c r="C830" s="3">
        <v>9</v>
      </c>
      <c r="D830" s="3">
        <v>10</v>
      </c>
      <c r="E830" s="2" t="str">
        <f t="shared" si="36"/>
        <v>REORDER NOW</v>
      </c>
      <c r="F830" s="2"/>
      <c r="G830" s="2"/>
      <c r="H830" s="3">
        <f t="shared" si="37"/>
        <v>5</v>
      </c>
      <c r="I830" s="3">
        <f t="shared" si="38"/>
        <v>1.8</v>
      </c>
    </row>
    <row r="831" spans="1:9" ht="18" customHeight="1" x14ac:dyDescent="0.25">
      <c r="A831" s="4" t="s">
        <v>1613</v>
      </c>
      <c r="B831" s="4" t="s">
        <v>1614</v>
      </c>
      <c r="C831" s="5">
        <v>4</v>
      </c>
      <c r="D831" s="5">
        <v>6</v>
      </c>
      <c r="E831" s="4" t="str">
        <f t="shared" si="36"/>
        <v>REORDER NOW</v>
      </c>
      <c r="F831" s="4"/>
      <c r="G831" s="4"/>
      <c r="H831" s="5">
        <f t="shared" si="37"/>
        <v>3</v>
      </c>
      <c r="I831" s="5">
        <f t="shared" si="38"/>
        <v>1.3</v>
      </c>
    </row>
    <row r="832" spans="1:9" ht="18" customHeight="1" x14ac:dyDescent="0.25">
      <c r="A832" s="2" t="s">
        <v>1615</v>
      </c>
      <c r="B832" s="2" t="s">
        <v>1616</v>
      </c>
      <c r="C832" s="3">
        <v>0</v>
      </c>
      <c r="D832" s="3">
        <v>6</v>
      </c>
      <c r="E832" s="2" t="str">
        <f t="shared" si="36"/>
        <v>REORDER NOW</v>
      </c>
      <c r="F832" s="2"/>
      <c r="G832" s="2"/>
      <c r="H832" s="3">
        <f t="shared" si="37"/>
        <v>3</v>
      </c>
      <c r="I832" s="3">
        <f t="shared" si="38"/>
        <v>0</v>
      </c>
    </row>
    <row r="833" spans="1:9" ht="18" customHeight="1" x14ac:dyDescent="0.25">
      <c r="A833" s="4" t="s">
        <v>1617</v>
      </c>
      <c r="B833" s="4" t="s">
        <v>1618</v>
      </c>
      <c r="C833" s="5">
        <v>4</v>
      </c>
      <c r="D833" s="5">
        <v>6</v>
      </c>
      <c r="E833" s="4" t="str">
        <f t="shared" si="36"/>
        <v>REORDER NOW</v>
      </c>
      <c r="F833" s="4"/>
      <c r="G833" s="4"/>
      <c r="H833" s="5">
        <f t="shared" si="37"/>
        <v>3</v>
      </c>
      <c r="I833" s="5">
        <f t="shared" si="38"/>
        <v>1.3</v>
      </c>
    </row>
    <row r="834" spans="1:9" ht="18" customHeight="1" x14ac:dyDescent="0.25">
      <c r="A834" s="2" t="s">
        <v>1619</v>
      </c>
      <c r="B834" s="2" t="s">
        <v>1620</v>
      </c>
      <c r="C834" s="3">
        <v>0</v>
      </c>
      <c r="D834" s="3">
        <v>6</v>
      </c>
      <c r="E834" s="2" t="str">
        <f t="shared" si="36"/>
        <v>REORDER NOW</v>
      </c>
      <c r="F834" s="2"/>
      <c r="G834" s="2"/>
      <c r="H834" s="3">
        <f t="shared" si="37"/>
        <v>3</v>
      </c>
      <c r="I834" s="3">
        <f t="shared" si="38"/>
        <v>0</v>
      </c>
    </row>
    <row r="835" spans="1:9" ht="18" customHeight="1" x14ac:dyDescent="0.25">
      <c r="A835" s="4" t="s">
        <v>1621</v>
      </c>
      <c r="B835" s="4" t="s">
        <v>1622</v>
      </c>
      <c r="C835" s="5">
        <v>0</v>
      </c>
      <c r="D835" s="5">
        <v>6</v>
      </c>
      <c r="E835" s="4" t="str">
        <f t="shared" si="36"/>
        <v>REORDER NOW</v>
      </c>
      <c r="F835" s="4"/>
      <c r="G835" s="4"/>
      <c r="H835" s="5">
        <f t="shared" si="37"/>
        <v>3</v>
      </c>
      <c r="I835" s="5">
        <f t="shared" si="38"/>
        <v>0</v>
      </c>
    </row>
    <row r="836" spans="1:9" ht="18" customHeight="1" x14ac:dyDescent="0.25">
      <c r="A836" s="2" t="s">
        <v>1623</v>
      </c>
      <c r="B836" s="2" t="s">
        <v>1624</v>
      </c>
      <c r="C836" s="3">
        <v>2</v>
      </c>
      <c r="D836" s="3">
        <v>6</v>
      </c>
      <c r="E836" s="2" t="str">
        <f t="shared" ref="E836:E899" si="39">IF(C836&lt;=D836,"REORDER NOW","OK")</f>
        <v>REORDER NOW</v>
      </c>
      <c r="F836" s="2"/>
      <c r="G836" s="2"/>
      <c r="H836" s="3">
        <f t="shared" ref="H836:H899" si="40">D836/2</f>
        <v>3</v>
      </c>
      <c r="I836" s="3">
        <f t="shared" ref="I836:I899" si="41">IF(H836=0,"N/A",ROUND(C836/H836,1))</f>
        <v>0.7</v>
      </c>
    </row>
    <row r="837" spans="1:9" ht="18" customHeight="1" x14ac:dyDescent="0.25">
      <c r="A837" s="4" t="s">
        <v>1625</v>
      </c>
      <c r="B837" s="4" t="s">
        <v>1626</v>
      </c>
      <c r="C837" s="5">
        <v>0</v>
      </c>
      <c r="D837" s="5">
        <v>6</v>
      </c>
      <c r="E837" s="4" t="str">
        <f t="shared" si="39"/>
        <v>REORDER NOW</v>
      </c>
      <c r="F837" s="4"/>
      <c r="G837" s="4"/>
      <c r="H837" s="5">
        <f t="shared" si="40"/>
        <v>3</v>
      </c>
      <c r="I837" s="5">
        <f t="shared" si="41"/>
        <v>0</v>
      </c>
    </row>
    <row r="838" spans="1:9" ht="18" customHeight="1" x14ac:dyDescent="0.25">
      <c r="A838" s="2" t="s">
        <v>1627</v>
      </c>
      <c r="B838" s="2" t="s">
        <v>1628</v>
      </c>
      <c r="C838" s="3">
        <v>0</v>
      </c>
      <c r="D838" s="3">
        <v>6</v>
      </c>
      <c r="E838" s="2" t="str">
        <f t="shared" si="39"/>
        <v>REORDER NOW</v>
      </c>
      <c r="F838" s="2"/>
      <c r="G838" s="2"/>
      <c r="H838" s="3">
        <f t="shared" si="40"/>
        <v>3</v>
      </c>
      <c r="I838" s="3">
        <f t="shared" si="41"/>
        <v>0</v>
      </c>
    </row>
    <row r="839" spans="1:9" ht="18" customHeight="1" x14ac:dyDescent="0.25">
      <c r="A839" s="4" t="s">
        <v>1629</v>
      </c>
      <c r="B839" s="4" t="s">
        <v>1630</v>
      </c>
      <c r="C839" s="5">
        <v>10</v>
      </c>
      <c r="D839" s="5">
        <v>10</v>
      </c>
      <c r="E839" s="4" t="str">
        <f t="shared" si="39"/>
        <v>REORDER NOW</v>
      </c>
      <c r="F839" s="4"/>
      <c r="G839" s="4"/>
      <c r="H839" s="5">
        <f t="shared" si="40"/>
        <v>5</v>
      </c>
      <c r="I839" s="5">
        <f t="shared" si="41"/>
        <v>2</v>
      </c>
    </row>
    <row r="840" spans="1:9" ht="18" customHeight="1" x14ac:dyDescent="0.25">
      <c r="A840" s="2" t="s">
        <v>1631</v>
      </c>
      <c r="B840" s="2" t="s">
        <v>1632</v>
      </c>
      <c r="C840" s="3">
        <v>0</v>
      </c>
      <c r="D840" s="3">
        <v>6</v>
      </c>
      <c r="E840" s="2" t="str">
        <f t="shared" si="39"/>
        <v>REORDER NOW</v>
      </c>
      <c r="F840" s="2"/>
      <c r="G840" s="2"/>
      <c r="H840" s="3">
        <f t="shared" si="40"/>
        <v>3</v>
      </c>
      <c r="I840" s="3">
        <f t="shared" si="41"/>
        <v>0</v>
      </c>
    </row>
    <row r="841" spans="1:9" ht="18" customHeight="1" x14ac:dyDescent="0.25">
      <c r="A841" s="4" t="s">
        <v>1633</v>
      </c>
      <c r="B841" s="4" t="s">
        <v>1634</v>
      </c>
      <c r="C841" s="5">
        <v>0</v>
      </c>
      <c r="D841" s="5">
        <v>6</v>
      </c>
      <c r="E841" s="4" t="str">
        <f t="shared" si="39"/>
        <v>REORDER NOW</v>
      </c>
      <c r="F841" s="4"/>
      <c r="G841" s="4"/>
      <c r="H841" s="5">
        <f t="shared" si="40"/>
        <v>3</v>
      </c>
      <c r="I841" s="5">
        <f t="shared" si="41"/>
        <v>0</v>
      </c>
    </row>
    <row r="842" spans="1:9" ht="18" customHeight="1" x14ac:dyDescent="0.25">
      <c r="A842" s="2" t="s">
        <v>1635</v>
      </c>
      <c r="B842" s="2" t="s">
        <v>1636</v>
      </c>
      <c r="C842" s="3">
        <v>57</v>
      </c>
      <c r="D842" s="3">
        <v>40</v>
      </c>
      <c r="E842" s="2" t="str">
        <f t="shared" si="39"/>
        <v>OK</v>
      </c>
      <c r="F842" s="2"/>
      <c r="G842" s="2"/>
      <c r="H842" s="3">
        <f t="shared" si="40"/>
        <v>20</v>
      </c>
      <c r="I842" s="3">
        <f t="shared" si="41"/>
        <v>2.9</v>
      </c>
    </row>
    <row r="843" spans="1:9" ht="18" customHeight="1" x14ac:dyDescent="0.25">
      <c r="A843" s="4" t="s">
        <v>1637</v>
      </c>
      <c r="B843" s="4" t="s">
        <v>1638</v>
      </c>
      <c r="C843" s="5">
        <v>2</v>
      </c>
      <c r="D843" s="5">
        <v>6</v>
      </c>
      <c r="E843" s="4" t="str">
        <f t="shared" si="39"/>
        <v>REORDER NOW</v>
      </c>
      <c r="F843" s="4"/>
      <c r="G843" s="4"/>
      <c r="H843" s="5">
        <f t="shared" si="40"/>
        <v>3</v>
      </c>
      <c r="I843" s="5">
        <f t="shared" si="41"/>
        <v>0.7</v>
      </c>
    </row>
    <row r="844" spans="1:9" ht="18" customHeight="1" x14ac:dyDescent="0.25">
      <c r="A844" s="2" t="s">
        <v>1639</v>
      </c>
      <c r="B844" s="2" t="s">
        <v>1640</v>
      </c>
      <c r="C844" s="3">
        <v>26</v>
      </c>
      <c r="D844" s="3">
        <v>20</v>
      </c>
      <c r="E844" s="2" t="str">
        <f t="shared" si="39"/>
        <v>OK</v>
      </c>
      <c r="F844" s="2"/>
      <c r="G844" s="2"/>
      <c r="H844" s="3">
        <f t="shared" si="40"/>
        <v>10</v>
      </c>
      <c r="I844" s="3">
        <f t="shared" si="41"/>
        <v>2.6</v>
      </c>
    </row>
    <row r="845" spans="1:9" ht="18" customHeight="1" x14ac:dyDescent="0.25">
      <c r="A845" s="4" t="s">
        <v>1641</v>
      </c>
      <c r="B845" s="4" t="s">
        <v>1642</v>
      </c>
      <c r="C845" s="5">
        <v>1</v>
      </c>
      <c r="D845" s="5">
        <v>6</v>
      </c>
      <c r="E845" s="4" t="str">
        <f t="shared" si="39"/>
        <v>REORDER NOW</v>
      </c>
      <c r="F845" s="4"/>
      <c r="G845" s="4"/>
      <c r="H845" s="5">
        <f t="shared" si="40"/>
        <v>3</v>
      </c>
      <c r="I845" s="5">
        <f t="shared" si="41"/>
        <v>0.3</v>
      </c>
    </row>
    <row r="846" spans="1:9" ht="18" customHeight="1" x14ac:dyDescent="0.25">
      <c r="A846" s="2" t="s">
        <v>1643</v>
      </c>
      <c r="B846" s="2" t="s">
        <v>1644</v>
      </c>
      <c r="C846" s="3">
        <v>0</v>
      </c>
      <c r="D846" s="3">
        <v>6</v>
      </c>
      <c r="E846" s="2" t="str">
        <f t="shared" si="39"/>
        <v>REORDER NOW</v>
      </c>
      <c r="F846" s="2"/>
      <c r="G846" s="2"/>
      <c r="H846" s="3">
        <f t="shared" si="40"/>
        <v>3</v>
      </c>
      <c r="I846" s="3">
        <f t="shared" si="41"/>
        <v>0</v>
      </c>
    </row>
    <row r="847" spans="1:9" ht="18" customHeight="1" x14ac:dyDescent="0.25">
      <c r="A847" s="4" t="s">
        <v>1645</v>
      </c>
      <c r="B847" s="4" t="s">
        <v>1646</v>
      </c>
      <c r="C847" s="5">
        <v>3</v>
      </c>
      <c r="D847" s="5">
        <v>6</v>
      </c>
      <c r="E847" s="4" t="str">
        <f t="shared" si="39"/>
        <v>REORDER NOW</v>
      </c>
      <c r="F847" s="4"/>
      <c r="G847" s="4"/>
      <c r="H847" s="5">
        <f t="shared" si="40"/>
        <v>3</v>
      </c>
      <c r="I847" s="5">
        <f t="shared" si="41"/>
        <v>1</v>
      </c>
    </row>
    <row r="848" spans="1:9" ht="18" customHeight="1" x14ac:dyDescent="0.25">
      <c r="A848" s="2" t="s">
        <v>1647</v>
      </c>
      <c r="B848" s="2" t="s">
        <v>1648</v>
      </c>
      <c r="C848" s="3">
        <v>2</v>
      </c>
      <c r="D848" s="3">
        <v>6</v>
      </c>
      <c r="E848" s="2" t="str">
        <f t="shared" si="39"/>
        <v>REORDER NOW</v>
      </c>
      <c r="F848" s="2"/>
      <c r="G848" s="2"/>
      <c r="H848" s="3">
        <f t="shared" si="40"/>
        <v>3</v>
      </c>
      <c r="I848" s="3">
        <f t="shared" si="41"/>
        <v>0.7</v>
      </c>
    </row>
    <row r="849" spans="1:9" ht="18" customHeight="1" x14ac:dyDescent="0.25">
      <c r="A849" s="4" t="s">
        <v>1649</v>
      </c>
      <c r="B849" s="4" t="s">
        <v>1650</v>
      </c>
      <c r="C849" s="5">
        <v>0</v>
      </c>
      <c r="D849" s="5">
        <v>6</v>
      </c>
      <c r="E849" s="4" t="str">
        <f t="shared" si="39"/>
        <v>REORDER NOW</v>
      </c>
      <c r="F849" s="4"/>
      <c r="G849" s="4"/>
      <c r="H849" s="5">
        <f t="shared" si="40"/>
        <v>3</v>
      </c>
      <c r="I849" s="5">
        <f t="shared" si="41"/>
        <v>0</v>
      </c>
    </row>
    <row r="850" spans="1:9" ht="18" customHeight="1" x14ac:dyDescent="0.25">
      <c r="A850" s="2" t="s">
        <v>1651</v>
      </c>
      <c r="B850" s="2" t="s">
        <v>1652</v>
      </c>
      <c r="C850" s="3">
        <v>2</v>
      </c>
      <c r="D850" s="3">
        <v>6</v>
      </c>
      <c r="E850" s="2" t="str">
        <f t="shared" si="39"/>
        <v>REORDER NOW</v>
      </c>
      <c r="F850" s="2"/>
      <c r="G850" s="2"/>
      <c r="H850" s="3">
        <f t="shared" si="40"/>
        <v>3</v>
      </c>
      <c r="I850" s="3">
        <f t="shared" si="41"/>
        <v>0.7</v>
      </c>
    </row>
    <row r="851" spans="1:9" ht="18" customHeight="1" x14ac:dyDescent="0.25">
      <c r="A851" s="4" t="s">
        <v>1653</v>
      </c>
      <c r="B851" s="4" t="s">
        <v>1654</v>
      </c>
      <c r="C851" s="5">
        <v>0</v>
      </c>
      <c r="D851" s="5">
        <v>6</v>
      </c>
      <c r="E851" s="4" t="str">
        <f t="shared" si="39"/>
        <v>REORDER NOW</v>
      </c>
      <c r="F851" s="4"/>
      <c r="G851" s="4"/>
      <c r="H851" s="5">
        <f t="shared" si="40"/>
        <v>3</v>
      </c>
      <c r="I851" s="5">
        <f t="shared" si="41"/>
        <v>0</v>
      </c>
    </row>
    <row r="852" spans="1:9" ht="18" customHeight="1" x14ac:dyDescent="0.25">
      <c r="A852" s="2" t="s">
        <v>1655</v>
      </c>
      <c r="B852" s="2" t="s">
        <v>1656</v>
      </c>
      <c r="C852" s="3">
        <v>0</v>
      </c>
      <c r="D852" s="3">
        <v>6</v>
      </c>
      <c r="E852" s="2" t="str">
        <f t="shared" si="39"/>
        <v>REORDER NOW</v>
      </c>
      <c r="F852" s="2"/>
      <c r="G852" s="2"/>
      <c r="H852" s="3">
        <f t="shared" si="40"/>
        <v>3</v>
      </c>
      <c r="I852" s="3">
        <f t="shared" si="41"/>
        <v>0</v>
      </c>
    </row>
    <row r="853" spans="1:9" ht="18" customHeight="1" x14ac:dyDescent="0.25">
      <c r="A853" s="4" t="s">
        <v>1657</v>
      </c>
      <c r="B853" s="4" t="s">
        <v>1658</v>
      </c>
      <c r="C853" s="5">
        <v>0</v>
      </c>
      <c r="D853" s="5">
        <v>6</v>
      </c>
      <c r="E853" s="4" t="str">
        <f t="shared" si="39"/>
        <v>REORDER NOW</v>
      </c>
      <c r="F853" s="4"/>
      <c r="G853" s="4"/>
      <c r="H853" s="5">
        <f t="shared" si="40"/>
        <v>3</v>
      </c>
      <c r="I853" s="5">
        <f t="shared" si="41"/>
        <v>0</v>
      </c>
    </row>
    <row r="854" spans="1:9" ht="18" customHeight="1" x14ac:dyDescent="0.25">
      <c r="A854" s="2" t="s">
        <v>1659</v>
      </c>
      <c r="B854" s="2" t="s">
        <v>1660</v>
      </c>
      <c r="C854" s="3">
        <v>0</v>
      </c>
      <c r="D854" s="3">
        <v>6</v>
      </c>
      <c r="E854" s="2" t="str">
        <f t="shared" si="39"/>
        <v>REORDER NOW</v>
      </c>
      <c r="F854" s="2"/>
      <c r="G854" s="2"/>
      <c r="H854" s="3">
        <f t="shared" si="40"/>
        <v>3</v>
      </c>
      <c r="I854" s="3">
        <f t="shared" si="41"/>
        <v>0</v>
      </c>
    </row>
    <row r="855" spans="1:9" ht="18" customHeight="1" x14ac:dyDescent="0.25">
      <c r="A855" s="4" t="s">
        <v>1661</v>
      </c>
      <c r="B855" s="4" t="s">
        <v>1662</v>
      </c>
      <c r="C855" s="5">
        <v>0</v>
      </c>
      <c r="D855" s="5">
        <v>6</v>
      </c>
      <c r="E855" s="4" t="str">
        <f t="shared" si="39"/>
        <v>REORDER NOW</v>
      </c>
      <c r="F855" s="4"/>
      <c r="G855" s="4"/>
      <c r="H855" s="5">
        <f t="shared" si="40"/>
        <v>3</v>
      </c>
      <c r="I855" s="5">
        <f t="shared" si="41"/>
        <v>0</v>
      </c>
    </row>
    <row r="856" spans="1:9" ht="18" customHeight="1" x14ac:dyDescent="0.25">
      <c r="A856" s="2" t="s">
        <v>1663</v>
      </c>
      <c r="B856" s="2" t="s">
        <v>1664</v>
      </c>
      <c r="C856" s="3">
        <v>0</v>
      </c>
      <c r="D856" s="3">
        <v>6</v>
      </c>
      <c r="E856" s="2" t="str">
        <f t="shared" si="39"/>
        <v>REORDER NOW</v>
      </c>
      <c r="F856" s="2"/>
      <c r="G856" s="2"/>
      <c r="H856" s="3">
        <f t="shared" si="40"/>
        <v>3</v>
      </c>
      <c r="I856" s="3">
        <f t="shared" si="41"/>
        <v>0</v>
      </c>
    </row>
    <row r="857" spans="1:9" ht="18" customHeight="1" x14ac:dyDescent="0.25">
      <c r="A857" s="4" t="s">
        <v>1665</v>
      </c>
      <c r="B857" s="4" t="s">
        <v>1666</v>
      </c>
      <c r="C857" s="5">
        <v>169</v>
      </c>
      <c r="D857" s="5">
        <v>100</v>
      </c>
      <c r="E857" s="4" t="str">
        <f t="shared" si="39"/>
        <v>OK</v>
      </c>
      <c r="F857" s="4"/>
      <c r="G857" s="4"/>
      <c r="H857" s="5">
        <f t="shared" si="40"/>
        <v>50</v>
      </c>
      <c r="I857" s="5">
        <f t="shared" si="41"/>
        <v>3.4</v>
      </c>
    </row>
    <row r="858" spans="1:9" ht="18" customHeight="1" x14ac:dyDescent="0.25">
      <c r="A858" s="2" t="s">
        <v>1667</v>
      </c>
      <c r="B858" s="2" t="s">
        <v>1668</v>
      </c>
      <c r="C858" s="3">
        <v>0</v>
      </c>
      <c r="D858" s="3">
        <v>6</v>
      </c>
      <c r="E858" s="2" t="str">
        <f t="shared" si="39"/>
        <v>REORDER NOW</v>
      </c>
      <c r="F858" s="2"/>
      <c r="G858" s="2"/>
      <c r="H858" s="3">
        <f t="shared" si="40"/>
        <v>3</v>
      </c>
      <c r="I858" s="3">
        <f t="shared" si="41"/>
        <v>0</v>
      </c>
    </row>
    <row r="859" spans="1:9" ht="18" customHeight="1" x14ac:dyDescent="0.25">
      <c r="A859" s="4" t="s">
        <v>1669</v>
      </c>
      <c r="B859" s="4" t="s">
        <v>1670</v>
      </c>
      <c r="C859" s="5">
        <v>0</v>
      </c>
      <c r="D859" s="5">
        <v>6</v>
      </c>
      <c r="E859" s="4" t="str">
        <f t="shared" si="39"/>
        <v>REORDER NOW</v>
      </c>
      <c r="F859" s="4"/>
      <c r="G859" s="4"/>
      <c r="H859" s="5">
        <f t="shared" si="40"/>
        <v>3</v>
      </c>
      <c r="I859" s="5">
        <f t="shared" si="41"/>
        <v>0</v>
      </c>
    </row>
    <row r="860" spans="1:9" ht="18" customHeight="1" x14ac:dyDescent="0.25">
      <c r="A860" s="2" t="s">
        <v>1671</v>
      </c>
      <c r="B860" s="2" t="s">
        <v>1672</v>
      </c>
      <c r="C860" s="3">
        <v>2</v>
      </c>
      <c r="D860" s="3">
        <v>6</v>
      </c>
      <c r="E860" s="2" t="str">
        <f t="shared" si="39"/>
        <v>REORDER NOW</v>
      </c>
      <c r="F860" s="2"/>
      <c r="G860" s="2"/>
      <c r="H860" s="3">
        <f t="shared" si="40"/>
        <v>3</v>
      </c>
      <c r="I860" s="3">
        <f t="shared" si="41"/>
        <v>0.7</v>
      </c>
    </row>
    <row r="861" spans="1:9" ht="18" customHeight="1" x14ac:dyDescent="0.25">
      <c r="A861" s="4" t="s">
        <v>1673</v>
      </c>
      <c r="B861" s="4" t="s">
        <v>1674</v>
      </c>
      <c r="C861" s="5">
        <v>0</v>
      </c>
      <c r="D861" s="5">
        <v>6</v>
      </c>
      <c r="E861" s="4" t="str">
        <f t="shared" si="39"/>
        <v>REORDER NOW</v>
      </c>
      <c r="F861" s="4"/>
      <c r="G861" s="4"/>
      <c r="H861" s="5">
        <f t="shared" si="40"/>
        <v>3</v>
      </c>
      <c r="I861" s="5">
        <f t="shared" si="41"/>
        <v>0</v>
      </c>
    </row>
    <row r="862" spans="1:9" ht="18" customHeight="1" x14ac:dyDescent="0.25">
      <c r="A862" s="2" t="s">
        <v>1675</v>
      </c>
      <c r="B862" s="2" t="s">
        <v>1676</v>
      </c>
      <c r="C862" s="3">
        <v>0</v>
      </c>
      <c r="D862" s="3">
        <v>6</v>
      </c>
      <c r="E862" s="2" t="str">
        <f t="shared" si="39"/>
        <v>REORDER NOW</v>
      </c>
      <c r="F862" s="2"/>
      <c r="G862" s="2"/>
      <c r="H862" s="3">
        <f t="shared" si="40"/>
        <v>3</v>
      </c>
      <c r="I862" s="3">
        <f t="shared" si="41"/>
        <v>0</v>
      </c>
    </row>
    <row r="863" spans="1:9" ht="18" customHeight="1" x14ac:dyDescent="0.25">
      <c r="A863" s="4" t="s">
        <v>1677</v>
      </c>
      <c r="B863" s="4" t="s">
        <v>1678</v>
      </c>
      <c r="C863" s="5">
        <v>0</v>
      </c>
      <c r="D863" s="5">
        <v>6</v>
      </c>
      <c r="E863" s="4" t="str">
        <f t="shared" si="39"/>
        <v>REORDER NOW</v>
      </c>
      <c r="F863" s="4"/>
      <c r="G863" s="4"/>
      <c r="H863" s="5">
        <f t="shared" si="40"/>
        <v>3</v>
      </c>
      <c r="I863" s="5">
        <f t="shared" si="41"/>
        <v>0</v>
      </c>
    </row>
    <row r="864" spans="1:9" ht="18" customHeight="1" x14ac:dyDescent="0.25">
      <c r="A864" s="2" t="s">
        <v>1679</v>
      </c>
      <c r="B864" s="2" t="s">
        <v>1680</v>
      </c>
      <c r="C864" s="3">
        <v>5</v>
      </c>
      <c r="D864" s="3">
        <v>6</v>
      </c>
      <c r="E864" s="2" t="str">
        <f t="shared" si="39"/>
        <v>REORDER NOW</v>
      </c>
      <c r="F864" s="2"/>
      <c r="G864" s="2"/>
      <c r="H864" s="3">
        <f t="shared" si="40"/>
        <v>3</v>
      </c>
      <c r="I864" s="3">
        <f t="shared" si="41"/>
        <v>1.7</v>
      </c>
    </row>
    <row r="865" spans="1:9" ht="18" customHeight="1" x14ac:dyDescent="0.25">
      <c r="A865" s="4" t="s">
        <v>1681</v>
      </c>
      <c r="B865" s="4" t="s">
        <v>1682</v>
      </c>
      <c r="C865" s="5">
        <v>0</v>
      </c>
      <c r="D865" s="5">
        <v>6</v>
      </c>
      <c r="E865" s="4" t="str">
        <f t="shared" si="39"/>
        <v>REORDER NOW</v>
      </c>
      <c r="F865" s="4"/>
      <c r="G865" s="4"/>
      <c r="H865" s="5">
        <f t="shared" si="40"/>
        <v>3</v>
      </c>
      <c r="I865" s="5">
        <f t="shared" si="41"/>
        <v>0</v>
      </c>
    </row>
    <row r="866" spans="1:9" ht="18" customHeight="1" x14ac:dyDescent="0.25">
      <c r="A866" s="2" t="s">
        <v>1683</v>
      </c>
      <c r="B866" s="2" t="s">
        <v>1684</v>
      </c>
      <c r="C866" s="3">
        <v>0</v>
      </c>
      <c r="D866" s="3">
        <v>6</v>
      </c>
      <c r="E866" s="2" t="str">
        <f t="shared" si="39"/>
        <v>REORDER NOW</v>
      </c>
      <c r="F866" s="2"/>
      <c r="G866" s="2"/>
      <c r="H866" s="3">
        <f t="shared" si="40"/>
        <v>3</v>
      </c>
      <c r="I866" s="3">
        <f t="shared" si="41"/>
        <v>0</v>
      </c>
    </row>
    <row r="867" spans="1:9" ht="18" customHeight="1" x14ac:dyDescent="0.25">
      <c r="A867" s="4" t="s">
        <v>1685</v>
      </c>
      <c r="B867" s="4" t="s">
        <v>1686</v>
      </c>
      <c r="C867" s="5">
        <v>0</v>
      </c>
      <c r="D867" s="5">
        <v>6</v>
      </c>
      <c r="E867" s="4" t="str">
        <f t="shared" si="39"/>
        <v>REORDER NOW</v>
      </c>
      <c r="F867" s="4"/>
      <c r="G867" s="4"/>
      <c r="H867" s="5">
        <f t="shared" si="40"/>
        <v>3</v>
      </c>
      <c r="I867" s="5">
        <f t="shared" si="41"/>
        <v>0</v>
      </c>
    </row>
    <row r="868" spans="1:9" ht="18" customHeight="1" x14ac:dyDescent="0.25">
      <c r="A868" s="2" t="s">
        <v>1687</v>
      </c>
      <c r="B868" s="2" t="s">
        <v>1688</v>
      </c>
      <c r="C868" s="3">
        <v>44</v>
      </c>
      <c r="D868" s="3">
        <v>20</v>
      </c>
      <c r="E868" s="2" t="str">
        <f t="shared" si="39"/>
        <v>OK</v>
      </c>
      <c r="F868" s="2"/>
      <c r="G868" s="2"/>
      <c r="H868" s="3">
        <f t="shared" si="40"/>
        <v>10</v>
      </c>
      <c r="I868" s="3">
        <f t="shared" si="41"/>
        <v>4.4000000000000004</v>
      </c>
    </row>
    <row r="869" spans="1:9" ht="18" customHeight="1" x14ac:dyDescent="0.25">
      <c r="A869" s="4" t="s">
        <v>1689</v>
      </c>
      <c r="B869" s="4" t="s">
        <v>1690</v>
      </c>
      <c r="C869" s="5">
        <v>0</v>
      </c>
      <c r="D869" s="5">
        <v>6</v>
      </c>
      <c r="E869" s="4" t="str">
        <f t="shared" si="39"/>
        <v>REORDER NOW</v>
      </c>
      <c r="F869" s="4"/>
      <c r="G869" s="4"/>
      <c r="H869" s="5">
        <f t="shared" si="40"/>
        <v>3</v>
      </c>
      <c r="I869" s="5">
        <f t="shared" si="41"/>
        <v>0</v>
      </c>
    </row>
    <row r="870" spans="1:9" ht="18" customHeight="1" x14ac:dyDescent="0.25">
      <c r="A870" s="2" t="s">
        <v>1691</v>
      </c>
      <c r="B870" s="2" t="s">
        <v>1692</v>
      </c>
      <c r="C870" s="3">
        <v>0</v>
      </c>
      <c r="D870" s="3">
        <v>6</v>
      </c>
      <c r="E870" s="2" t="str">
        <f t="shared" si="39"/>
        <v>REORDER NOW</v>
      </c>
      <c r="F870" s="2"/>
      <c r="G870" s="2"/>
      <c r="H870" s="3">
        <f t="shared" si="40"/>
        <v>3</v>
      </c>
      <c r="I870" s="3">
        <f t="shared" si="41"/>
        <v>0</v>
      </c>
    </row>
    <row r="871" spans="1:9" ht="18" customHeight="1" x14ac:dyDescent="0.25">
      <c r="A871" s="4" t="s">
        <v>1693</v>
      </c>
      <c r="B871" s="4" t="s">
        <v>1694</v>
      </c>
      <c r="C871" s="5">
        <v>0</v>
      </c>
      <c r="D871" s="5">
        <v>6</v>
      </c>
      <c r="E871" s="4" t="str">
        <f t="shared" si="39"/>
        <v>REORDER NOW</v>
      </c>
      <c r="F871" s="4"/>
      <c r="G871" s="4"/>
      <c r="H871" s="5">
        <f t="shared" si="40"/>
        <v>3</v>
      </c>
      <c r="I871" s="5">
        <f t="shared" si="41"/>
        <v>0</v>
      </c>
    </row>
    <row r="872" spans="1:9" ht="18" customHeight="1" x14ac:dyDescent="0.25">
      <c r="A872" s="2" t="s">
        <v>1695</v>
      </c>
      <c r="B872" s="2" t="s">
        <v>1696</v>
      </c>
      <c r="C872" s="3">
        <v>0</v>
      </c>
      <c r="D872" s="3">
        <v>6</v>
      </c>
      <c r="E872" s="2" t="str">
        <f t="shared" si="39"/>
        <v>REORDER NOW</v>
      </c>
      <c r="F872" s="2"/>
      <c r="G872" s="2"/>
      <c r="H872" s="3">
        <f t="shared" si="40"/>
        <v>3</v>
      </c>
      <c r="I872" s="3">
        <f t="shared" si="41"/>
        <v>0</v>
      </c>
    </row>
    <row r="873" spans="1:9" ht="18" customHeight="1" x14ac:dyDescent="0.25">
      <c r="A873" s="4" t="s">
        <v>1697</v>
      </c>
      <c r="B873" s="4" t="s">
        <v>1698</v>
      </c>
      <c r="C873" s="5">
        <v>0</v>
      </c>
      <c r="D873" s="5">
        <v>6</v>
      </c>
      <c r="E873" s="4" t="str">
        <f t="shared" si="39"/>
        <v>REORDER NOW</v>
      </c>
      <c r="F873" s="4"/>
      <c r="G873" s="4"/>
      <c r="H873" s="5">
        <f t="shared" si="40"/>
        <v>3</v>
      </c>
      <c r="I873" s="5">
        <f t="shared" si="41"/>
        <v>0</v>
      </c>
    </row>
    <row r="874" spans="1:9" ht="18" customHeight="1" x14ac:dyDescent="0.25">
      <c r="A874" s="2" t="s">
        <v>1699</v>
      </c>
      <c r="B874" s="2" t="s">
        <v>1700</v>
      </c>
      <c r="C874" s="3">
        <v>23</v>
      </c>
      <c r="D874" s="3">
        <v>20</v>
      </c>
      <c r="E874" s="2" t="str">
        <f t="shared" si="39"/>
        <v>OK</v>
      </c>
      <c r="F874" s="2"/>
      <c r="G874" s="2"/>
      <c r="H874" s="3">
        <f t="shared" si="40"/>
        <v>10</v>
      </c>
      <c r="I874" s="3">
        <f t="shared" si="41"/>
        <v>2.2999999999999998</v>
      </c>
    </row>
    <row r="875" spans="1:9" ht="18" customHeight="1" x14ac:dyDescent="0.25">
      <c r="A875" s="4" t="s">
        <v>1701</v>
      </c>
      <c r="B875" s="4" t="s">
        <v>1702</v>
      </c>
      <c r="C875" s="5">
        <v>0</v>
      </c>
      <c r="D875" s="5">
        <v>6</v>
      </c>
      <c r="E875" s="4" t="str">
        <f t="shared" si="39"/>
        <v>REORDER NOW</v>
      </c>
      <c r="F875" s="4"/>
      <c r="G875" s="4"/>
      <c r="H875" s="5">
        <f t="shared" si="40"/>
        <v>3</v>
      </c>
      <c r="I875" s="5">
        <f t="shared" si="41"/>
        <v>0</v>
      </c>
    </row>
    <row r="876" spans="1:9" ht="18" customHeight="1" x14ac:dyDescent="0.25">
      <c r="A876" s="2" t="s">
        <v>1703</v>
      </c>
      <c r="B876" s="2" t="s">
        <v>1704</v>
      </c>
      <c r="C876" s="3">
        <v>43</v>
      </c>
      <c r="D876" s="3">
        <v>20</v>
      </c>
      <c r="E876" s="2" t="str">
        <f t="shared" si="39"/>
        <v>OK</v>
      </c>
      <c r="F876" s="2"/>
      <c r="G876" s="2"/>
      <c r="H876" s="3">
        <f t="shared" si="40"/>
        <v>10</v>
      </c>
      <c r="I876" s="3">
        <f t="shared" si="41"/>
        <v>4.3</v>
      </c>
    </row>
    <row r="877" spans="1:9" ht="18" customHeight="1" x14ac:dyDescent="0.25">
      <c r="A877" s="4" t="s">
        <v>1705</v>
      </c>
      <c r="B877" s="4" t="s">
        <v>1706</v>
      </c>
      <c r="C877" s="5">
        <v>0</v>
      </c>
      <c r="D877" s="5">
        <v>6</v>
      </c>
      <c r="E877" s="4" t="str">
        <f t="shared" si="39"/>
        <v>REORDER NOW</v>
      </c>
      <c r="F877" s="4"/>
      <c r="G877" s="4"/>
      <c r="H877" s="5">
        <f t="shared" si="40"/>
        <v>3</v>
      </c>
      <c r="I877" s="5">
        <f t="shared" si="41"/>
        <v>0</v>
      </c>
    </row>
    <row r="878" spans="1:9" ht="18" customHeight="1" x14ac:dyDescent="0.25">
      <c r="A878" s="2" t="s">
        <v>1707</v>
      </c>
      <c r="B878" s="2" t="s">
        <v>1708</v>
      </c>
      <c r="C878" s="3">
        <v>0</v>
      </c>
      <c r="D878" s="3">
        <v>6</v>
      </c>
      <c r="E878" s="2" t="str">
        <f t="shared" si="39"/>
        <v>REORDER NOW</v>
      </c>
      <c r="F878" s="2"/>
      <c r="G878" s="2"/>
      <c r="H878" s="3">
        <f t="shared" si="40"/>
        <v>3</v>
      </c>
      <c r="I878" s="3">
        <f t="shared" si="41"/>
        <v>0</v>
      </c>
    </row>
    <row r="879" spans="1:9" ht="18" customHeight="1" x14ac:dyDescent="0.25">
      <c r="A879" s="4" t="s">
        <v>1709</v>
      </c>
      <c r="B879" s="4" t="s">
        <v>1710</v>
      </c>
      <c r="C879" s="5">
        <v>43</v>
      </c>
      <c r="D879" s="5">
        <v>20</v>
      </c>
      <c r="E879" s="4" t="str">
        <f t="shared" si="39"/>
        <v>OK</v>
      </c>
      <c r="F879" s="4"/>
      <c r="G879" s="4"/>
      <c r="H879" s="5">
        <f t="shared" si="40"/>
        <v>10</v>
      </c>
      <c r="I879" s="5">
        <f t="shared" si="41"/>
        <v>4.3</v>
      </c>
    </row>
    <row r="880" spans="1:9" ht="18" customHeight="1" x14ac:dyDescent="0.25">
      <c r="A880" s="2" t="s">
        <v>1711</v>
      </c>
      <c r="B880" s="2" t="s">
        <v>1712</v>
      </c>
      <c r="C880" s="3">
        <v>0</v>
      </c>
      <c r="D880" s="3">
        <v>6</v>
      </c>
      <c r="E880" s="2" t="str">
        <f t="shared" si="39"/>
        <v>REORDER NOW</v>
      </c>
      <c r="F880" s="2"/>
      <c r="G880" s="2"/>
      <c r="H880" s="3">
        <f t="shared" si="40"/>
        <v>3</v>
      </c>
      <c r="I880" s="3">
        <f t="shared" si="41"/>
        <v>0</v>
      </c>
    </row>
    <row r="881" spans="1:9" ht="18" customHeight="1" x14ac:dyDescent="0.25">
      <c r="A881" s="4" t="s">
        <v>1713</v>
      </c>
      <c r="B881" s="4" t="s">
        <v>1714</v>
      </c>
      <c r="C881" s="5">
        <v>0</v>
      </c>
      <c r="D881" s="5">
        <v>6</v>
      </c>
      <c r="E881" s="4" t="str">
        <f t="shared" si="39"/>
        <v>REORDER NOW</v>
      </c>
      <c r="F881" s="4"/>
      <c r="G881" s="4"/>
      <c r="H881" s="5">
        <f t="shared" si="40"/>
        <v>3</v>
      </c>
      <c r="I881" s="5">
        <f t="shared" si="41"/>
        <v>0</v>
      </c>
    </row>
    <row r="882" spans="1:9" ht="18" customHeight="1" x14ac:dyDescent="0.25">
      <c r="A882" s="2" t="s">
        <v>1715</v>
      </c>
      <c r="B882" s="2" t="s">
        <v>1716</v>
      </c>
      <c r="C882" s="3">
        <v>0</v>
      </c>
      <c r="D882" s="3">
        <v>6</v>
      </c>
      <c r="E882" s="2" t="str">
        <f t="shared" si="39"/>
        <v>REORDER NOW</v>
      </c>
      <c r="F882" s="2"/>
      <c r="G882" s="2"/>
      <c r="H882" s="3">
        <f t="shared" si="40"/>
        <v>3</v>
      </c>
      <c r="I882" s="3">
        <f t="shared" si="41"/>
        <v>0</v>
      </c>
    </row>
    <row r="883" spans="1:9" ht="18" customHeight="1" x14ac:dyDescent="0.25">
      <c r="A883" s="4" t="s">
        <v>1717</v>
      </c>
      <c r="B883" s="4" t="s">
        <v>1718</v>
      </c>
      <c r="C883" s="5">
        <v>11</v>
      </c>
      <c r="D883" s="5">
        <v>10</v>
      </c>
      <c r="E883" s="4" t="str">
        <f t="shared" si="39"/>
        <v>OK</v>
      </c>
      <c r="F883" s="4"/>
      <c r="G883" s="4"/>
      <c r="H883" s="5">
        <f t="shared" si="40"/>
        <v>5</v>
      </c>
      <c r="I883" s="5">
        <f t="shared" si="41"/>
        <v>2.2000000000000002</v>
      </c>
    </row>
    <row r="884" spans="1:9" ht="18" customHeight="1" x14ac:dyDescent="0.25">
      <c r="A884" s="2" t="s">
        <v>1719</v>
      </c>
      <c r="B884" s="2" t="s">
        <v>1720</v>
      </c>
      <c r="C884" s="3">
        <v>0</v>
      </c>
      <c r="D884" s="3">
        <v>6</v>
      </c>
      <c r="E884" s="2" t="str">
        <f t="shared" si="39"/>
        <v>REORDER NOW</v>
      </c>
      <c r="F884" s="2"/>
      <c r="G884" s="2"/>
      <c r="H884" s="3">
        <f t="shared" si="40"/>
        <v>3</v>
      </c>
      <c r="I884" s="3">
        <f t="shared" si="41"/>
        <v>0</v>
      </c>
    </row>
    <row r="885" spans="1:9" ht="18" customHeight="1" x14ac:dyDescent="0.25">
      <c r="A885" s="4" t="s">
        <v>1721</v>
      </c>
      <c r="B885" s="4" t="s">
        <v>1722</v>
      </c>
      <c r="C885" s="5">
        <v>0</v>
      </c>
      <c r="D885" s="5">
        <v>6</v>
      </c>
      <c r="E885" s="4" t="str">
        <f t="shared" si="39"/>
        <v>REORDER NOW</v>
      </c>
      <c r="F885" s="4"/>
      <c r="G885" s="4"/>
      <c r="H885" s="5">
        <f t="shared" si="40"/>
        <v>3</v>
      </c>
      <c r="I885" s="5">
        <f t="shared" si="41"/>
        <v>0</v>
      </c>
    </row>
    <row r="886" spans="1:9" ht="18" customHeight="1" x14ac:dyDescent="0.25">
      <c r="A886" s="2" t="s">
        <v>1723</v>
      </c>
      <c r="B886" s="2" t="s">
        <v>1724</v>
      </c>
      <c r="C886" s="3">
        <v>0</v>
      </c>
      <c r="D886" s="3">
        <v>6</v>
      </c>
      <c r="E886" s="2" t="str">
        <f t="shared" si="39"/>
        <v>REORDER NOW</v>
      </c>
      <c r="F886" s="2"/>
      <c r="G886" s="2"/>
      <c r="H886" s="3">
        <f t="shared" si="40"/>
        <v>3</v>
      </c>
      <c r="I886" s="3">
        <f t="shared" si="41"/>
        <v>0</v>
      </c>
    </row>
    <row r="887" spans="1:9" ht="18" customHeight="1" x14ac:dyDescent="0.25">
      <c r="A887" s="4" t="s">
        <v>1725</v>
      </c>
      <c r="B887" s="4" t="s">
        <v>1726</v>
      </c>
      <c r="C887" s="5">
        <v>0</v>
      </c>
      <c r="D887" s="5">
        <v>6</v>
      </c>
      <c r="E887" s="4" t="str">
        <f t="shared" si="39"/>
        <v>REORDER NOW</v>
      </c>
      <c r="F887" s="4"/>
      <c r="G887" s="4"/>
      <c r="H887" s="5">
        <f t="shared" si="40"/>
        <v>3</v>
      </c>
      <c r="I887" s="5">
        <f t="shared" si="41"/>
        <v>0</v>
      </c>
    </row>
    <row r="888" spans="1:9" ht="18" customHeight="1" x14ac:dyDescent="0.25">
      <c r="A888" s="2" t="s">
        <v>1727</v>
      </c>
      <c r="B888" s="2" t="s">
        <v>1728</v>
      </c>
      <c r="C888" s="3">
        <v>0</v>
      </c>
      <c r="D888" s="3">
        <v>6</v>
      </c>
      <c r="E888" s="2" t="str">
        <f t="shared" si="39"/>
        <v>REORDER NOW</v>
      </c>
      <c r="F888" s="2"/>
      <c r="G888" s="2"/>
      <c r="H888" s="3">
        <f t="shared" si="40"/>
        <v>3</v>
      </c>
      <c r="I888" s="3">
        <f t="shared" si="41"/>
        <v>0</v>
      </c>
    </row>
    <row r="889" spans="1:9" ht="18" customHeight="1" x14ac:dyDescent="0.25">
      <c r="A889" s="4" t="s">
        <v>1729</v>
      </c>
      <c r="B889" s="4" t="s">
        <v>1730</v>
      </c>
      <c r="C889" s="5">
        <v>4</v>
      </c>
      <c r="D889" s="5">
        <v>6</v>
      </c>
      <c r="E889" s="4" t="str">
        <f t="shared" si="39"/>
        <v>REORDER NOW</v>
      </c>
      <c r="F889" s="4"/>
      <c r="G889" s="4"/>
      <c r="H889" s="5">
        <f t="shared" si="40"/>
        <v>3</v>
      </c>
      <c r="I889" s="5">
        <f t="shared" si="41"/>
        <v>1.3</v>
      </c>
    </row>
    <row r="890" spans="1:9" ht="18" customHeight="1" x14ac:dyDescent="0.25">
      <c r="A890" s="2" t="s">
        <v>1731</v>
      </c>
      <c r="B890" s="2" t="s">
        <v>1732</v>
      </c>
      <c r="C890" s="3">
        <v>0</v>
      </c>
      <c r="D890" s="3">
        <v>6</v>
      </c>
      <c r="E890" s="2" t="str">
        <f t="shared" si="39"/>
        <v>REORDER NOW</v>
      </c>
      <c r="F890" s="2"/>
      <c r="G890" s="2"/>
      <c r="H890" s="3">
        <f t="shared" si="40"/>
        <v>3</v>
      </c>
      <c r="I890" s="3">
        <f t="shared" si="41"/>
        <v>0</v>
      </c>
    </row>
    <row r="891" spans="1:9" ht="18" customHeight="1" x14ac:dyDescent="0.25">
      <c r="A891" s="4" t="s">
        <v>1733</v>
      </c>
      <c r="B891" s="4" t="s">
        <v>1734</v>
      </c>
      <c r="C891" s="5">
        <v>0</v>
      </c>
      <c r="D891" s="5">
        <v>6</v>
      </c>
      <c r="E891" s="4" t="str">
        <f t="shared" si="39"/>
        <v>REORDER NOW</v>
      </c>
      <c r="F891" s="4"/>
      <c r="G891" s="4"/>
      <c r="H891" s="5">
        <f t="shared" si="40"/>
        <v>3</v>
      </c>
      <c r="I891" s="5">
        <f t="shared" si="41"/>
        <v>0</v>
      </c>
    </row>
    <row r="892" spans="1:9" ht="18" customHeight="1" x14ac:dyDescent="0.25">
      <c r="A892" s="2" t="s">
        <v>1735</v>
      </c>
      <c r="B892" s="2" t="s">
        <v>1736</v>
      </c>
      <c r="C892" s="3">
        <v>32</v>
      </c>
      <c r="D892" s="3">
        <v>20</v>
      </c>
      <c r="E892" s="2" t="str">
        <f t="shared" si="39"/>
        <v>OK</v>
      </c>
      <c r="F892" s="2"/>
      <c r="G892" s="2"/>
      <c r="H892" s="3">
        <f t="shared" si="40"/>
        <v>10</v>
      </c>
      <c r="I892" s="3">
        <f t="shared" si="41"/>
        <v>3.2</v>
      </c>
    </row>
    <row r="893" spans="1:9" ht="18" customHeight="1" x14ac:dyDescent="0.25">
      <c r="A893" s="4" t="s">
        <v>1737</v>
      </c>
      <c r="B893" s="4" t="s">
        <v>1738</v>
      </c>
      <c r="C893" s="5">
        <v>1</v>
      </c>
      <c r="D893" s="5">
        <v>6</v>
      </c>
      <c r="E893" s="4" t="str">
        <f t="shared" si="39"/>
        <v>REORDER NOW</v>
      </c>
      <c r="F893" s="4"/>
      <c r="G893" s="4"/>
      <c r="H893" s="5">
        <f t="shared" si="40"/>
        <v>3</v>
      </c>
      <c r="I893" s="5">
        <f t="shared" si="41"/>
        <v>0.3</v>
      </c>
    </row>
    <row r="894" spans="1:9" ht="18" customHeight="1" x14ac:dyDescent="0.25">
      <c r="A894" s="2" t="s">
        <v>1739</v>
      </c>
      <c r="B894" s="2" t="s">
        <v>1740</v>
      </c>
      <c r="C894" s="3">
        <v>0</v>
      </c>
      <c r="D894" s="3">
        <v>6</v>
      </c>
      <c r="E894" s="2" t="str">
        <f t="shared" si="39"/>
        <v>REORDER NOW</v>
      </c>
      <c r="F894" s="2"/>
      <c r="G894" s="2"/>
      <c r="H894" s="3">
        <f t="shared" si="40"/>
        <v>3</v>
      </c>
      <c r="I894" s="3">
        <f t="shared" si="41"/>
        <v>0</v>
      </c>
    </row>
    <row r="895" spans="1:9" ht="18" customHeight="1" x14ac:dyDescent="0.25">
      <c r="A895" s="4" t="s">
        <v>1741</v>
      </c>
      <c r="B895" s="4" t="s">
        <v>1742</v>
      </c>
      <c r="C895" s="5">
        <v>0</v>
      </c>
      <c r="D895" s="5">
        <v>6</v>
      </c>
      <c r="E895" s="4" t="str">
        <f t="shared" si="39"/>
        <v>REORDER NOW</v>
      </c>
      <c r="F895" s="4"/>
      <c r="G895" s="4"/>
      <c r="H895" s="5">
        <f t="shared" si="40"/>
        <v>3</v>
      </c>
      <c r="I895" s="5">
        <f t="shared" si="41"/>
        <v>0</v>
      </c>
    </row>
    <row r="896" spans="1:9" ht="18" customHeight="1" x14ac:dyDescent="0.25">
      <c r="A896" s="2" t="s">
        <v>1743</v>
      </c>
      <c r="B896" s="2" t="s">
        <v>1744</v>
      </c>
      <c r="C896" s="3">
        <v>0</v>
      </c>
      <c r="D896" s="3">
        <v>6</v>
      </c>
      <c r="E896" s="2" t="str">
        <f t="shared" si="39"/>
        <v>REORDER NOW</v>
      </c>
      <c r="F896" s="2"/>
      <c r="G896" s="2"/>
      <c r="H896" s="3">
        <f t="shared" si="40"/>
        <v>3</v>
      </c>
      <c r="I896" s="3">
        <f t="shared" si="41"/>
        <v>0</v>
      </c>
    </row>
    <row r="897" spans="1:9" ht="18" customHeight="1" x14ac:dyDescent="0.25">
      <c r="A897" s="4" t="s">
        <v>1745</v>
      </c>
      <c r="B897" s="4" t="s">
        <v>1746</v>
      </c>
      <c r="C897" s="5">
        <v>0</v>
      </c>
      <c r="D897" s="5">
        <v>6</v>
      </c>
      <c r="E897" s="4" t="str">
        <f t="shared" si="39"/>
        <v>REORDER NOW</v>
      </c>
      <c r="F897" s="4"/>
      <c r="G897" s="4"/>
      <c r="H897" s="5">
        <f t="shared" si="40"/>
        <v>3</v>
      </c>
      <c r="I897" s="5">
        <f t="shared" si="41"/>
        <v>0</v>
      </c>
    </row>
    <row r="898" spans="1:9" ht="18" customHeight="1" x14ac:dyDescent="0.25">
      <c r="A898" s="2" t="s">
        <v>1747</v>
      </c>
      <c r="B898" s="2" t="s">
        <v>1748</v>
      </c>
      <c r="C898" s="3">
        <v>0</v>
      </c>
      <c r="D898" s="3">
        <v>6</v>
      </c>
      <c r="E898" s="2" t="str">
        <f t="shared" si="39"/>
        <v>REORDER NOW</v>
      </c>
      <c r="F898" s="2"/>
      <c r="G898" s="2"/>
      <c r="H898" s="3">
        <f t="shared" si="40"/>
        <v>3</v>
      </c>
      <c r="I898" s="3">
        <f t="shared" si="41"/>
        <v>0</v>
      </c>
    </row>
    <row r="899" spans="1:9" ht="18" customHeight="1" x14ac:dyDescent="0.25">
      <c r="A899" s="4" t="s">
        <v>1749</v>
      </c>
      <c r="B899" s="4" t="s">
        <v>1750</v>
      </c>
      <c r="C899" s="5">
        <v>0</v>
      </c>
      <c r="D899" s="5">
        <v>6</v>
      </c>
      <c r="E899" s="4" t="str">
        <f t="shared" si="39"/>
        <v>REORDER NOW</v>
      </c>
      <c r="F899" s="4"/>
      <c r="G899" s="4"/>
      <c r="H899" s="5">
        <f t="shared" si="40"/>
        <v>3</v>
      </c>
      <c r="I899" s="5">
        <f t="shared" si="41"/>
        <v>0</v>
      </c>
    </row>
    <row r="900" spans="1:9" ht="18" customHeight="1" x14ac:dyDescent="0.25">
      <c r="A900" s="2" t="s">
        <v>1751</v>
      </c>
      <c r="B900" s="2" t="s">
        <v>1752</v>
      </c>
      <c r="C900" s="3">
        <v>6</v>
      </c>
      <c r="D900" s="3">
        <v>10</v>
      </c>
      <c r="E900" s="2" t="str">
        <f t="shared" ref="E900:E963" si="42">IF(C900&lt;=D900,"REORDER NOW","OK")</f>
        <v>REORDER NOW</v>
      </c>
      <c r="F900" s="2"/>
      <c r="G900" s="2"/>
      <c r="H900" s="3">
        <f t="shared" ref="H900:H963" si="43">D900/2</f>
        <v>5</v>
      </c>
      <c r="I900" s="3">
        <f t="shared" ref="I900:I963" si="44">IF(H900=0,"N/A",ROUND(C900/H900,1))</f>
        <v>1.2</v>
      </c>
    </row>
    <row r="901" spans="1:9" ht="18" customHeight="1" x14ac:dyDescent="0.25">
      <c r="A901" s="4" t="s">
        <v>1753</v>
      </c>
      <c r="B901" s="4" t="s">
        <v>1754</v>
      </c>
      <c r="C901" s="5">
        <v>0</v>
      </c>
      <c r="D901" s="5">
        <v>6</v>
      </c>
      <c r="E901" s="4" t="str">
        <f t="shared" si="42"/>
        <v>REORDER NOW</v>
      </c>
      <c r="F901" s="4"/>
      <c r="G901" s="4"/>
      <c r="H901" s="5">
        <f t="shared" si="43"/>
        <v>3</v>
      </c>
      <c r="I901" s="5">
        <f t="shared" si="44"/>
        <v>0</v>
      </c>
    </row>
    <row r="902" spans="1:9" ht="18" customHeight="1" x14ac:dyDescent="0.25">
      <c r="A902" s="2" t="s">
        <v>1755</v>
      </c>
      <c r="B902" s="2" t="s">
        <v>1756</v>
      </c>
      <c r="C902" s="3">
        <v>3</v>
      </c>
      <c r="D902" s="3">
        <v>6</v>
      </c>
      <c r="E902" s="2" t="str">
        <f t="shared" si="42"/>
        <v>REORDER NOW</v>
      </c>
      <c r="F902" s="2"/>
      <c r="G902" s="2"/>
      <c r="H902" s="3">
        <f t="shared" si="43"/>
        <v>3</v>
      </c>
      <c r="I902" s="3">
        <f t="shared" si="44"/>
        <v>1</v>
      </c>
    </row>
    <row r="903" spans="1:9" ht="18" customHeight="1" x14ac:dyDescent="0.25">
      <c r="A903" s="4" t="s">
        <v>1757</v>
      </c>
      <c r="B903" s="4" t="s">
        <v>1758</v>
      </c>
      <c r="C903" s="5">
        <v>1</v>
      </c>
      <c r="D903" s="5">
        <v>6</v>
      </c>
      <c r="E903" s="4" t="str">
        <f t="shared" si="42"/>
        <v>REORDER NOW</v>
      </c>
      <c r="F903" s="4"/>
      <c r="G903" s="4"/>
      <c r="H903" s="5">
        <f t="shared" si="43"/>
        <v>3</v>
      </c>
      <c r="I903" s="5">
        <f t="shared" si="44"/>
        <v>0.3</v>
      </c>
    </row>
    <row r="904" spans="1:9" ht="18" customHeight="1" x14ac:dyDescent="0.25">
      <c r="A904" s="2" t="s">
        <v>1759</v>
      </c>
      <c r="B904" s="2" t="s">
        <v>1760</v>
      </c>
      <c r="C904" s="3">
        <v>0</v>
      </c>
      <c r="D904" s="3">
        <v>6</v>
      </c>
      <c r="E904" s="2" t="str">
        <f t="shared" si="42"/>
        <v>REORDER NOW</v>
      </c>
      <c r="F904" s="2"/>
      <c r="G904" s="2"/>
      <c r="H904" s="3">
        <f t="shared" si="43"/>
        <v>3</v>
      </c>
      <c r="I904" s="3">
        <f t="shared" si="44"/>
        <v>0</v>
      </c>
    </row>
    <row r="905" spans="1:9" ht="18" customHeight="1" x14ac:dyDescent="0.25">
      <c r="A905" s="4" t="s">
        <v>1761</v>
      </c>
      <c r="B905" s="4" t="s">
        <v>1762</v>
      </c>
      <c r="C905" s="5">
        <v>0</v>
      </c>
      <c r="D905" s="5">
        <v>6</v>
      </c>
      <c r="E905" s="4" t="str">
        <f t="shared" si="42"/>
        <v>REORDER NOW</v>
      </c>
      <c r="F905" s="4"/>
      <c r="G905" s="4"/>
      <c r="H905" s="5">
        <f t="shared" si="43"/>
        <v>3</v>
      </c>
      <c r="I905" s="5">
        <f t="shared" si="44"/>
        <v>0</v>
      </c>
    </row>
    <row r="906" spans="1:9" ht="18" customHeight="1" x14ac:dyDescent="0.25">
      <c r="A906" s="2" t="s">
        <v>1763</v>
      </c>
      <c r="B906" s="2" t="s">
        <v>1764</v>
      </c>
      <c r="C906" s="3">
        <v>0</v>
      </c>
      <c r="D906" s="3">
        <v>6</v>
      </c>
      <c r="E906" s="2" t="str">
        <f t="shared" si="42"/>
        <v>REORDER NOW</v>
      </c>
      <c r="F906" s="2"/>
      <c r="G906" s="2"/>
      <c r="H906" s="3">
        <f t="shared" si="43"/>
        <v>3</v>
      </c>
      <c r="I906" s="3">
        <f t="shared" si="44"/>
        <v>0</v>
      </c>
    </row>
    <row r="907" spans="1:9" ht="18" customHeight="1" x14ac:dyDescent="0.25">
      <c r="A907" s="4" t="s">
        <v>1765</v>
      </c>
      <c r="B907" s="4" t="s">
        <v>1766</v>
      </c>
      <c r="C907" s="5">
        <v>0</v>
      </c>
      <c r="D907" s="5">
        <v>6</v>
      </c>
      <c r="E907" s="4" t="str">
        <f t="shared" si="42"/>
        <v>REORDER NOW</v>
      </c>
      <c r="F907" s="4"/>
      <c r="G907" s="4"/>
      <c r="H907" s="5">
        <f t="shared" si="43"/>
        <v>3</v>
      </c>
      <c r="I907" s="5">
        <f t="shared" si="44"/>
        <v>0</v>
      </c>
    </row>
    <row r="908" spans="1:9" ht="18" customHeight="1" x14ac:dyDescent="0.25">
      <c r="A908" s="2" t="s">
        <v>1767</v>
      </c>
      <c r="B908" s="2" t="s">
        <v>1768</v>
      </c>
      <c r="C908" s="3">
        <v>0</v>
      </c>
      <c r="D908" s="3">
        <v>6</v>
      </c>
      <c r="E908" s="2" t="str">
        <f t="shared" si="42"/>
        <v>REORDER NOW</v>
      </c>
      <c r="F908" s="2"/>
      <c r="G908" s="2"/>
      <c r="H908" s="3">
        <f t="shared" si="43"/>
        <v>3</v>
      </c>
      <c r="I908" s="3">
        <f t="shared" si="44"/>
        <v>0</v>
      </c>
    </row>
    <row r="909" spans="1:9" ht="18" customHeight="1" x14ac:dyDescent="0.25">
      <c r="A909" s="4" t="s">
        <v>1769</v>
      </c>
      <c r="B909" s="4" t="s">
        <v>1770</v>
      </c>
      <c r="C909" s="5">
        <v>0</v>
      </c>
      <c r="D909" s="5">
        <v>6</v>
      </c>
      <c r="E909" s="4" t="str">
        <f t="shared" si="42"/>
        <v>REORDER NOW</v>
      </c>
      <c r="F909" s="4"/>
      <c r="G909" s="4"/>
      <c r="H909" s="5">
        <f t="shared" si="43"/>
        <v>3</v>
      </c>
      <c r="I909" s="5">
        <f t="shared" si="44"/>
        <v>0</v>
      </c>
    </row>
    <row r="910" spans="1:9" ht="18" customHeight="1" x14ac:dyDescent="0.25">
      <c r="A910" s="2" t="s">
        <v>1771</v>
      </c>
      <c r="B910" s="2" t="s">
        <v>1772</v>
      </c>
      <c r="C910" s="3">
        <v>0</v>
      </c>
      <c r="D910" s="3">
        <v>6</v>
      </c>
      <c r="E910" s="2" t="str">
        <f t="shared" si="42"/>
        <v>REORDER NOW</v>
      </c>
      <c r="F910" s="2"/>
      <c r="G910" s="2"/>
      <c r="H910" s="3">
        <f t="shared" si="43"/>
        <v>3</v>
      </c>
      <c r="I910" s="3">
        <f t="shared" si="44"/>
        <v>0</v>
      </c>
    </row>
    <row r="911" spans="1:9" ht="18" customHeight="1" x14ac:dyDescent="0.25">
      <c r="A911" s="4" t="s">
        <v>1773</v>
      </c>
      <c r="B911" s="4" t="s">
        <v>1774</v>
      </c>
      <c r="C911" s="5">
        <v>12</v>
      </c>
      <c r="D911" s="5">
        <v>10</v>
      </c>
      <c r="E911" s="4" t="str">
        <f t="shared" si="42"/>
        <v>OK</v>
      </c>
      <c r="F911" s="4"/>
      <c r="G911" s="4"/>
      <c r="H911" s="5">
        <f t="shared" si="43"/>
        <v>5</v>
      </c>
      <c r="I911" s="5">
        <f t="shared" si="44"/>
        <v>2.4</v>
      </c>
    </row>
    <row r="912" spans="1:9" ht="18" customHeight="1" x14ac:dyDescent="0.25">
      <c r="A912" s="2" t="s">
        <v>1775</v>
      </c>
      <c r="B912" s="2" t="s">
        <v>1776</v>
      </c>
      <c r="C912" s="3">
        <v>0</v>
      </c>
      <c r="D912" s="3">
        <v>6</v>
      </c>
      <c r="E912" s="2" t="str">
        <f t="shared" si="42"/>
        <v>REORDER NOW</v>
      </c>
      <c r="F912" s="2"/>
      <c r="G912" s="2"/>
      <c r="H912" s="3">
        <f t="shared" si="43"/>
        <v>3</v>
      </c>
      <c r="I912" s="3">
        <f t="shared" si="44"/>
        <v>0</v>
      </c>
    </row>
    <row r="913" spans="1:9" ht="18" customHeight="1" x14ac:dyDescent="0.25">
      <c r="A913" s="4" t="s">
        <v>1777</v>
      </c>
      <c r="B913" s="4" t="s">
        <v>1778</v>
      </c>
      <c r="C913" s="5">
        <v>0</v>
      </c>
      <c r="D913" s="5">
        <v>6</v>
      </c>
      <c r="E913" s="4" t="str">
        <f t="shared" si="42"/>
        <v>REORDER NOW</v>
      </c>
      <c r="F913" s="4"/>
      <c r="G913" s="4"/>
      <c r="H913" s="5">
        <f t="shared" si="43"/>
        <v>3</v>
      </c>
      <c r="I913" s="5">
        <f t="shared" si="44"/>
        <v>0</v>
      </c>
    </row>
    <row r="914" spans="1:9" ht="18" customHeight="1" x14ac:dyDescent="0.25">
      <c r="A914" s="2" t="s">
        <v>1779</v>
      </c>
      <c r="B914" s="2" t="s">
        <v>1780</v>
      </c>
      <c r="C914" s="3">
        <v>0</v>
      </c>
      <c r="D914" s="3">
        <v>6</v>
      </c>
      <c r="E914" s="2" t="str">
        <f t="shared" si="42"/>
        <v>REORDER NOW</v>
      </c>
      <c r="F914" s="2"/>
      <c r="G914" s="2"/>
      <c r="H914" s="3">
        <f t="shared" si="43"/>
        <v>3</v>
      </c>
      <c r="I914" s="3">
        <f t="shared" si="44"/>
        <v>0</v>
      </c>
    </row>
    <row r="915" spans="1:9" ht="18" customHeight="1" x14ac:dyDescent="0.25">
      <c r="A915" s="4" t="s">
        <v>1781</v>
      </c>
      <c r="B915" s="4" t="s">
        <v>1782</v>
      </c>
      <c r="C915" s="5">
        <v>0</v>
      </c>
      <c r="D915" s="5">
        <v>6</v>
      </c>
      <c r="E915" s="4" t="str">
        <f t="shared" si="42"/>
        <v>REORDER NOW</v>
      </c>
      <c r="F915" s="4"/>
      <c r="G915" s="4"/>
      <c r="H915" s="5">
        <f t="shared" si="43"/>
        <v>3</v>
      </c>
      <c r="I915" s="5">
        <f t="shared" si="44"/>
        <v>0</v>
      </c>
    </row>
    <row r="916" spans="1:9" ht="18" customHeight="1" x14ac:dyDescent="0.25">
      <c r="A916" s="2" t="s">
        <v>1783</v>
      </c>
      <c r="B916" s="2" t="s">
        <v>1784</v>
      </c>
      <c r="C916" s="3">
        <v>0</v>
      </c>
      <c r="D916" s="3">
        <v>6</v>
      </c>
      <c r="E916" s="2" t="str">
        <f t="shared" si="42"/>
        <v>REORDER NOW</v>
      </c>
      <c r="F916" s="2"/>
      <c r="G916" s="2"/>
      <c r="H916" s="3">
        <f t="shared" si="43"/>
        <v>3</v>
      </c>
      <c r="I916" s="3">
        <f t="shared" si="44"/>
        <v>0</v>
      </c>
    </row>
    <row r="917" spans="1:9" ht="18" customHeight="1" x14ac:dyDescent="0.25">
      <c r="A917" s="4" t="s">
        <v>1785</v>
      </c>
      <c r="B917" s="4" t="s">
        <v>1786</v>
      </c>
      <c r="C917" s="5">
        <v>8</v>
      </c>
      <c r="D917" s="5">
        <v>10</v>
      </c>
      <c r="E917" s="4" t="str">
        <f t="shared" si="42"/>
        <v>REORDER NOW</v>
      </c>
      <c r="F917" s="4"/>
      <c r="G917" s="4"/>
      <c r="H917" s="5">
        <f t="shared" si="43"/>
        <v>5</v>
      </c>
      <c r="I917" s="5">
        <f t="shared" si="44"/>
        <v>1.6</v>
      </c>
    </row>
    <row r="918" spans="1:9" ht="18" customHeight="1" x14ac:dyDescent="0.25">
      <c r="A918" s="2" t="s">
        <v>1787</v>
      </c>
      <c r="B918" s="2" t="s">
        <v>1788</v>
      </c>
      <c r="C918" s="3">
        <v>305</v>
      </c>
      <c r="D918" s="3">
        <v>100</v>
      </c>
      <c r="E918" s="2" t="str">
        <f t="shared" si="42"/>
        <v>OK</v>
      </c>
      <c r="F918" s="2"/>
      <c r="G918" s="2"/>
      <c r="H918" s="3">
        <f t="shared" si="43"/>
        <v>50</v>
      </c>
      <c r="I918" s="3">
        <f t="shared" si="44"/>
        <v>6.1</v>
      </c>
    </row>
    <row r="919" spans="1:9" ht="18" customHeight="1" x14ac:dyDescent="0.25">
      <c r="A919" s="4" t="s">
        <v>1789</v>
      </c>
      <c r="B919" s="4" t="s">
        <v>1790</v>
      </c>
      <c r="C919" s="5">
        <v>2</v>
      </c>
      <c r="D919" s="5">
        <v>6</v>
      </c>
      <c r="E919" s="4" t="str">
        <f t="shared" si="42"/>
        <v>REORDER NOW</v>
      </c>
      <c r="F919" s="4"/>
      <c r="G919" s="4"/>
      <c r="H919" s="5">
        <f t="shared" si="43"/>
        <v>3</v>
      </c>
      <c r="I919" s="5">
        <f t="shared" si="44"/>
        <v>0.7</v>
      </c>
    </row>
    <row r="920" spans="1:9" ht="18" customHeight="1" x14ac:dyDescent="0.25">
      <c r="A920" s="2" t="s">
        <v>1791</v>
      </c>
      <c r="B920" s="2" t="s">
        <v>1792</v>
      </c>
      <c r="C920" s="3">
        <v>0</v>
      </c>
      <c r="D920" s="3">
        <v>6</v>
      </c>
      <c r="E920" s="2" t="str">
        <f t="shared" si="42"/>
        <v>REORDER NOW</v>
      </c>
      <c r="F920" s="2"/>
      <c r="G920" s="2"/>
      <c r="H920" s="3">
        <f t="shared" si="43"/>
        <v>3</v>
      </c>
      <c r="I920" s="3">
        <f t="shared" si="44"/>
        <v>0</v>
      </c>
    </row>
    <row r="921" spans="1:9" ht="18" customHeight="1" x14ac:dyDescent="0.25">
      <c r="A921" s="4" t="s">
        <v>1793</v>
      </c>
      <c r="B921" s="4" t="s">
        <v>1794</v>
      </c>
      <c r="C921" s="5">
        <v>0</v>
      </c>
      <c r="D921" s="5">
        <v>6</v>
      </c>
      <c r="E921" s="4" t="str">
        <f t="shared" si="42"/>
        <v>REORDER NOW</v>
      </c>
      <c r="F921" s="4"/>
      <c r="G921" s="4"/>
      <c r="H921" s="5">
        <f t="shared" si="43"/>
        <v>3</v>
      </c>
      <c r="I921" s="5">
        <f t="shared" si="44"/>
        <v>0</v>
      </c>
    </row>
    <row r="922" spans="1:9" ht="18" customHeight="1" x14ac:dyDescent="0.25">
      <c r="A922" s="2" t="s">
        <v>1795</v>
      </c>
      <c r="B922" s="2" t="s">
        <v>1796</v>
      </c>
      <c r="C922" s="3">
        <v>0</v>
      </c>
      <c r="D922" s="3">
        <v>6</v>
      </c>
      <c r="E922" s="2" t="str">
        <f t="shared" si="42"/>
        <v>REORDER NOW</v>
      </c>
      <c r="F922" s="2"/>
      <c r="G922" s="2"/>
      <c r="H922" s="3">
        <f t="shared" si="43"/>
        <v>3</v>
      </c>
      <c r="I922" s="3">
        <f t="shared" si="44"/>
        <v>0</v>
      </c>
    </row>
    <row r="923" spans="1:9" ht="18" customHeight="1" x14ac:dyDescent="0.25">
      <c r="A923" s="4" t="s">
        <v>1797</v>
      </c>
      <c r="B923" s="4" t="s">
        <v>1798</v>
      </c>
      <c r="C923" s="5">
        <v>0</v>
      </c>
      <c r="D923" s="5">
        <v>6</v>
      </c>
      <c r="E923" s="4" t="str">
        <f t="shared" si="42"/>
        <v>REORDER NOW</v>
      </c>
      <c r="F923" s="4"/>
      <c r="G923" s="4"/>
      <c r="H923" s="5">
        <f t="shared" si="43"/>
        <v>3</v>
      </c>
      <c r="I923" s="5">
        <f t="shared" si="44"/>
        <v>0</v>
      </c>
    </row>
    <row r="924" spans="1:9" ht="18" customHeight="1" x14ac:dyDescent="0.25">
      <c r="A924" s="2" t="s">
        <v>1799</v>
      </c>
      <c r="B924" s="2" t="s">
        <v>1800</v>
      </c>
      <c r="C924" s="3">
        <v>0</v>
      </c>
      <c r="D924" s="3">
        <v>6</v>
      </c>
      <c r="E924" s="2" t="str">
        <f t="shared" si="42"/>
        <v>REORDER NOW</v>
      </c>
      <c r="F924" s="2"/>
      <c r="G924" s="2"/>
      <c r="H924" s="3">
        <f t="shared" si="43"/>
        <v>3</v>
      </c>
      <c r="I924" s="3">
        <f t="shared" si="44"/>
        <v>0</v>
      </c>
    </row>
    <row r="925" spans="1:9" ht="18" customHeight="1" x14ac:dyDescent="0.25">
      <c r="A925" s="4" t="s">
        <v>1801</v>
      </c>
      <c r="B925" s="4" t="s">
        <v>1802</v>
      </c>
      <c r="C925" s="5">
        <v>0</v>
      </c>
      <c r="D925" s="5">
        <v>6</v>
      </c>
      <c r="E925" s="4" t="str">
        <f t="shared" si="42"/>
        <v>REORDER NOW</v>
      </c>
      <c r="F925" s="4"/>
      <c r="G925" s="4"/>
      <c r="H925" s="5">
        <f t="shared" si="43"/>
        <v>3</v>
      </c>
      <c r="I925" s="5">
        <f t="shared" si="44"/>
        <v>0</v>
      </c>
    </row>
    <row r="926" spans="1:9" ht="18" customHeight="1" x14ac:dyDescent="0.25">
      <c r="A926" s="2" t="s">
        <v>1803</v>
      </c>
      <c r="B926" s="2" t="s">
        <v>1804</v>
      </c>
      <c r="C926" s="3">
        <v>0</v>
      </c>
      <c r="D926" s="3">
        <v>6</v>
      </c>
      <c r="E926" s="2" t="str">
        <f t="shared" si="42"/>
        <v>REORDER NOW</v>
      </c>
      <c r="F926" s="2"/>
      <c r="G926" s="2"/>
      <c r="H926" s="3">
        <f t="shared" si="43"/>
        <v>3</v>
      </c>
      <c r="I926" s="3">
        <f t="shared" si="44"/>
        <v>0</v>
      </c>
    </row>
    <row r="927" spans="1:9" ht="18" customHeight="1" x14ac:dyDescent="0.25">
      <c r="A927" s="4" t="s">
        <v>1805</v>
      </c>
      <c r="B927" s="4" t="s">
        <v>1806</v>
      </c>
      <c r="C927" s="5">
        <v>0</v>
      </c>
      <c r="D927" s="5">
        <v>6</v>
      </c>
      <c r="E927" s="4" t="str">
        <f t="shared" si="42"/>
        <v>REORDER NOW</v>
      </c>
      <c r="F927" s="4"/>
      <c r="G927" s="4"/>
      <c r="H927" s="5">
        <f t="shared" si="43"/>
        <v>3</v>
      </c>
      <c r="I927" s="5">
        <f t="shared" si="44"/>
        <v>0</v>
      </c>
    </row>
    <row r="928" spans="1:9" ht="18" customHeight="1" x14ac:dyDescent="0.25">
      <c r="A928" s="2" t="s">
        <v>1807</v>
      </c>
      <c r="B928" s="2" t="s">
        <v>1808</v>
      </c>
      <c r="C928" s="3">
        <v>0</v>
      </c>
      <c r="D928" s="3">
        <v>6</v>
      </c>
      <c r="E928" s="2" t="str">
        <f t="shared" si="42"/>
        <v>REORDER NOW</v>
      </c>
      <c r="F928" s="2"/>
      <c r="G928" s="2"/>
      <c r="H928" s="3">
        <f t="shared" si="43"/>
        <v>3</v>
      </c>
      <c r="I928" s="3">
        <f t="shared" si="44"/>
        <v>0</v>
      </c>
    </row>
    <row r="929" spans="1:9" ht="18" customHeight="1" x14ac:dyDescent="0.25">
      <c r="A929" s="4" t="s">
        <v>1809</v>
      </c>
      <c r="B929" s="4" t="s">
        <v>1810</v>
      </c>
      <c r="C929" s="5">
        <v>44</v>
      </c>
      <c r="D929" s="5">
        <v>20</v>
      </c>
      <c r="E929" s="4" t="str">
        <f t="shared" si="42"/>
        <v>OK</v>
      </c>
      <c r="F929" s="4"/>
      <c r="G929" s="4"/>
      <c r="H929" s="5">
        <f t="shared" si="43"/>
        <v>10</v>
      </c>
      <c r="I929" s="5">
        <f t="shared" si="44"/>
        <v>4.4000000000000004</v>
      </c>
    </row>
    <row r="930" spans="1:9" ht="18" customHeight="1" x14ac:dyDescent="0.25">
      <c r="A930" s="2" t="s">
        <v>1811</v>
      </c>
      <c r="B930" s="2" t="s">
        <v>1812</v>
      </c>
      <c r="C930" s="3">
        <v>4</v>
      </c>
      <c r="D930" s="3">
        <v>6</v>
      </c>
      <c r="E930" s="2" t="str">
        <f t="shared" si="42"/>
        <v>REORDER NOW</v>
      </c>
      <c r="F930" s="2"/>
      <c r="G930" s="2"/>
      <c r="H930" s="3">
        <f t="shared" si="43"/>
        <v>3</v>
      </c>
      <c r="I930" s="3">
        <f t="shared" si="44"/>
        <v>1.3</v>
      </c>
    </row>
    <row r="931" spans="1:9" ht="18" customHeight="1" x14ac:dyDescent="0.25">
      <c r="A931" s="4" t="s">
        <v>1813</v>
      </c>
      <c r="B931" s="4" t="s">
        <v>1814</v>
      </c>
      <c r="C931" s="5">
        <v>2</v>
      </c>
      <c r="D931" s="5">
        <v>6</v>
      </c>
      <c r="E931" s="4" t="str">
        <f t="shared" si="42"/>
        <v>REORDER NOW</v>
      </c>
      <c r="F931" s="4"/>
      <c r="G931" s="4"/>
      <c r="H931" s="5">
        <f t="shared" si="43"/>
        <v>3</v>
      </c>
      <c r="I931" s="5">
        <f t="shared" si="44"/>
        <v>0.7</v>
      </c>
    </row>
    <row r="932" spans="1:9" ht="18" customHeight="1" x14ac:dyDescent="0.25">
      <c r="A932" s="2" t="s">
        <v>1815</v>
      </c>
      <c r="B932" s="2" t="s">
        <v>1816</v>
      </c>
      <c r="C932" s="3">
        <v>0</v>
      </c>
      <c r="D932" s="3">
        <v>6</v>
      </c>
      <c r="E932" s="2" t="str">
        <f t="shared" si="42"/>
        <v>REORDER NOW</v>
      </c>
      <c r="F932" s="2"/>
      <c r="G932" s="2"/>
      <c r="H932" s="3">
        <f t="shared" si="43"/>
        <v>3</v>
      </c>
      <c r="I932" s="3">
        <f t="shared" si="44"/>
        <v>0</v>
      </c>
    </row>
    <row r="933" spans="1:9" ht="18" customHeight="1" x14ac:dyDescent="0.25">
      <c r="A933" s="4" t="s">
        <v>1817</v>
      </c>
      <c r="B933" s="4" t="s">
        <v>1818</v>
      </c>
      <c r="C933" s="5">
        <v>0</v>
      </c>
      <c r="D933" s="5">
        <v>6</v>
      </c>
      <c r="E933" s="4" t="str">
        <f t="shared" si="42"/>
        <v>REORDER NOW</v>
      </c>
      <c r="F933" s="4"/>
      <c r="G933" s="4"/>
      <c r="H933" s="5">
        <f t="shared" si="43"/>
        <v>3</v>
      </c>
      <c r="I933" s="5">
        <f t="shared" si="44"/>
        <v>0</v>
      </c>
    </row>
    <row r="934" spans="1:9" ht="18" customHeight="1" x14ac:dyDescent="0.25">
      <c r="A934" s="2" t="s">
        <v>1819</v>
      </c>
      <c r="B934" s="2" t="s">
        <v>1820</v>
      </c>
      <c r="C934" s="3">
        <v>0</v>
      </c>
      <c r="D934" s="3">
        <v>6</v>
      </c>
      <c r="E934" s="2" t="str">
        <f t="shared" si="42"/>
        <v>REORDER NOW</v>
      </c>
      <c r="F934" s="2"/>
      <c r="G934" s="2"/>
      <c r="H934" s="3">
        <f t="shared" si="43"/>
        <v>3</v>
      </c>
      <c r="I934" s="3">
        <f t="shared" si="44"/>
        <v>0</v>
      </c>
    </row>
    <row r="935" spans="1:9" ht="18" customHeight="1" x14ac:dyDescent="0.25">
      <c r="A935" s="4" t="s">
        <v>1821</v>
      </c>
      <c r="B935" s="4" t="s">
        <v>1822</v>
      </c>
      <c r="C935" s="5">
        <v>0</v>
      </c>
      <c r="D935" s="5">
        <v>6</v>
      </c>
      <c r="E935" s="4" t="str">
        <f t="shared" si="42"/>
        <v>REORDER NOW</v>
      </c>
      <c r="F935" s="4"/>
      <c r="G935" s="4"/>
      <c r="H935" s="5">
        <f t="shared" si="43"/>
        <v>3</v>
      </c>
      <c r="I935" s="5">
        <f t="shared" si="44"/>
        <v>0</v>
      </c>
    </row>
    <row r="936" spans="1:9" ht="18" customHeight="1" x14ac:dyDescent="0.25">
      <c r="A936" s="2" t="s">
        <v>1823</v>
      </c>
      <c r="B936" s="2" t="s">
        <v>1824</v>
      </c>
      <c r="C936" s="3">
        <v>0</v>
      </c>
      <c r="D936" s="3">
        <v>6</v>
      </c>
      <c r="E936" s="2" t="str">
        <f t="shared" si="42"/>
        <v>REORDER NOW</v>
      </c>
      <c r="F936" s="2"/>
      <c r="G936" s="2"/>
      <c r="H936" s="3">
        <f t="shared" si="43"/>
        <v>3</v>
      </c>
      <c r="I936" s="3">
        <f t="shared" si="44"/>
        <v>0</v>
      </c>
    </row>
    <row r="937" spans="1:9" ht="18" customHeight="1" x14ac:dyDescent="0.25">
      <c r="A937" s="4" t="s">
        <v>1825</v>
      </c>
      <c r="B937" s="4" t="s">
        <v>1826</v>
      </c>
      <c r="C937" s="5">
        <v>0</v>
      </c>
      <c r="D937" s="5">
        <v>6</v>
      </c>
      <c r="E937" s="4" t="str">
        <f t="shared" si="42"/>
        <v>REORDER NOW</v>
      </c>
      <c r="F937" s="4"/>
      <c r="G937" s="4"/>
      <c r="H937" s="5">
        <f t="shared" si="43"/>
        <v>3</v>
      </c>
      <c r="I937" s="5">
        <f t="shared" si="44"/>
        <v>0</v>
      </c>
    </row>
    <row r="938" spans="1:9" ht="18" customHeight="1" x14ac:dyDescent="0.25">
      <c r="A938" s="2" t="s">
        <v>1827</v>
      </c>
      <c r="B938" s="2" t="s">
        <v>1828</v>
      </c>
      <c r="C938" s="3">
        <v>2</v>
      </c>
      <c r="D938" s="3">
        <v>6</v>
      </c>
      <c r="E938" s="2" t="str">
        <f t="shared" si="42"/>
        <v>REORDER NOW</v>
      </c>
      <c r="F938" s="2"/>
      <c r="G938" s="2"/>
      <c r="H938" s="3">
        <f t="shared" si="43"/>
        <v>3</v>
      </c>
      <c r="I938" s="3">
        <f t="shared" si="44"/>
        <v>0.7</v>
      </c>
    </row>
    <row r="939" spans="1:9" ht="18" customHeight="1" x14ac:dyDescent="0.25">
      <c r="A939" s="4" t="s">
        <v>1829</v>
      </c>
      <c r="B939" s="4" t="s">
        <v>1830</v>
      </c>
      <c r="C939" s="5">
        <v>0</v>
      </c>
      <c r="D939" s="5">
        <v>6</v>
      </c>
      <c r="E939" s="4" t="str">
        <f t="shared" si="42"/>
        <v>REORDER NOW</v>
      </c>
      <c r="F939" s="4"/>
      <c r="G939" s="4"/>
      <c r="H939" s="5">
        <f t="shared" si="43"/>
        <v>3</v>
      </c>
      <c r="I939" s="5">
        <f t="shared" si="44"/>
        <v>0</v>
      </c>
    </row>
    <row r="940" spans="1:9" ht="18" customHeight="1" x14ac:dyDescent="0.25">
      <c r="A940" s="2" t="s">
        <v>1831</v>
      </c>
      <c r="B940" s="2" t="s">
        <v>1832</v>
      </c>
      <c r="C940" s="3">
        <v>0</v>
      </c>
      <c r="D940" s="3">
        <v>6</v>
      </c>
      <c r="E940" s="2" t="str">
        <f t="shared" si="42"/>
        <v>REORDER NOW</v>
      </c>
      <c r="F940" s="2"/>
      <c r="G940" s="2"/>
      <c r="H940" s="3">
        <f t="shared" si="43"/>
        <v>3</v>
      </c>
      <c r="I940" s="3">
        <f t="shared" si="44"/>
        <v>0</v>
      </c>
    </row>
    <row r="941" spans="1:9" ht="18" customHeight="1" x14ac:dyDescent="0.25">
      <c r="A941" s="4" t="s">
        <v>1833</v>
      </c>
      <c r="B941" s="4" t="s">
        <v>1834</v>
      </c>
      <c r="C941" s="5">
        <v>35</v>
      </c>
      <c r="D941" s="5">
        <v>20</v>
      </c>
      <c r="E941" s="4" t="str">
        <f t="shared" si="42"/>
        <v>OK</v>
      </c>
      <c r="F941" s="4"/>
      <c r="G941" s="4"/>
      <c r="H941" s="5">
        <f t="shared" si="43"/>
        <v>10</v>
      </c>
      <c r="I941" s="5">
        <f t="shared" si="44"/>
        <v>3.5</v>
      </c>
    </row>
    <row r="942" spans="1:9" ht="18" customHeight="1" x14ac:dyDescent="0.25">
      <c r="A942" s="2" t="s">
        <v>1835</v>
      </c>
      <c r="B942" s="2" t="s">
        <v>1836</v>
      </c>
      <c r="C942" s="3">
        <v>0</v>
      </c>
      <c r="D942" s="3">
        <v>6</v>
      </c>
      <c r="E942" s="2" t="str">
        <f t="shared" si="42"/>
        <v>REORDER NOW</v>
      </c>
      <c r="F942" s="2"/>
      <c r="G942" s="2"/>
      <c r="H942" s="3">
        <f t="shared" si="43"/>
        <v>3</v>
      </c>
      <c r="I942" s="3">
        <f t="shared" si="44"/>
        <v>0</v>
      </c>
    </row>
    <row r="943" spans="1:9" ht="18" customHeight="1" x14ac:dyDescent="0.25">
      <c r="A943" s="4" t="s">
        <v>1837</v>
      </c>
      <c r="B943" s="4" t="s">
        <v>1838</v>
      </c>
      <c r="C943" s="5">
        <v>3850</v>
      </c>
      <c r="D943" s="5">
        <v>200</v>
      </c>
      <c r="E943" s="4" t="str">
        <f t="shared" si="42"/>
        <v>OK</v>
      </c>
      <c r="F943" s="4"/>
      <c r="G943" s="4"/>
      <c r="H943" s="5">
        <f t="shared" si="43"/>
        <v>100</v>
      </c>
      <c r="I943" s="5">
        <f t="shared" si="44"/>
        <v>38.5</v>
      </c>
    </row>
    <row r="944" spans="1:9" ht="18" customHeight="1" x14ac:dyDescent="0.25">
      <c r="A944" s="2" t="s">
        <v>1839</v>
      </c>
      <c r="B944" s="2" t="s">
        <v>1840</v>
      </c>
      <c r="C944" s="3">
        <v>3</v>
      </c>
      <c r="D944" s="3">
        <v>6</v>
      </c>
      <c r="E944" s="2" t="str">
        <f t="shared" si="42"/>
        <v>REORDER NOW</v>
      </c>
      <c r="F944" s="2"/>
      <c r="G944" s="2"/>
      <c r="H944" s="3">
        <f t="shared" si="43"/>
        <v>3</v>
      </c>
      <c r="I944" s="3">
        <f t="shared" si="44"/>
        <v>1</v>
      </c>
    </row>
    <row r="945" spans="1:9" ht="18" customHeight="1" x14ac:dyDescent="0.25">
      <c r="A945" s="4" t="s">
        <v>1841</v>
      </c>
      <c r="B945" s="4" t="s">
        <v>1842</v>
      </c>
      <c r="C945" s="5">
        <v>0</v>
      </c>
      <c r="D945" s="5">
        <v>6</v>
      </c>
      <c r="E945" s="4" t="str">
        <f t="shared" si="42"/>
        <v>REORDER NOW</v>
      </c>
      <c r="F945" s="4"/>
      <c r="G945" s="4"/>
      <c r="H945" s="5">
        <f t="shared" si="43"/>
        <v>3</v>
      </c>
      <c r="I945" s="5">
        <f t="shared" si="44"/>
        <v>0</v>
      </c>
    </row>
    <row r="946" spans="1:9" ht="18" customHeight="1" x14ac:dyDescent="0.25">
      <c r="A946" s="2" t="s">
        <v>1843</v>
      </c>
      <c r="B946" s="2" t="s">
        <v>1844</v>
      </c>
      <c r="C946" s="3">
        <v>11</v>
      </c>
      <c r="D946" s="3">
        <v>10</v>
      </c>
      <c r="E946" s="2" t="str">
        <f t="shared" si="42"/>
        <v>OK</v>
      </c>
      <c r="F946" s="2"/>
      <c r="G946" s="2"/>
      <c r="H946" s="3">
        <f t="shared" si="43"/>
        <v>5</v>
      </c>
      <c r="I946" s="3">
        <f t="shared" si="44"/>
        <v>2.2000000000000002</v>
      </c>
    </row>
    <row r="947" spans="1:9" ht="18" customHeight="1" x14ac:dyDescent="0.25">
      <c r="A947" s="4" t="s">
        <v>1845</v>
      </c>
      <c r="B947" s="4" t="s">
        <v>1846</v>
      </c>
      <c r="C947" s="5">
        <v>35</v>
      </c>
      <c r="D947" s="5">
        <v>20</v>
      </c>
      <c r="E947" s="4" t="str">
        <f t="shared" si="42"/>
        <v>OK</v>
      </c>
      <c r="F947" s="4"/>
      <c r="G947" s="4"/>
      <c r="H947" s="5">
        <f t="shared" si="43"/>
        <v>10</v>
      </c>
      <c r="I947" s="5">
        <f t="shared" si="44"/>
        <v>3.5</v>
      </c>
    </row>
    <row r="948" spans="1:9" ht="18" customHeight="1" x14ac:dyDescent="0.25">
      <c r="A948" s="2" t="s">
        <v>1847</v>
      </c>
      <c r="B948" s="2" t="s">
        <v>1848</v>
      </c>
      <c r="C948" s="3">
        <v>31</v>
      </c>
      <c r="D948" s="3">
        <v>20</v>
      </c>
      <c r="E948" s="2" t="str">
        <f t="shared" si="42"/>
        <v>OK</v>
      </c>
      <c r="F948" s="2"/>
      <c r="G948" s="2"/>
      <c r="H948" s="3">
        <f t="shared" si="43"/>
        <v>10</v>
      </c>
      <c r="I948" s="3">
        <f t="shared" si="44"/>
        <v>3.1</v>
      </c>
    </row>
    <row r="949" spans="1:9" ht="18" customHeight="1" x14ac:dyDescent="0.25">
      <c r="A949" s="4" t="s">
        <v>1849</v>
      </c>
      <c r="B949" s="4" t="s">
        <v>1850</v>
      </c>
      <c r="C949" s="5">
        <v>1</v>
      </c>
      <c r="D949" s="5">
        <v>6</v>
      </c>
      <c r="E949" s="4" t="str">
        <f t="shared" si="42"/>
        <v>REORDER NOW</v>
      </c>
      <c r="F949" s="4"/>
      <c r="G949" s="4"/>
      <c r="H949" s="5">
        <f t="shared" si="43"/>
        <v>3</v>
      </c>
      <c r="I949" s="5">
        <f t="shared" si="44"/>
        <v>0.3</v>
      </c>
    </row>
    <row r="950" spans="1:9" ht="18" customHeight="1" x14ac:dyDescent="0.25">
      <c r="A950" s="2" t="s">
        <v>1851</v>
      </c>
      <c r="B950" s="2" t="s">
        <v>1852</v>
      </c>
      <c r="C950" s="3">
        <v>0</v>
      </c>
      <c r="D950" s="3">
        <v>6</v>
      </c>
      <c r="E950" s="2" t="str">
        <f t="shared" si="42"/>
        <v>REORDER NOW</v>
      </c>
      <c r="F950" s="2"/>
      <c r="G950" s="2"/>
      <c r="H950" s="3">
        <f t="shared" si="43"/>
        <v>3</v>
      </c>
      <c r="I950" s="3">
        <f t="shared" si="44"/>
        <v>0</v>
      </c>
    </row>
    <row r="951" spans="1:9" ht="18" customHeight="1" x14ac:dyDescent="0.25">
      <c r="A951" s="4" t="s">
        <v>1853</v>
      </c>
      <c r="B951" s="4" t="s">
        <v>1854</v>
      </c>
      <c r="C951" s="5">
        <v>1</v>
      </c>
      <c r="D951" s="5">
        <v>6</v>
      </c>
      <c r="E951" s="4" t="str">
        <f t="shared" si="42"/>
        <v>REORDER NOW</v>
      </c>
      <c r="F951" s="4"/>
      <c r="G951" s="4"/>
      <c r="H951" s="5">
        <f t="shared" si="43"/>
        <v>3</v>
      </c>
      <c r="I951" s="5">
        <f t="shared" si="44"/>
        <v>0.3</v>
      </c>
    </row>
    <row r="952" spans="1:9" ht="18" customHeight="1" x14ac:dyDescent="0.25">
      <c r="A952" s="2" t="s">
        <v>1855</v>
      </c>
      <c r="B952" s="2" t="s">
        <v>1856</v>
      </c>
      <c r="C952" s="3">
        <v>0</v>
      </c>
      <c r="D952" s="3">
        <v>6</v>
      </c>
      <c r="E952" s="2" t="str">
        <f t="shared" si="42"/>
        <v>REORDER NOW</v>
      </c>
      <c r="F952" s="2"/>
      <c r="G952" s="2"/>
      <c r="H952" s="3">
        <f t="shared" si="43"/>
        <v>3</v>
      </c>
      <c r="I952" s="3">
        <f t="shared" si="44"/>
        <v>0</v>
      </c>
    </row>
    <row r="953" spans="1:9" ht="18" customHeight="1" x14ac:dyDescent="0.25">
      <c r="A953" s="4" t="s">
        <v>1857</v>
      </c>
      <c r="B953" s="4" t="s">
        <v>1858</v>
      </c>
      <c r="C953" s="5">
        <v>0</v>
      </c>
      <c r="D953" s="5">
        <v>6</v>
      </c>
      <c r="E953" s="4" t="str">
        <f t="shared" si="42"/>
        <v>REORDER NOW</v>
      </c>
      <c r="F953" s="4"/>
      <c r="G953" s="4"/>
      <c r="H953" s="5">
        <f t="shared" si="43"/>
        <v>3</v>
      </c>
      <c r="I953" s="5">
        <f t="shared" si="44"/>
        <v>0</v>
      </c>
    </row>
    <row r="954" spans="1:9" ht="18" customHeight="1" x14ac:dyDescent="0.25">
      <c r="A954" s="2" t="s">
        <v>1859</v>
      </c>
      <c r="B954" s="2" t="s">
        <v>1860</v>
      </c>
      <c r="C954" s="3">
        <v>0</v>
      </c>
      <c r="D954" s="3">
        <v>6</v>
      </c>
      <c r="E954" s="2" t="str">
        <f t="shared" si="42"/>
        <v>REORDER NOW</v>
      </c>
      <c r="F954" s="2"/>
      <c r="G954" s="2"/>
      <c r="H954" s="3">
        <f t="shared" si="43"/>
        <v>3</v>
      </c>
      <c r="I954" s="3">
        <f t="shared" si="44"/>
        <v>0</v>
      </c>
    </row>
    <row r="955" spans="1:9" ht="18" customHeight="1" x14ac:dyDescent="0.25">
      <c r="A955" s="4" t="s">
        <v>1861</v>
      </c>
      <c r="B955" s="4" t="s">
        <v>1862</v>
      </c>
      <c r="C955" s="5">
        <v>7</v>
      </c>
      <c r="D955" s="5">
        <v>10</v>
      </c>
      <c r="E955" s="4" t="str">
        <f t="shared" si="42"/>
        <v>REORDER NOW</v>
      </c>
      <c r="F955" s="4"/>
      <c r="G955" s="4"/>
      <c r="H955" s="5">
        <f t="shared" si="43"/>
        <v>5</v>
      </c>
      <c r="I955" s="5">
        <f t="shared" si="44"/>
        <v>1.4</v>
      </c>
    </row>
    <row r="956" spans="1:9" ht="18" customHeight="1" x14ac:dyDescent="0.25">
      <c r="A956" s="2" t="s">
        <v>1863</v>
      </c>
      <c r="B956" s="2" t="s">
        <v>1864</v>
      </c>
      <c r="C956" s="3">
        <v>0</v>
      </c>
      <c r="D956" s="3">
        <v>6</v>
      </c>
      <c r="E956" s="2" t="str">
        <f t="shared" si="42"/>
        <v>REORDER NOW</v>
      </c>
      <c r="F956" s="2"/>
      <c r="G956" s="2"/>
      <c r="H956" s="3">
        <f t="shared" si="43"/>
        <v>3</v>
      </c>
      <c r="I956" s="3">
        <f t="shared" si="44"/>
        <v>0</v>
      </c>
    </row>
    <row r="957" spans="1:9" ht="18" customHeight="1" x14ac:dyDescent="0.25">
      <c r="A957" s="4" t="s">
        <v>1865</v>
      </c>
      <c r="B957" s="4" t="s">
        <v>1866</v>
      </c>
      <c r="C957" s="5">
        <v>4</v>
      </c>
      <c r="D957" s="5">
        <v>6</v>
      </c>
      <c r="E957" s="4" t="str">
        <f t="shared" si="42"/>
        <v>REORDER NOW</v>
      </c>
      <c r="F957" s="4"/>
      <c r="G957" s="4"/>
      <c r="H957" s="5">
        <f t="shared" si="43"/>
        <v>3</v>
      </c>
      <c r="I957" s="5">
        <f t="shared" si="44"/>
        <v>1.3</v>
      </c>
    </row>
    <row r="958" spans="1:9" ht="18" customHeight="1" x14ac:dyDescent="0.25">
      <c r="A958" s="2" t="s">
        <v>1867</v>
      </c>
      <c r="B958" s="2" t="s">
        <v>1868</v>
      </c>
      <c r="C958" s="3">
        <v>0</v>
      </c>
      <c r="D958" s="3">
        <v>6</v>
      </c>
      <c r="E958" s="2" t="str">
        <f t="shared" si="42"/>
        <v>REORDER NOW</v>
      </c>
      <c r="F958" s="2"/>
      <c r="G958" s="2"/>
      <c r="H958" s="3">
        <f t="shared" si="43"/>
        <v>3</v>
      </c>
      <c r="I958" s="3">
        <f t="shared" si="44"/>
        <v>0</v>
      </c>
    </row>
    <row r="959" spans="1:9" ht="18" customHeight="1" x14ac:dyDescent="0.25">
      <c r="A959" s="4" t="s">
        <v>1869</v>
      </c>
      <c r="B959" s="4" t="s">
        <v>1870</v>
      </c>
      <c r="C959" s="5">
        <v>0</v>
      </c>
      <c r="D959" s="5">
        <v>6</v>
      </c>
      <c r="E959" s="4" t="str">
        <f t="shared" si="42"/>
        <v>REORDER NOW</v>
      </c>
      <c r="F959" s="4"/>
      <c r="G959" s="4"/>
      <c r="H959" s="5">
        <f t="shared" si="43"/>
        <v>3</v>
      </c>
      <c r="I959" s="5">
        <f t="shared" si="44"/>
        <v>0</v>
      </c>
    </row>
    <row r="960" spans="1:9" ht="18" customHeight="1" x14ac:dyDescent="0.25">
      <c r="A960" s="2" t="s">
        <v>1871</v>
      </c>
      <c r="B960" s="2" t="s">
        <v>1872</v>
      </c>
      <c r="C960" s="3">
        <v>2</v>
      </c>
      <c r="D960" s="3">
        <v>6</v>
      </c>
      <c r="E960" s="2" t="str">
        <f t="shared" si="42"/>
        <v>REORDER NOW</v>
      </c>
      <c r="F960" s="2"/>
      <c r="G960" s="2"/>
      <c r="H960" s="3">
        <f t="shared" si="43"/>
        <v>3</v>
      </c>
      <c r="I960" s="3">
        <f t="shared" si="44"/>
        <v>0.7</v>
      </c>
    </row>
    <row r="961" spans="1:9" ht="18" customHeight="1" x14ac:dyDescent="0.25">
      <c r="A961" s="4" t="s">
        <v>1873</v>
      </c>
      <c r="B961" s="4" t="s">
        <v>1874</v>
      </c>
      <c r="C961" s="5">
        <v>0</v>
      </c>
      <c r="D961" s="5">
        <v>6</v>
      </c>
      <c r="E961" s="4" t="str">
        <f t="shared" si="42"/>
        <v>REORDER NOW</v>
      </c>
      <c r="F961" s="4"/>
      <c r="G961" s="4"/>
      <c r="H961" s="5">
        <f t="shared" si="43"/>
        <v>3</v>
      </c>
      <c r="I961" s="5">
        <f t="shared" si="44"/>
        <v>0</v>
      </c>
    </row>
    <row r="962" spans="1:9" ht="18" customHeight="1" x14ac:dyDescent="0.25">
      <c r="A962" s="2" t="s">
        <v>1875</v>
      </c>
      <c r="B962" s="2" t="s">
        <v>1876</v>
      </c>
      <c r="C962" s="3">
        <v>2</v>
      </c>
      <c r="D962" s="3">
        <v>6</v>
      </c>
      <c r="E962" s="2" t="str">
        <f t="shared" si="42"/>
        <v>REORDER NOW</v>
      </c>
      <c r="F962" s="2"/>
      <c r="G962" s="2"/>
      <c r="H962" s="3">
        <f t="shared" si="43"/>
        <v>3</v>
      </c>
      <c r="I962" s="3">
        <f t="shared" si="44"/>
        <v>0.7</v>
      </c>
    </row>
    <row r="963" spans="1:9" ht="18" customHeight="1" x14ac:dyDescent="0.25">
      <c r="A963" s="4" t="s">
        <v>1877</v>
      </c>
      <c r="B963" s="4" t="s">
        <v>1878</v>
      </c>
      <c r="C963" s="5">
        <v>0</v>
      </c>
      <c r="D963" s="5">
        <v>6</v>
      </c>
      <c r="E963" s="4" t="str">
        <f t="shared" si="42"/>
        <v>REORDER NOW</v>
      </c>
      <c r="F963" s="4"/>
      <c r="G963" s="4"/>
      <c r="H963" s="5">
        <f t="shared" si="43"/>
        <v>3</v>
      </c>
      <c r="I963" s="5">
        <f t="shared" si="44"/>
        <v>0</v>
      </c>
    </row>
    <row r="964" spans="1:9" ht="18" customHeight="1" x14ac:dyDescent="0.25">
      <c r="A964" s="2" t="s">
        <v>1879</v>
      </c>
      <c r="B964" s="2" t="s">
        <v>1880</v>
      </c>
      <c r="C964" s="3">
        <v>0</v>
      </c>
      <c r="D964" s="3">
        <v>6</v>
      </c>
      <c r="E964" s="2" t="str">
        <f t="shared" ref="E964:E1027" si="45">IF(C964&lt;=D964,"REORDER NOW","OK")</f>
        <v>REORDER NOW</v>
      </c>
      <c r="F964" s="2"/>
      <c r="G964" s="2"/>
      <c r="H964" s="3">
        <f t="shared" ref="H964:H1027" si="46">D964/2</f>
        <v>3</v>
      </c>
      <c r="I964" s="3">
        <f t="shared" ref="I964:I1027" si="47">IF(H964=0,"N/A",ROUND(C964/H964,1))</f>
        <v>0</v>
      </c>
    </row>
    <row r="965" spans="1:9" ht="18" customHeight="1" x14ac:dyDescent="0.25">
      <c r="A965" s="4" t="s">
        <v>1881</v>
      </c>
      <c r="B965" s="4" t="s">
        <v>1882</v>
      </c>
      <c r="C965" s="5">
        <v>0</v>
      </c>
      <c r="D965" s="5">
        <v>6</v>
      </c>
      <c r="E965" s="4" t="str">
        <f t="shared" si="45"/>
        <v>REORDER NOW</v>
      </c>
      <c r="F965" s="4"/>
      <c r="G965" s="4"/>
      <c r="H965" s="5">
        <f t="shared" si="46"/>
        <v>3</v>
      </c>
      <c r="I965" s="5">
        <f t="shared" si="47"/>
        <v>0</v>
      </c>
    </row>
    <row r="966" spans="1:9" ht="18" customHeight="1" x14ac:dyDescent="0.25">
      <c r="A966" s="2" t="s">
        <v>1883</v>
      </c>
      <c r="B966" s="2" t="s">
        <v>1884</v>
      </c>
      <c r="C966" s="3">
        <v>0</v>
      </c>
      <c r="D966" s="3">
        <v>6</v>
      </c>
      <c r="E966" s="2" t="str">
        <f t="shared" si="45"/>
        <v>REORDER NOW</v>
      </c>
      <c r="F966" s="2"/>
      <c r="G966" s="2"/>
      <c r="H966" s="3">
        <f t="shared" si="46"/>
        <v>3</v>
      </c>
      <c r="I966" s="3">
        <f t="shared" si="47"/>
        <v>0</v>
      </c>
    </row>
    <row r="967" spans="1:9" ht="18" customHeight="1" x14ac:dyDescent="0.25">
      <c r="A967" s="4" t="s">
        <v>1885</v>
      </c>
      <c r="B967" s="4" t="s">
        <v>1886</v>
      </c>
      <c r="C967" s="5">
        <v>0</v>
      </c>
      <c r="D967" s="5">
        <v>6</v>
      </c>
      <c r="E967" s="4" t="str">
        <f t="shared" si="45"/>
        <v>REORDER NOW</v>
      </c>
      <c r="F967" s="4"/>
      <c r="G967" s="4"/>
      <c r="H967" s="5">
        <f t="shared" si="46"/>
        <v>3</v>
      </c>
      <c r="I967" s="5">
        <f t="shared" si="47"/>
        <v>0</v>
      </c>
    </row>
    <row r="968" spans="1:9" ht="18" customHeight="1" x14ac:dyDescent="0.25">
      <c r="A968" s="2" t="s">
        <v>1887</v>
      </c>
      <c r="B968" s="2" t="s">
        <v>1888</v>
      </c>
      <c r="C968" s="3">
        <v>0</v>
      </c>
      <c r="D968" s="3">
        <v>6</v>
      </c>
      <c r="E968" s="2" t="str">
        <f t="shared" si="45"/>
        <v>REORDER NOW</v>
      </c>
      <c r="F968" s="2"/>
      <c r="G968" s="2"/>
      <c r="H968" s="3">
        <f t="shared" si="46"/>
        <v>3</v>
      </c>
      <c r="I968" s="3">
        <f t="shared" si="47"/>
        <v>0</v>
      </c>
    </row>
    <row r="969" spans="1:9" ht="18" customHeight="1" x14ac:dyDescent="0.25">
      <c r="A969" s="4" t="s">
        <v>1889</v>
      </c>
      <c r="B969" s="4" t="s">
        <v>1890</v>
      </c>
      <c r="C969" s="5">
        <v>1</v>
      </c>
      <c r="D969" s="5">
        <v>6</v>
      </c>
      <c r="E969" s="4" t="str">
        <f t="shared" si="45"/>
        <v>REORDER NOW</v>
      </c>
      <c r="F969" s="4"/>
      <c r="G969" s="4"/>
      <c r="H969" s="5">
        <f t="shared" si="46"/>
        <v>3</v>
      </c>
      <c r="I969" s="5">
        <f t="shared" si="47"/>
        <v>0.3</v>
      </c>
    </row>
    <row r="970" spans="1:9" ht="18" customHeight="1" x14ac:dyDescent="0.25">
      <c r="A970" s="2" t="s">
        <v>1891</v>
      </c>
      <c r="B970" s="2" t="s">
        <v>1892</v>
      </c>
      <c r="C970" s="3">
        <v>0</v>
      </c>
      <c r="D970" s="3">
        <v>6</v>
      </c>
      <c r="E970" s="2" t="str">
        <f t="shared" si="45"/>
        <v>REORDER NOW</v>
      </c>
      <c r="F970" s="2"/>
      <c r="G970" s="2"/>
      <c r="H970" s="3">
        <f t="shared" si="46"/>
        <v>3</v>
      </c>
      <c r="I970" s="3">
        <f t="shared" si="47"/>
        <v>0</v>
      </c>
    </row>
    <row r="971" spans="1:9" ht="18" customHeight="1" x14ac:dyDescent="0.25">
      <c r="A971" s="4" t="s">
        <v>1893</v>
      </c>
      <c r="B971" s="4" t="s">
        <v>1894</v>
      </c>
      <c r="C971" s="5">
        <v>1</v>
      </c>
      <c r="D971" s="5">
        <v>6</v>
      </c>
      <c r="E971" s="4" t="str">
        <f t="shared" si="45"/>
        <v>REORDER NOW</v>
      </c>
      <c r="F971" s="4"/>
      <c r="G971" s="4"/>
      <c r="H971" s="5">
        <f t="shared" si="46"/>
        <v>3</v>
      </c>
      <c r="I971" s="5">
        <f t="shared" si="47"/>
        <v>0.3</v>
      </c>
    </row>
    <row r="972" spans="1:9" ht="18" customHeight="1" x14ac:dyDescent="0.25">
      <c r="A972" s="2" t="s">
        <v>1895</v>
      </c>
      <c r="B972" s="2" t="s">
        <v>1896</v>
      </c>
      <c r="C972" s="3">
        <v>2</v>
      </c>
      <c r="D972" s="3">
        <v>6</v>
      </c>
      <c r="E972" s="2" t="str">
        <f t="shared" si="45"/>
        <v>REORDER NOW</v>
      </c>
      <c r="F972" s="2"/>
      <c r="G972" s="2"/>
      <c r="H972" s="3">
        <f t="shared" si="46"/>
        <v>3</v>
      </c>
      <c r="I972" s="3">
        <f t="shared" si="47"/>
        <v>0.7</v>
      </c>
    </row>
    <row r="973" spans="1:9" ht="18" customHeight="1" x14ac:dyDescent="0.25">
      <c r="A973" s="4" t="s">
        <v>1897</v>
      </c>
      <c r="B973" s="4" t="s">
        <v>1898</v>
      </c>
      <c r="C973" s="5">
        <v>3</v>
      </c>
      <c r="D973" s="5">
        <v>6</v>
      </c>
      <c r="E973" s="4" t="str">
        <f t="shared" si="45"/>
        <v>REORDER NOW</v>
      </c>
      <c r="F973" s="4"/>
      <c r="G973" s="4"/>
      <c r="H973" s="5">
        <f t="shared" si="46"/>
        <v>3</v>
      </c>
      <c r="I973" s="5">
        <f t="shared" si="47"/>
        <v>1</v>
      </c>
    </row>
    <row r="974" spans="1:9" ht="18" customHeight="1" x14ac:dyDescent="0.25">
      <c r="A974" s="2" t="s">
        <v>1899</v>
      </c>
      <c r="B974" s="2" t="s">
        <v>1900</v>
      </c>
      <c r="C974" s="3">
        <v>4</v>
      </c>
      <c r="D974" s="3">
        <v>6</v>
      </c>
      <c r="E974" s="2" t="str">
        <f t="shared" si="45"/>
        <v>REORDER NOW</v>
      </c>
      <c r="F974" s="2"/>
      <c r="G974" s="2"/>
      <c r="H974" s="3">
        <f t="shared" si="46"/>
        <v>3</v>
      </c>
      <c r="I974" s="3">
        <f t="shared" si="47"/>
        <v>1.3</v>
      </c>
    </row>
    <row r="975" spans="1:9" ht="18" customHeight="1" x14ac:dyDescent="0.25">
      <c r="A975" s="4" t="s">
        <v>1901</v>
      </c>
      <c r="B975" s="4" t="s">
        <v>1902</v>
      </c>
      <c r="C975" s="5">
        <v>3</v>
      </c>
      <c r="D975" s="5">
        <v>6</v>
      </c>
      <c r="E975" s="4" t="str">
        <f t="shared" si="45"/>
        <v>REORDER NOW</v>
      </c>
      <c r="F975" s="4"/>
      <c r="G975" s="4"/>
      <c r="H975" s="5">
        <f t="shared" si="46"/>
        <v>3</v>
      </c>
      <c r="I975" s="5">
        <f t="shared" si="47"/>
        <v>1</v>
      </c>
    </row>
    <row r="976" spans="1:9" ht="18" customHeight="1" x14ac:dyDescent="0.25">
      <c r="A976" s="2" t="s">
        <v>1903</v>
      </c>
      <c r="B976" s="2" t="s">
        <v>1904</v>
      </c>
      <c r="C976" s="3">
        <v>6</v>
      </c>
      <c r="D976" s="3">
        <v>10</v>
      </c>
      <c r="E976" s="2" t="str">
        <f t="shared" si="45"/>
        <v>REORDER NOW</v>
      </c>
      <c r="F976" s="2"/>
      <c r="G976" s="2"/>
      <c r="H976" s="3">
        <f t="shared" si="46"/>
        <v>5</v>
      </c>
      <c r="I976" s="3">
        <f t="shared" si="47"/>
        <v>1.2</v>
      </c>
    </row>
    <row r="977" spans="1:9" ht="18" customHeight="1" x14ac:dyDescent="0.25">
      <c r="A977" s="4" t="s">
        <v>1905</v>
      </c>
      <c r="B977" s="4" t="s">
        <v>1906</v>
      </c>
      <c r="C977" s="5">
        <v>3</v>
      </c>
      <c r="D977" s="5">
        <v>6</v>
      </c>
      <c r="E977" s="4" t="str">
        <f t="shared" si="45"/>
        <v>REORDER NOW</v>
      </c>
      <c r="F977" s="4"/>
      <c r="G977" s="4"/>
      <c r="H977" s="5">
        <f t="shared" si="46"/>
        <v>3</v>
      </c>
      <c r="I977" s="5">
        <f t="shared" si="47"/>
        <v>1</v>
      </c>
    </row>
    <row r="978" spans="1:9" ht="18" customHeight="1" x14ac:dyDescent="0.25">
      <c r="A978" s="2" t="s">
        <v>1907</v>
      </c>
      <c r="B978" s="2" t="s">
        <v>1908</v>
      </c>
      <c r="C978" s="3">
        <v>0</v>
      </c>
      <c r="D978" s="3">
        <v>6</v>
      </c>
      <c r="E978" s="2" t="str">
        <f t="shared" si="45"/>
        <v>REORDER NOW</v>
      </c>
      <c r="F978" s="2"/>
      <c r="G978" s="2"/>
      <c r="H978" s="3">
        <f t="shared" si="46"/>
        <v>3</v>
      </c>
      <c r="I978" s="3">
        <f t="shared" si="47"/>
        <v>0</v>
      </c>
    </row>
    <row r="979" spans="1:9" ht="18" customHeight="1" x14ac:dyDescent="0.25">
      <c r="A979" s="4" t="s">
        <v>1909</v>
      </c>
      <c r="B979" s="4" t="s">
        <v>1910</v>
      </c>
      <c r="C979" s="5">
        <v>0</v>
      </c>
      <c r="D979" s="5">
        <v>6</v>
      </c>
      <c r="E979" s="4" t="str">
        <f t="shared" si="45"/>
        <v>REORDER NOW</v>
      </c>
      <c r="F979" s="4"/>
      <c r="G979" s="4"/>
      <c r="H979" s="5">
        <f t="shared" si="46"/>
        <v>3</v>
      </c>
      <c r="I979" s="5">
        <f t="shared" si="47"/>
        <v>0</v>
      </c>
    </row>
    <row r="980" spans="1:9" ht="18" customHeight="1" x14ac:dyDescent="0.25">
      <c r="A980" s="2" t="s">
        <v>1911</v>
      </c>
      <c r="B980" s="2" t="s">
        <v>1912</v>
      </c>
      <c r="C980" s="3">
        <v>0</v>
      </c>
      <c r="D980" s="3">
        <v>6</v>
      </c>
      <c r="E980" s="2" t="str">
        <f t="shared" si="45"/>
        <v>REORDER NOW</v>
      </c>
      <c r="F980" s="2"/>
      <c r="G980" s="2"/>
      <c r="H980" s="3">
        <f t="shared" si="46"/>
        <v>3</v>
      </c>
      <c r="I980" s="3">
        <f t="shared" si="47"/>
        <v>0</v>
      </c>
    </row>
    <row r="981" spans="1:9" ht="18" customHeight="1" x14ac:dyDescent="0.25">
      <c r="A981" s="4" t="s">
        <v>1913</v>
      </c>
      <c r="B981" s="4" t="s">
        <v>1914</v>
      </c>
      <c r="C981" s="5">
        <v>3</v>
      </c>
      <c r="D981" s="5">
        <v>6</v>
      </c>
      <c r="E981" s="4" t="str">
        <f t="shared" si="45"/>
        <v>REORDER NOW</v>
      </c>
      <c r="F981" s="4"/>
      <c r="G981" s="4"/>
      <c r="H981" s="5">
        <f t="shared" si="46"/>
        <v>3</v>
      </c>
      <c r="I981" s="5">
        <f t="shared" si="47"/>
        <v>1</v>
      </c>
    </row>
    <row r="982" spans="1:9" ht="18" customHeight="1" x14ac:dyDescent="0.25">
      <c r="A982" s="2" t="s">
        <v>1915</v>
      </c>
      <c r="B982" s="2" t="s">
        <v>1916</v>
      </c>
      <c r="C982" s="3">
        <v>4</v>
      </c>
      <c r="D982" s="3">
        <v>6</v>
      </c>
      <c r="E982" s="2" t="str">
        <f t="shared" si="45"/>
        <v>REORDER NOW</v>
      </c>
      <c r="F982" s="2"/>
      <c r="G982" s="2"/>
      <c r="H982" s="3">
        <f t="shared" si="46"/>
        <v>3</v>
      </c>
      <c r="I982" s="3">
        <f t="shared" si="47"/>
        <v>1.3</v>
      </c>
    </row>
    <row r="983" spans="1:9" ht="18" customHeight="1" x14ac:dyDescent="0.25">
      <c r="A983" s="4" t="s">
        <v>1917</v>
      </c>
      <c r="B983" s="4" t="s">
        <v>1918</v>
      </c>
      <c r="C983" s="5">
        <v>0</v>
      </c>
      <c r="D983" s="5">
        <v>6</v>
      </c>
      <c r="E983" s="4" t="str">
        <f t="shared" si="45"/>
        <v>REORDER NOW</v>
      </c>
      <c r="F983" s="4"/>
      <c r="G983" s="4"/>
      <c r="H983" s="5">
        <f t="shared" si="46"/>
        <v>3</v>
      </c>
      <c r="I983" s="5">
        <f t="shared" si="47"/>
        <v>0</v>
      </c>
    </row>
    <row r="984" spans="1:9" ht="18" customHeight="1" x14ac:dyDescent="0.25">
      <c r="A984" s="2" t="s">
        <v>1919</v>
      </c>
      <c r="B984" s="2" t="s">
        <v>1920</v>
      </c>
      <c r="C984" s="3">
        <v>9</v>
      </c>
      <c r="D984" s="3">
        <v>10</v>
      </c>
      <c r="E984" s="2" t="str">
        <f t="shared" si="45"/>
        <v>REORDER NOW</v>
      </c>
      <c r="F984" s="2"/>
      <c r="G984" s="2"/>
      <c r="H984" s="3">
        <f t="shared" si="46"/>
        <v>5</v>
      </c>
      <c r="I984" s="3">
        <f t="shared" si="47"/>
        <v>1.8</v>
      </c>
    </row>
    <row r="985" spans="1:9" ht="18" customHeight="1" x14ac:dyDescent="0.25">
      <c r="A985" s="4" t="s">
        <v>1921</v>
      </c>
      <c r="B985" s="4" t="s">
        <v>1922</v>
      </c>
      <c r="C985" s="5">
        <v>10</v>
      </c>
      <c r="D985" s="5">
        <v>10</v>
      </c>
      <c r="E985" s="4" t="str">
        <f t="shared" si="45"/>
        <v>REORDER NOW</v>
      </c>
      <c r="F985" s="4"/>
      <c r="G985" s="4"/>
      <c r="H985" s="5">
        <f t="shared" si="46"/>
        <v>5</v>
      </c>
      <c r="I985" s="5">
        <f t="shared" si="47"/>
        <v>2</v>
      </c>
    </row>
    <row r="986" spans="1:9" ht="18" customHeight="1" x14ac:dyDescent="0.25">
      <c r="A986" s="2" t="s">
        <v>1923</v>
      </c>
      <c r="B986" s="2" t="s">
        <v>1924</v>
      </c>
      <c r="C986" s="3">
        <v>6</v>
      </c>
      <c r="D986" s="3">
        <v>10</v>
      </c>
      <c r="E986" s="2" t="str">
        <f t="shared" si="45"/>
        <v>REORDER NOW</v>
      </c>
      <c r="F986" s="2"/>
      <c r="G986" s="2"/>
      <c r="H986" s="3">
        <f t="shared" si="46"/>
        <v>5</v>
      </c>
      <c r="I986" s="3">
        <f t="shared" si="47"/>
        <v>1.2</v>
      </c>
    </row>
    <row r="987" spans="1:9" ht="18" customHeight="1" x14ac:dyDescent="0.25">
      <c r="A987" s="4" t="s">
        <v>1925</v>
      </c>
      <c r="B987" s="4" t="s">
        <v>1926</v>
      </c>
      <c r="C987" s="5">
        <v>7</v>
      </c>
      <c r="D987" s="5">
        <v>10</v>
      </c>
      <c r="E987" s="4" t="str">
        <f t="shared" si="45"/>
        <v>REORDER NOW</v>
      </c>
      <c r="F987" s="4"/>
      <c r="G987" s="4"/>
      <c r="H987" s="5">
        <f t="shared" si="46"/>
        <v>5</v>
      </c>
      <c r="I987" s="5">
        <f t="shared" si="47"/>
        <v>1.4</v>
      </c>
    </row>
    <row r="988" spans="1:9" ht="18" customHeight="1" x14ac:dyDescent="0.25">
      <c r="A988" s="2" t="s">
        <v>1927</v>
      </c>
      <c r="B988" s="2" t="s">
        <v>449</v>
      </c>
      <c r="C988" s="3">
        <v>0</v>
      </c>
      <c r="D988" s="3">
        <v>6</v>
      </c>
      <c r="E988" s="2" t="str">
        <f t="shared" si="45"/>
        <v>REORDER NOW</v>
      </c>
      <c r="F988" s="2"/>
      <c r="G988" s="2"/>
      <c r="H988" s="3">
        <f t="shared" si="46"/>
        <v>3</v>
      </c>
      <c r="I988" s="3">
        <f t="shared" si="47"/>
        <v>0</v>
      </c>
    </row>
    <row r="989" spans="1:9" ht="18" customHeight="1" x14ac:dyDescent="0.25">
      <c r="A989" s="4" t="s">
        <v>1928</v>
      </c>
      <c r="B989" s="4" t="s">
        <v>1929</v>
      </c>
      <c r="C989" s="5">
        <v>0</v>
      </c>
      <c r="D989" s="5">
        <v>6</v>
      </c>
      <c r="E989" s="4" t="str">
        <f t="shared" si="45"/>
        <v>REORDER NOW</v>
      </c>
      <c r="F989" s="4"/>
      <c r="G989" s="4"/>
      <c r="H989" s="5">
        <f t="shared" si="46"/>
        <v>3</v>
      </c>
      <c r="I989" s="5">
        <f t="shared" si="47"/>
        <v>0</v>
      </c>
    </row>
    <row r="990" spans="1:9" ht="18" customHeight="1" x14ac:dyDescent="0.25">
      <c r="A990" s="2" t="s">
        <v>1930</v>
      </c>
      <c r="B990" s="2" t="s">
        <v>1931</v>
      </c>
      <c r="C990" s="3">
        <v>0</v>
      </c>
      <c r="D990" s="3">
        <v>6</v>
      </c>
      <c r="E990" s="2" t="str">
        <f t="shared" si="45"/>
        <v>REORDER NOW</v>
      </c>
      <c r="F990" s="2"/>
      <c r="G990" s="2"/>
      <c r="H990" s="3">
        <f t="shared" si="46"/>
        <v>3</v>
      </c>
      <c r="I990" s="3">
        <f t="shared" si="47"/>
        <v>0</v>
      </c>
    </row>
    <row r="991" spans="1:9" ht="18" customHeight="1" x14ac:dyDescent="0.25">
      <c r="A991" s="4" t="s">
        <v>1932</v>
      </c>
      <c r="B991" s="4" t="s">
        <v>1933</v>
      </c>
      <c r="C991" s="5">
        <v>0</v>
      </c>
      <c r="D991" s="5">
        <v>6</v>
      </c>
      <c r="E991" s="4" t="str">
        <f t="shared" si="45"/>
        <v>REORDER NOW</v>
      </c>
      <c r="F991" s="4"/>
      <c r="G991" s="4"/>
      <c r="H991" s="5">
        <f t="shared" si="46"/>
        <v>3</v>
      </c>
      <c r="I991" s="5">
        <f t="shared" si="47"/>
        <v>0</v>
      </c>
    </row>
    <row r="992" spans="1:9" ht="18" customHeight="1" x14ac:dyDescent="0.25">
      <c r="A992" s="2" t="s">
        <v>1934</v>
      </c>
      <c r="B992" s="2" t="s">
        <v>1935</v>
      </c>
      <c r="C992" s="3">
        <v>0</v>
      </c>
      <c r="D992" s="3">
        <v>6</v>
      </c>
      <c r="E992" s="2" t="str">
        <f t="shared" si="45"/>
        <v>REORDER NOW</v>
      </c>
      <c r="F992" s="2"/>
      <c r="G992" s="2"/>
      <c r="H992" s="3">
        <f t="shared" si="46"/>
        <v>3</v>
      </c>
      <c r="I992" s="3">
        <f t="shared" si="47"/>
        <v>0</v>
      </c>
    </row>
    <row r="993" spans="1:9" ht="18" customHeight="1" x14ac:dyDescent="0.25">
      <c r="A993" s="4" t="s">
        <v>1936</v>
      </c>
      <c r="B993" s="4" t="s">
        <v>1937</v>
      </c>
      <c r="C993" s="5">
        <v>7</v>
      </c>
      <c r="D993" s="5">
        <v>10</v>
      </c>
      <c r="E993" s="4" t="str">
        <f t="shared" si="45"/>
        <v>REORDER NOW</v>
      </c>
      <c r="F993" s="4"/>
      <c r="G993" s="4"/>
      <c r="H993" s="5">
        <f t="shared" si="46"/>
        <v>5</v>
      </c>
      <c r="I993" s="5">
        <f t="shared" si="47"/>
        <v>1.4</v>
      </c>
    </row>
    <row r="994" spans="1:9" ht="18" customHeight="1" x14ac:dyDescent="0.25">
      <c r="A994" s="2" t="s">
        <v>1938</v>
      </c>
      <c r="B994" s="2" t="s">
        <v>1939</v>
      </c>
      <c r="C994" s="3">
        <v>79</v>
      </c>
      <c r="D994" s="3">
        <v>40</v>
      </c>
      <c r="E994" s="2" t="str">
        <f t="shared" si="45"/>
        <v>OK</v>
      </c>
      <c r="F994" s="2"/>
      <c r="G994" s="2"/>
      <c r="H994" s="3">
        <f t="shared" si="46"/>
        <v>20</v>
      </c>
      <c r="I994" s="3">
        <f t="shared" si="47"/>
        <v>4</v>
      </c>
    </row>
    <row r="995" spans="1:9" ht="18" customHeight="1" x14ac:dyDescent="0.25">
      <c r="A995" s="4" t="s">
        <v>1940</v>
      </c>
      <c r="B995" s="4" t="s">
        <v>1941</v>
      </c>
      <c r="C995" s="5">
        <v>0</v>
      </c>
      <c r="D995" s="5">
        <v>6</v>
      </c>
      <c r="E995" s="4" t="str">
        <f t="shared" si="45"/>
        <v>REORDER NOW</v>
      </c>
      <c r="F995" s="4"/>
      <c r="G995" s="4"/>
      <c r="H995" s="5">
        <f t="shared" si="46"/>
        <v>3</v>
      </c>
      <c r="I995" s="5">
        <f t="shared" si="47"/>
        <v>0</v>
      </c>
    </row>
    <row r="996" spans="1:9" ht="18" customHeight="1" x14ac:dyDescent="0.25">
      <c r="A996" s="2" t="s">
        <v>1942</v>
      </c>
      <c r="B996" s="2" t="s">
        <v>1943</v>
      </c>
      <c r="C996" s="3">
        <v>1</v>
      </c>
      <c r="D996" s="3">
        <v>6</v>
      </c>
      <c r="E996" s="2" t="str">
        <f t="shared" si="45"/>
        <v>REORDER NOW</v>
      </c>
      <c r="F996" s="2"/>
      <c r="G996" s="2"/>
      <c r="H996" s="3">
        <f t="shared" si="46"/>
        <v>3</v>
      </c>
      <c r="I996" s="3">
        <f t="shared" si="47"/>
        <v>0.3</v>
      </c>
    </row>
    <row r="997" spans="1:9" ht="18" customHeight="1" x14ac:dyDescent="0.25">
      <c r="A997" s="4" t="s">
        <v>1944</v>
      </c>
      <c r="B997" s="4" t="s">
        <v>1945</v>
      </c>
      <c r="C997" s="5">
        <v>0</v>
      </c>
      <c r="D997" s="5">
        <v>6</v>
      </c>
      <c r="E997" s="4" t="str">
        <f t="shared" si="45"/>
        <v>REORDER NOW</v>
      </c>
      <c r="F997" s="4"/>
      <c r="G997" s="4"/>
      <c r="H997" s="5">
        <f t="shared" si="46"/>
        <v>3</v>
      </c>
      <c r="I997" s="5">
        <f t="shared" si="47"/>
        <v>0</v>
      </c>
    </row>
    <row r="998" spans="1:9" ht="18" customHeight="1" x14ac:dyDescent="0.25">
      <c r="A998" s="2" t="s">
        <v>1946</v>
      </c>
      <c r="B998" s="2" t="s">
        <v>1947</v>
      </c>
      <c r="C998" s="3">
        <v>10</v>
      </c>
      <c r="D998" s="3">
        <v>10</v>
      </c>
      <c r="E998" s="2" t="str">
        <f t="shared" si="45"/>
        <v>REORDER NOW</v>
      </c>
      <c r="F998" s="2"/>
      <c r="G998" s="2"/>
      <c r="H998" s="3">
        <f t="shared" si="46"/>
        <v>5</v>
      </c>
      <c r="I998" s="3">
        <f t="shared" si="47"/>
        <v>2</v>
      </c>
    </row>
    <row r="999" spans="1:9" ht="18" customHeight="1" x14ac:dyDescent="0.25">
      <c r="A999" s="4" t="s">
        <v>1948</v>
      </c>
      <c r="B999" s="4" t="s">
        <v>1949</v>
      </c>
      <c r="C999" s="5">
        <v>1</v>
      </c>
      <c r="D999" s="5">
        <v>6</v>
      </c>
      <c r="E999" s="4" t="str">
        <f t="shared" si="45"/>
        <v>REORDER NOW</v>
      </c>
      <c r="F999" s="4"/>
      <c r="G999" s="4"/>
      <c r="H999" s="5">
        <f t="shared" si="46"/>
        <v>3</v>
      </c>
      <c r="I999" s="5">
        <f t="shared" si="47"/>
        <v>0.3</v>
      </c>
    </row>
    <row r="1000" spans="1:9" ht="18" customHeight="1" x14ac:dyDescent="0.25">
      <c r="A1000" s="2" t="s">
        <v>1950</v>
      </c>
      <c r="B1000" s="2" t="s">
        <v>1951</v>
      </c>
      <c r="C1000" s="3">
        <v>0</v>
      </c>
      <c r="D1000" s="3">
        <v>6</v>
      </c>
      <c r="E1000" s="2" t="str">
        <f t="shared" si="45"/>
        <v>REORDER NOW</v>
      </c>
      <c r="F1000" s="2"/>
      <c r="G1000" s="2"/>
      <c r="H1000" s="3">
        <f t="shared" si="46"/>
        <v>3</v>
      </c>
      <c r="I1000" s="3">
        <f t="shared" si="47"/>
        <v>0</v>
      </c>
    </row>
    <row r="1001" spans="1:9" ht="18" customHeight="1" x14ac:dyDescent="0.25">
      <c r="A1001" s="4" t="s">
        <v>1952</v>
      </c>
      <c r="B1001" s="4" t="s">
        <v>1953</v>
      </c>
      <c r="C1001" s="5">
        <v>0</v>
      </c>
      <c r="D1001" s="5">
        <v>6</v>
      </c>
      <c r="E1001" s="4" t="str">
        <f t="shared" si="45"/>
        <v>REORDER NOW</v>
      </c>
      <c r="F1001" s="4"/>
      <c r="G1001" s="4"/>
      <c r="H1001" s="5">
        <f t="shared" si="46"/>
        <v>3</v>
      </c>
      <c r="I1001" s="5">
        <f t="shared" si="47"/>
        <v>0</v>
      </c>
    </row>
    <row r="1002" spans="1:9" ht="18" customHeight="1" x14ac:dyDescent="0.25">
      <c r="A1002" s="2" t="s">
        <v>1954</v>
      </c>
      <c r="B1002" s="2" t="s">
        <v>1955</v>
      </c>
      <c r="C1002" s="3">
        <v>0</v>
      </c>
      <c r="D1002" s="3">
        <v>6</v>
      </c>
      <c r="E1002" s="2" t="str">
        <f t="shared" si="45"/>
        <v>REORDER NOW</v>
      </c>
      <c r="F1002" s="2"/>
      <c r="G1002" s="2"/>
      <c r="H1002" s="3">
        <f t="shared" si="46"/>
        <v>3</v>
      </c>
      <c r="I1002" s="3">
        <f t="shared" si="47"/>
        <v>0</v>
      </c>
    </row>
    <row r="1003" spans="1:9" ht="18" customHeight="1" x14ac:dyDescent="0.25">
      <c r="A1003" s="4" t="s">
        <v>1956</v>
      </c>
      <c r="B1003" s="4" t="s">
        <v>1957</v>
      </c>
      <c r="C1003" s="5">
        <v>0</v>
      </c>
      <c r="D1003" s="5">
        <v>6</v>
      </c>
      <c r="E1003" s="4" t="str">
        <f t="shared" si="45"/>
        <v>REORDER NOW</v>
      </c>
      <c r="F1003" s="4"/>
      <c r="G1003" s="4"/>
      <c r="H1003" s="5">
        <f t="shared" si="46"/>
        <v>3</v>
      </c>
      <c r="I1003" s="5">
        <f t="shared" si="47"/>
        <v>0</v>
      </c>
    </row>
    <row r="1004" spans="1:9" ht="18" customHeight="1" x14ac:dyDescent="0.25">
      <c r="A1004" s="2" t="s">
        <v>1958</v>
      </c>
      <c r="B1004" s="2" t="s">
        <v>1959</v>
      </c>
      <c r="C1004" s="3">
        <v>0</v>
      </c>
      <c r="D1004" s="3">
        <v>6</v>
      </c>
      <c r="E1004" s="2" t="str">
        <f t="shared" si="45"/>
        <v>REORDER NOW</v>
      </c>
      <c r="F1004" s="2"/>
      <c r="G1004" s="2"/>
      <c r="H1004" s="3">
        <f t="shared" si="46"/>
        <v>3</v>
      </c>
      <c r="I1004" s="3">
        <f t="shared" si="47"/>
        <v>0</v>
      </c>
    </row>
    <row r="1005" spans="1:9" ht="18" customHeight="1" x14ac:dyDescent="0.25">
      <c r="A1005" s="4" t="s">
        <v>1960</v>
      </c>
      <c r="B1005" s="4" t="s">
        <v>1961</v>
      </c>
      <c r="C1005" s="5">
        <v>0</v>
      </c>
      <c r="D1005" s="5">
        <v>6</v>
      </c>
      <c r="E1005" s="4" t="str">
        <f t="shared" si="45"/>
        <v>REORDER NOW</v>
      </c>
      <c r="F1005" s="4"/>
      <c r="G1005" s="4"/>
      <c r="H1005" s="5">
        <f t="shared" si="46"/>
        <v>3</v>
      </c>
      <c r="I1005" s="5">
        <f t="shared" si="47"/>
        <v>0</v>
      </c>
    </row>
    <row r="1006" spans="1:9" ht="18" customHeight="1" x14ac:dyDescent="0.25">
      <c r="A1006" s="2" t="s">
        <v>1962</v>
      </c>
      <c r="B1006" s="2" t="s">
        <v>1963</v>
      </c>
      <c r="C1006" s="3">
        <v>0</v>
      </c>
      <c r="D1006" s="3">
        <v>6</v>
      </c>
      <c r="E1006" s="2" t="str">
        <f t="shared" si="45"/>
        <v>REORDER NOW</v>
      </c>
      <c r="F1006" s="2"/>
      <c r="G1006" s="2"/>
      <c r="H1006" s="3">
        <f t="shared" si="46"/>
        <v>3</v>
      </c>
      <c r="I1006" s="3">
        <f t="shared" si="47"/>
        <v>0</v>
      </c>
    </row>
    <row r="1007" spans="1:9" ht="18" customHeight="1" x14ac:dyDescent="0.25">
      <c r="A1007" s="4" t="s">
        <v>1964</v>
      </c>
      <c r="B1007" s="4" t="s">
        <v>1965</v>
      </c>
      <c r="C1007" s="5">
        <v>0</v>
      </c>
      <c r="D1007" s="5">
        <v>6</v>
      </c>
      <c r="E1007" s="4" t="str">
        <f t="shared" si="45"/>
        <v>REORDER NOW</v>
      </c>
      <c r="F1007" s="4"/>
      <c r="G1007" s="4"/>
      <c r="H1007" s="5">
        <f t="shared" si="46"/>
        <v>3</v>
      </c>
      <c r="I1007" s="5">
        <f t="shared" si="47"/>
        <v>0</v>
      </c>
    </row>
    <row r="1008" spans="1:9" ht="18" customHeight="1" x14ac:dyDescent="0.25">
      <c r="A1008" s="2" t="s">
        <v>1966</v>
      </c>
      <c r="B1008" s="2" t="s">
        <v>1967</v>
      </c>
      <c r="C1008" s="3">
        <v>1</v>
      </c>
      <c r="D1008" s="3">
        <v>6</v>
      </c>
      <c r="E1008" s="2" t="str">
        <f t="shared" si="45"/>
        <v>REORDER NOW</v>
      </c>
      <c r="F1008" s="2"/>
      <c r="G1008" s="2"/>
      <c r="H1008" s="3">
        <f t="shared" si="46"/>
        <v>3</v>
      </c>
      <c r="I1008" s="3">
        <f t="shared" si="47"/>
        <v>0.3</v>
      </c>
    </row>
    <row r="1009" spans="1:9" ht="18" customHeight="1" x14ac:dyDescent="0.25">
      <c r="A1009" s="4" t="s">
        <v>1968</v>
      </c>
      <c r="B1009" s="4" t="s">
        <v>1969</v>
      </c>
      <c r="C1009" s="5">
        <v>7</v>
      </c>
      <c r="D1009" s="5">
        <v>10</v>
      </c>
      <c r="E1009" s="4" t="str">
        <f t="shared" si="45"/>
        <v>REORDER NOW</v>
      </c>
      <c r="F1009" s="4"/>
      <c r="G1009" s="4"/>
      <c r="H1009" s="5">
        <f t="shared" si="46"/>
        <v>5</v>
      </c>
      <c r="I1009" s="5">
        <f t="shared" si="47"/>
        <v>1.4</v>
      </c>
    </row>
    <row r="1010" spans="1:9" ht="18" customHeight="1" x14ac:dyDescent="0.25">
      <c r="A1010" s="2" t="s">
        <v>1970</v>
      </c>
      <c r="B1010" s="2" t="s">
        <v>1971</v>
      </c>
      <c r="C1010" s="3">
        <v>0</v>
      </c>
      <c r="D1010" s="3">
        <v>6</v>
      </c>
      <c r="E1010" s="2" t="str">
        <f t="shared" si="45"/>
        <v>REORDER NOW</v>
      </c>
      <c r="F1010" s="2"/>
      <c r="G1010" s="2"/>
      <c r="H1010" s="3">
        <f t="shared" si="46"/>
        <v>3</v>
      </c>
      <c r="I1010" s="3">
        <f t="shared" si="47"/>
        <v>0</v>
      </c>
    </row>
    <row r="1011" spans="1:9" ht="18" customHeight="1" x14ac:dyDescent="0.25">
      <c r="A1011" s="4" t="s">
        <v>1972</v>
      </c>
      <c r="B1011" s="4" t="s">
        <v>1973</v>
      </c>
      <c r="C1011" s="5">
        <v>1</v>
      </c>
      <c r="D1011" s="5">
        <v>6</v>
      </c>
      <c r="E1011" s="4" t="str">
        <f t="shared" si="45"/>
        <v>REORDER NOW</v>
      </c>
      <c r="F1011" s="4"/>
      <c r="G1011" s="4"/>
      <c r="H1011" s="5">
        <f t="shared" si="46"/>
        <v>3</v>
      </c>
      <c r="I1011" s="5">
        <f t="shared" si="47"/>
        <v>0.3</v>
      </c>
    </row>
    <row r="1012" spans="1:9" ht="18" customHeight="1" x14ac:dyDescent="0.25">
      <c r="A1012" s="2" t="s">
        <v>1974</v>
      </c>
      <c r="B1012" s="2" t="s">
        <v>1975</v>
      </c>
      <c r="C1012" s="3">
        <v>0</v>
      </c>
      <c r="D1012" s="3">
        <v>6</v>
      </c>
      <c r="E1012" s="2" t="str">
        <f t="shared" si="45"/>
        <v>REORDER NOW</v>
      </c>
      <c r="F1012" s="2"/>
      <c r="G1012" s="2"/>
      <c r="H1012" s="3">
        <f t="shared" si="46"/>
        <v>3</v>
      </c>
      <c r="I1012" s="3">
        <f t="shared" si="47"/>
        <v>0</v>
      </c>
    </row>
    <row r="1013" spans="1:9" ht="18" customHeight="1" x14ac:dyDescent="0.25">
      <c r="A1013" s="4" t="s">
        <v>1976</v>
      </c>
      <c r="B1013" s="4" t="s">
        <v>1977</v>
      </c>
      <c r="C1013" s="5">
        <v>0</v>
      </c>
      <c r="D1013" s="5">
        <v>6</v>
      </c>
      <c r="E1013" s="4" t="str">
        <f t="shared" si="45"/>
        <v>REORDER NOW</v>
      </c>
      <c r="F1013" s="4"/>
      <c r="G1013" s="4"/>
      <c r="H1013" s="5">
        <f t="shared" si="46"/>
        <v>3</v>
      </c>
      <c r="I1013" s="5">
        <f t="shared" si="47"/>
        <v>0</v>
      </c>
    </row>
    <row r="1014" spans="1:9" ht="18" customHeight="1" x14ac:dyDescent="0.25">
      <c r="A1014" s="2" t="s">
        <v>1978</v>
      </c>
      <c r="B1014" s="2" t="s">
        <v>1979</v>
      </c>
      <c r="C1014" s="3">
        <v>0</v>
      </c>
      <c r="D1014" s="3">
        <v>6</v>
      </c>
      <c r="E1014" s="2" t="str">
        <f t="shared" si="45"/>
        <v>REORDER NOW</v>
      </c>
      <c r="F1014" s="2"/>
      <c r="G1014" s="2"/>
      <c r="H1014" s="3">
        <f t="shared" si="46"/>
        <v>3</v>
      </c>
      <c r="I1014" s="3">
        <f t="shared" si="47"/>
        <v>0</v>
      </c>
    </row>
    <row r="1015" spans="1:9" ht="18" customHeight="1" x14ac:dyDescent="0.25">
      <c r="A1015" s="4" t="s">
        <v>1980</v>
      </c>
      <c r="B1015" s="4" t="s">
        <v>1981</v>
      </c>
      <c r="C1015" s="5">
        <v>0</v>
      </c>
      <c r="D1015" s="5">
        <v>6</v>
      </c>
      <c r="E1015" s="4" t="str">
        <f t="shared" si="45"/>
        <v>REORDER NOW</v>
      </c>
      <c r="F1015" s="4"/>
      <c r="G1015" s="4"/>
      <c r="H1015" s="5">
        <f t="shared" si="46"/>
        <v>3</v>
      </c>
      <c r="I1015" s="5">
        <f t="shared" si="47"/>
        <v>0</v>
      </c>
    </row>
    <row r="1016" spans="1:9" ht="18" customHeight="1" x14ac:dyDescent="0.25">
      <c r="A1016" s="2" t="s">
        <v>1982</v>
      </c>
      <c r="B1016" s="2" t="s">
        <v>1983</v>
      </c>
      <c r="C1016" s="3">
        <v>0</v>
      </c>
      <c r="D1016" s="3">
        <v>6</v>
      </c>
      <c r="E1016" s="2" t="str">
        <f t="shared" si="45"/>
        <v>REORDER NOW</v>
      </c>
      <c r="F1016" s="2"/>
      <c r="G1016" s="2"/>
      <c r="H1016" s="3">
        <f t="shared" si="46"/>
        <v>3</v>
      </c>
      <c r="I1016" s="3">
        <f t="shared" si="47"/>
        <v>0</v>
      </c>
    </row>
    <row r="1017" spans="1:9" ht="18" customHeight="1" x14ac:dyDescent="0.25">
      <c r="A1017" s="4" t="s">
        <v>1984</v>
      </c>
      <c r="B1017" s="4" t="s">
        <v>1985</v>
      </c>
      <c r="C1017" s="5">
        <v>0</v>
      </c>
      <c r="D1017" s="5">
        <v>6</v>
      </c>
      <c r="E1017" s="4" t="str">
        <f t="shared" si="45"/>
        <v>REORDER NOW</v>
      </c>
      <c r="F1017" s="4"/>
      <c r="G1017" s="4"/>
      <c r="H1017" s="5">
        <f t="shared" si="46"/>
        <v>3</v>
      </c>
      <c r="I1017" s="5">
        <f t="shared" si="47"/>
        <v>0</v>
      </c>
    </row>
    <row r="1018" spans="1:9" ht="18" customHeight="1" x14ac:dyDescent="0.25">
      <c r="A1018" s="2" t="s">
        <v>1986</v>
      </c>
      <c r="B1018" s="2" t="s">
        <v>1987</v>
      </c>
      <c r="C1018" s="3">
        <v>0</v>
      </c>
      <c r="D1018" s="3">
        <v>6</v>
      </c>
      <c r="E1018" s="2" t="str">
        <f t="shared" si="45"/>
        <v>REORDER NOW</v>
      </c>
      <c r="F1018" s="2"/>
      <c r="G1018" s="2"/>
      <c r="H1018" s="3">
        <f t="shared" si="46"/>
        <v>3</v>
      </c>
      <c r="I1018" s="3">
        <f t="shared" si="47"/>
        <v>0</v>
      </c>
    </row>
    <row r="1019" spans="1:9" ht="18" customHeight="1" x14ac:dyDescent="0.25">
      <c r="A1019" s="4" t="s">
        <v>1988</v>
      </c>
      <c r="B1019" s="4" t="s">
        <v>1989</v>
      </c>
      <c r="C1019" s="5">
        <v>0</v>
      </c>
      <c r="D1019" s="5">
        <v>6</v>
      </c>
      <c r="E1019" s="4" t="str">
        <f t="shared" si="45"/>
        <v>REORDER NOW</v>
      </c>
      <c r="F1019" s="4"/>
      <c r="G1019" s="4"/>
      <c r="H1019" s="5">
        <f t="shared" si="46"/>
        <v>3</v>
      </c>
      <c r="I1019" s="5">
        <f t="shared" si="47"/>
        <v>0</v>
      </c>
    </row>
    <row r="1020" spans="1:9" ht="18" customHeight="1" x14ac:dyDescent="0.25">
      <c r="A1020" s="2" t="s">
        <v>1990</v>
      </c>
      <c r="B1020" s="2" t="s">
        <v>1991</v>
      </c>
      <c r="C1020" s="3">
        <v>0</v>
      </c>
      <c r="D1020" s="3">
        <v>6</v>
      </c>
      <c r="E1020" s="2" t="str">
        <f t="shared" si="45"/>
        <v>REORDER NOW</v>
      </c>
      <c r="F1020" s="2"/>
      <c r="G1020" s="2"/>
      <c r="H1020" s="3">
        <f t="shared" si="46"/>
        <v>3</v>
      </c>
      <c r="I1020" s="3">
        <f t="shared" si="47"/>
        <v>0</v>
      </c>
    </row>
    <row r="1021" spans="1:9" ht="18" customHeight="1" x14ac:dyDescent="0.25">
      <c r="A1021" s="4" t="s">
        <v>1992</v>
      </c>
      <c r="B1021" s="4" t="s">
        <v>1993</v>
      </c>
      <c r="C1021" s="5">
        <v>0</v>
      </c>
      <c r="D1021" s="5">
        <v>6</v>
      </c>
      <c r="E1021" s="4" t="str">
        <f t="shared" si="45"/>
        <v>REORDER NOW</v>
      </c>
      <c r="F1021" s="4"/>
      <c r="G1021" s="4"/>
      <c r="H1021" s="5">
        <f t="shared" si="46"/>
        <v>3</v>
      </c>
      <c r="I1021" s="5">
        <f t="shared" si="47"/>
        <v>0</v>
      </c>
    </row>
    <row r="1022" spans="1:9" ht="18" customHeight="1" x14ac:dyDescent="0.25">
      <c r="A1022" s="2" t="s">
        <v>1994</v>
      </c>
      <c r="B1022" s="2" t="s">
        <v>1995</v>
      </c>
      <c r="C1022" s="3">
        <v>0</v>
      </c>
      <c r="D1022" s="3">
        <v>6</v>
      </c>
      <c r="E1022" s="2" t="str">
        <f t="shared" si="45"/>
        <v>REORDER NOW</v>
      </c>
      <c r="F1022" s="2"/>
      <c r="G1022" s="2"/>
      <c r="H1022" s="3">
        <f t="shared" si="46"/>
        <v>3</v>
      </c>
      <c r="I1022" s="3">
        <f t="shared" si="47"/>
        <v>0</v>
      </c>
    </row>
    <row r="1023" spans="1:9" ht="18" customHeight="1" x14ac:dyDescent="0.25">
      <c r="A1023" s="4" t="s">
        <v>1996</v>
      </c>
      <c r="B1023" s="4" t="s">
        <v>1997</v>
      </c>
      <c r="C1023" s="5">
        <v>0</v>
      </c>
      <c r="D1023" s="5">
        <v>6</v>
      </c>
      <c r="E1023" s="4" t="str">
        <f t="shared" si="45"/>
        <v>REORDER NOW</v>
      </c>
      <c r="F1023" s="4"/>
      <c r="G1023" s="4"/>
      <c r="H1023" s="5">
        <f t="shared" si="46"/>
        <v>3</v>
      </c>
      <c r="I1023" s="5">
        <f t="shared" si="47"/>
        <v>0</v>
      </c>
    </row>
    <row r="1024" spans="1:9" ht="18" customHeight="1" x14ac:dyDescent="0.25">
      <c r="A1024" s="2" t="s">
        <v>1998</v>
      </c>
      <c r="B1024" s="2" t="s">
        <v>1999</v>
      </c>
      <c r="C1024" s="3">
        <v>0</v>
      </c>
      <c r="D1024" s="3">
        <v>6</v>
      </c>
      <c r="E1024" s="2" t="str">
        <f t="shared" si="45"/>
        <v>REORDER NOW</v>
      </c>
      <c r="F1024" s="2"/>
      <c r="G1024" s="2"/>
      <c r="H1024" s="3">
        <f t="shared" si="46"/>
        <v>3</v>
      </c>
      <c r="I1024" s="3">
        <f t="shared" si="47"/>
        <v>0</v>
      </c>
    </row>
    <row r="1025" spans="1:9" ht="18" customHeight="1" x14ac:dyDescent="0.25">
      <c r="A1025" s="4" t="s">
        <v>2000</v>
      </c>
      <c r="B1025" s="4" t="s">
        <v>2001</v>
      </c>
      <c r="C1025" s="5">
        <v>0</v>
      </c>
      <c r="D1025" s="5">
        <v>6</v>
      </c>
      <c r="E1025" s="4" t="str">
        <f t="shared" si="45"/>
        <v>REORDER NOW</v>
      </c>
      <c r="F1025" s="4"/>
      <c r="G1025" s="4"/>
      <c r="H1025" s="5">
        <f t="shared" si="46"/>
        <v>3</v>
      </c>
      <c r="I1025" s="5">
        <f t="shared" si="47"/>
        <v>0</v>
      </c>
    </row>
    <row r="1026" spans="1:9" ht="18" customHeight="1" x14ac:dyDescent="0.25">
      <c r="A1026" s="2" t="s">
        <v>2002</v>
      </c>
      <c r="B1026" s="2" t="s">
        <v>2003</v>
      </c>
      <c r="C1026" s="3">
        <v>0</v>
      </c>
      <c r="D1026" s="3">
        <v>6</v>
      </c>
      <c r="E1026" s="2" t="str">
        <f t="shared" si="45"/>
        <v>REORDER NOW</v>
      </c>
      <c r="F1026" s="2"/>
      <c r="G1026" s="2"/>
      <c r="H1026" s="3">
        <f t="shared" si="46"/>
        <v>3</v>
      </c>
      <c r="I1026" s="3">
        <f t="shared" si="47"/>
        <v>0</v>
      </c>
    </row>
    <row r="1027" spans="1:9" ht="18" customHeight="1" x14ac:dyDescent="0.25">
      <c r="A1027" s="4" t="s">
        <v>2004</v>
      </c>
      <c r="B1027" s="4" t="s">
        <v>2005</v>
      </c>
      <c r="C1027" s="5">
        <v>1</v>
      </c>
      <c r="D1027" s="5">
        <v>6</v>
      </c>
      <c r="E1027" s="4" t="str">
        <f t="shared" si="45"/>
        <v>REORDER NOW</v>
      </c>
      <c r="F1027" s="4"/>
      <c r="G1027" s="4"/>
      <c r="H1027" s="5">
        <f t="shared" si="46"/>
        <v>3</v>
      </c>
      <c r="I1027" s="5">
        <f t="shared" si="47"/>
        <v>0.3</v>
      </c>
    </row>
    <row r="1028" spans="1:9" ht="18" customHeight="1" x14ac:dyDescent="0.25">
      <c r="A1028" s="2" t="s">
        <v>2006</v>
      </c>
      <c r="B1028" s="2" t="s">
        <v>2007</v>
      </c>
      <c r="C1028" s="3">
        <v>0</v>
      </c>
      <c r="D1028" s="3">
        <v>6</v>
      </c>
      <c r="E1028" s="2" t="str">
        <f t="shared" ref="E1028:E1091" si="48">IF(C1028&lt;=D1028,"REORDER NOW","OK")</f>
        <v>REORDER NOW</v>
      </c>
      <c r="F1028" s="2"/>
      <c r="G1028" s="2"/>
      <c r="H1028" s="3">
        <f t="shared" ref="H1028:H1091" si="49">D1028/2</f>
        <v>3</v>
      </c>
      <c r="I1028" s="3">
        <f t="shared" ref="I1028:I1091" si="50">IF(H1028=0,"N/A",ROUND(C1028/H1028,1))</f>
        <v>0</v>
      </c>
    </row>
    <row r="1029" spans="1:9" ht="18" customHeight="1" x14ac:dyDescent="0.25">
      <c r="A1029" s="4" t="s">
        <v>2008</v>
      </c>
      <c r="B1029" s="4" t="s">
        <v>2009</v>
      </c>
      <c r="C1029" s="5">
        <v>425</v>
      </c>
      <c r="D1029" s="5">
        <v>100</v>
      </c>
      <c r="E1029" s="4" t="str">
        <f t="shared" si="48"/>
        <v>OK</v>
      </c>
      <c r="F1029" s="4"/>
      <c r="G1029" s="4"/>
      <c r="H1029" s="5">
        <f t="shared" si="49"/>
        <v>50</v>
      </c>
      <c r="I1029" s="5">
        <f t="shared" si="50"/>
        <v>8.5</v>
      </c>
    </row>
    <row r="1030" spans="1:9" ht="18" customHeight="1" x14ac:dyDescent="0.25">
      <c r="A1030" s="2" t="s">
        <v>2010</v>
      </c>
      <c r="B1030" s="2" t="s">
        <v>2011</v>
      </c>
      <c r="C1030" s="3">
        <v>0</v>
      </c>
      <c r="D1030" s="3">
        <v>6</v>
      </c>
      <c r="E1030" s="2" t="str">
        <f t="shared" si="48"/>
        <v>REORDER NOW</v>
      </c>
      <c r="F1030" s="2"/>
      <c r="G1030" s="2"/>
      <c r="H1030" s="3">
        <f t="shared" si="49"/>
        <v>3</v>
      </c>
      <c r="I1030" s="3">
        <f t="shared" si="50"/>
        <v>0</v>
      </c>
    </row>
    <row r="1031" spans="1:9" ht="18" customHeight="1" x14ac:dyDescent="0.25">
      <c r="A1031" s="4" t="s">
        <v>2012</v>
      </c>
      <c r="B1031" s="4" t="s">
        <v>2013</v>
      </c>
      <c r="C1031" s="5">
        <v>0</v>
      </c>
      <c r="D1031" s="5">
        <v>6</v>
      </c>
      <c r="E1031" s="4" t="str">
        <f t="shared" si="48"/>
        <v>REORDER NOW</v>
      </c>
      <c r="F1031" s="4"/>
      <c r="G1031" s="4"/>
      <c r="H1031" s="5">
        <f t="shared" si="49"/>
        <v>3</v>
      </c>
      <c r="I1031" s="5">
        <f t="shared" si="50"/>
        <v>0</v>
      </c>
    </row>
    <row r="1032" spans="1:9" ht="18" customHeight="1" x14ac:dyDescent="0.25">
      <c r="A1032" s="2" t="s">
        <v>2014</v>
      </c>
      <c r="B1032" s="2" t="s">
        <v>2015</v>
      </c>
      <c r="C1032" s="3">
        <v>20</v>
      </c>
      <c r="D1032" s="3">
        <v>10</v>
      </c>
      <c r="E1032" s="2" t="str">
        <f t="shared" si="48"/>
        <v>OK</v>
      </c>
      <c r="F1032" s="2"/>
      <c r="G1032" s="2"/>
      <c r="H1032" s="3">
        <f t="shared" si="49"/>
        <v>5</v>
      </c>
      <c r="I1032" s="3">
        <f t="shared" si="50"/>
        <v>4</v>
      </c>
    </row>
    <row r="1033" spans="1:9" ht="18" customHeight="1" x14ac:dyDescent="0.25">
      <c r="A1033" s="4" t="s">
        <v>2016</v>
      </c>
      <c r="B1033" s="4" t="s">
        <v>2017</v>
      </c>
      <c r="C1033" s="5">
        <v>50</v>
      </c>
      <c r="D1033" s="5">
        <v>20</v>
      </c>
      <c r="E1033" s="4" t="str">
        <f t="shared" si="48"/>
        <v>OK</v>
      </c>
      <c r="F1033" s="4"/>
      <c r="G1033" s="4"/>
      <c r="H1033" s="5">
        <f t="shared" si="49"/>
        <v>10</v>
      </c>
      <c r="I1033" s="5">
        <f t="shared" si="50"/>
        <v>5</v>
      </c>
    </row>
    <row r="1034" spans="1:9" ht="18" customHeight="1" x14ac:dyDescent="0.25">
      <c r="A1034" s="2" t="s">
        <v>2018</v>
      </c>
      <c r="B1034" s="2" t="s">
        <v>2019</v>
      </c>
      <c r="C1034" s="3">
        <v>3</v>
      </c>
      <c r="D1034" s="3">
        <v>6</v>
      </c>
      <c r="E1034" s="2" t="str">
        <f t="shared" si="48"/>
        <v>REORDER NOW</v>
      </c>
      <c r="F1034" s="2"/>
      <c r="G1034" s="2"/>
      <c r="H1034" s="3">
        <f t="shared" si="49"/>
        <v>3</v>
      </c>
      <c r="I1034" s="3">
        <f t="shared" si="50"/>
        <v>1</v>
      </c>
    </row>
    <row r="1035" spans="1:9" ht="18" customHeight="1" x14ac:dyDescent="0.25">
      <c r="A1035" s="4" t="s">
        <v>2020</v>
      </c>
      <c r="B1035" s="4" t="s">
        <v>2021</v>
      </c>
      <c r="C1035" s="5">
        <v>0</v>
      </c>
      <c r="D1035" s="5">
        <v>6</v>
      </c>
      <c r="E1035" s="4" t="str">
        <f t="shared" si="48"/>
        <v>REORDER NOW</v>
      </c>
      <c r="F1035" s="4"/>
      <c r="G1035" s="4"/>
      <c r="H1035" s="5">
        <f t="shared" si="49"/>
        <v>3</v>
      </c>
      <c r="I1035" s="5">
        <f t="shared" si="50"/>
        <v>0</v>
      </c>
    </row>
    <row r="1036" spans="1:9" ht="18" customHeight="1" x14ac:dyDescent="0.25">
      <c r="A1036" s="2" t="s">
        <v>2022</v>
      </c>
      <c r="B1036" s="2" t="s">
        <v>2023</v>
      </c>
      <c r="C1036" s="3">
        <v>2</v>
      </c>
      <c r="D1036" s="3">
        <v>6</v>
      </c>
      <c r="E1036" s="2" t="str">
        <f t="shared" si="48"/>
        <v>REORDER NOW</v>
      </c>
      <c r="F1036" s="2"/>
      <c r="G1036" s="2"/>
      <c r="H1036" s="3">
        <f t="shared" si="49"/>
        <v>3</v>
      </c>
      <c r="I1036" s="3">
        <f t="shared" si="50"/>
        <v>0.7</v>
      </c>
    </row>
    <row r="1037" spans="1:9" ht="18" customHeight="1" x14ac:dyDescent="0.25">
      <c r="A1037" s="4" t="s">
        <v>2024</v>
      </c>
      <c r="B1037" s="4" t="s">
        <v>2025</v>
      </c>
      <c r="C1037" s="5">
        <v>1</v>
      </c>
      <c r="D1037" s="5">
        <v>6</v>
      </c>
      <c r="E1037" s="4" t="str">
        <f t="shared" si="48"/>
        <v>REORDER NOW</v>
      </c>
      <c r="F1037" s="4"/>
      <c r="G1037" s="4"/>
      <c r="H1037" s="5">
        <f t="shared" si="49"/>
        <v>3</v>
      </c>
      <c r="I1037" s="5">
        <f t="shared" si="50"/>
        <v>0.3</v>
      </c>
    </row>
    <row r="1038" spans="1:9" ht="18" customHeight="1" x14ac:dyDescent="0.25">
      <c r="A1038" s="2" t="s">
        <v>2026</v>
      </c>
      <c r="B1038" s="2" t="s">
        <v>2027</v>
      </c>
      <c r="C1038" s="3">
        <v>0</v>
      </c>
      <c r="D1038" s="3">
        <v>6</v>
      </c>
      <c r="E1038" s="2" t="str">
        <f t="shared" si="48"/>
        <v>REORDER NOW</v>
      </c>
      <c r="F1038" s="2"/>
      <c r="G1038" s="2"/>
      <c r="H1038" s="3">
        <f t="shared" si="49"/>
        <v>3</v>
      </c>
      <c r="I1038" s="3">
        <f t="shared" si="50"/>
        <v>0</v>
      </c>
    </row>
    <row r="1039" spans="1:9" ht="18" customHeight="1" x14ac:dyDescent="0.25">
      <c r="A1039" s="4" t="s">
        <v>2028</v>
      </c>
      <c r="B1039" s="4" t="s">
        <v>2029</v>
      </c>
      <c r="C1039" s="5">
        <v>7</v>
      </c>
      <c r="D1039" s="5">
        <v>10</v>
      </c>
      <c r="E1039" s="4" t="str">
        <f t="shared" si="48"/>
        <v>REORDER NOW</v>
      </c>
      <c r="F1039" s="4"/>
      <c r="G1039" s="4"/>
      <c r="H1039" s="5">
        <f t="shared" si="49"/>
        <v>5</v>
      </c>
      <c r="I1039" s="5">
        <f t="shared" si="50"/>
        <v>1.4</v>
      </c>
    </row>
    <row r="1040" spans="1:9" ht="18" customHeight="1" x14ac:dyDescent="0.25">
      <c r="A1040" s="2" t="s">
        <v>2030</v>
      </c>
      <c r="B1040" s="2" t="s">
        <v>1095</v>
      </c>
      <c r="C1040" s="3">
        <v>8</v>
      </c>
      <c r="D1040" s="3">
        <v>10</v>
      </c>
      <c r="E1040" s="2" t="str">
        <f t="shared" si="48"/>
        <v>REORDER NOW</v>
      </c>
      <c r="F1040" s="2"/>
      <c r="G1040" s="2"/>
      <c r="H1040" s="3">
        <f t="shared" si="49"/>
        <v>5</v>
      </c>
      <c r="I1040" s="3">
        <f t="shared" si="50"/>
        <v>1.6</v>
      </c>
    </row>
    <row r="1041" spans="1:9" ht="18" customHeight="1" x14ac:dyDescent="0.25">
      <c r="A1041" s="4" t="s">
        <v>2031</v>
      </c>
      <c r="B1041" s="4" t="s">
        <v>2032</v>
      </c>
      <c r="C1041" s="5">
        <v>3</v>
      </c>
      <c r="D1041" s="5">
        <v>6</v>
      </c>
      <c r="E1041" s="4" t="str">
        <f t="shared" si="48"/>
        <v>REORDER NOW</v>
      </c>
      <c r="F1041" s="4"/>
      <c r="G1041" s="4"/>
      <c r="H1041" s="5">
        <f t="shared" si="49"/>
        <v>3</v>
      </c>
      <c r="I1041" s="5">
        <f t="shared" si="50"/>
        <v>1</v>
      </c>
    </row>
    <row r="1042" spans="1:9" ht="18" customHeight="1" x14ac:dyDescent="0.25">
      <c r="A1042" s="2" t="s">
        <v>2033</v>
      </c>
      <c r="B1042" s="2" t="s">
        <v>88</v>
      </c>
      <c r="C1042" s="3">
        <v>0</v>
      </c>
      <c r="D1042" s="3">
        <v>6</v>
      </c>
      <c r="E1042" s="2" t="str">
        <f t="shared" si="48"/>
        <v>REORDER NOW</v>
      </c>
      <c r="F1042" s="2"/>
      <c r="G1042" s="2"/>
      <c r="H1042" s="3">
        <f t="shared" si="49"/>
        <v>3</v>
      </c>
      <c r="I1042" s="3">
        <f t="shared" si="50"/>
        <v>0</v>
      </c>
    </row>
    <row r="1043" spans="1:9" ht="18" customHeight="1" x14ac:dyDescent="0.25">
      <c r="A1043" s="4" t="s">
        <v>2034</v>
      </c>
      <c r="B1043" s="4" t="s">
        <v>138</v>
      </c>
      <c r="C1043" s="5">
        <v>1</v>
      </c>
      <c r="D1043" s="5">
        <v>6</v>
      </c>
      <c r="E1043" s="4" t="str">
        <f t="shared" si="48"/>
        <v>REORDER NOW</v>
      </c>
      <c r="F1043" s="4"/>
      <c r="G1043" s="4"/>
      <c r="H1043" s="5">
        <f t="shared" si="49"/>
        <v>3</v>
      </c>
      <c r="I1043" s="5">
        <f t="shared" si="50"/>
        <v>0.3</v>
      </c>
    </row>
    <row r="1044" spans="1:9" ht="18" customHeight="1" x14ac:dyDescent="0.25">
      <c r="A1044" s="2" t="s">
        <v>2035</v>
      </c>
      <c r="B1044" s="2" t="s">
        <v>107</v>
      </c>
      <c r="C1044" s="3">
        <v>0</v>
      </c>
      <c r="D1044" s="3">
        <v>6</v>
      </c>
      <c r="E1044" s="2" t="str">
        <f t="shared" si="48"/>
        <v>REORDER NOW</v>
      </c>
      <c r="F1044" s="2"/>
      <c r="G1044" s="2"/>
      <c r="H1044" s="3">
        <f t="shared" si="49"/>
        <v>3</v>
      </c>
      <c r="I1044" s="3">
        <f t="shared" si="50"/>
        <v>0</v>
      </c>
    </row>
    <row r="1045" spans="1:9" ht="18" customHeight="1" x14ac:dyDescent="0.25">
      <c r="A1045" s="4" t="s">
        <v>2036</v>
      </c>
      <c r="B1045" s="4" t="s">
        <v>107</v>
      </c>
      <c r="C1045" s="5">
        <v>0</v>
      </c>
      <c r="D1045" s="5">
        <v>6</v>
      </c>
      <c r="E1045" s="4" t="str">
        <f t="shared" si="48"/>
        <v>REORDER NOW</v>
      </c>
      <c r="F1045" s="4"/>
      <c r="G1045" s="4"/>
      <c r="H1045" s="5">
        <f t="shared" si="49"/>
        <v>3</v>
      </c>
      <c r="I1045" s="5">
        <f t="shared" si="50"/>
        <v>0</v>
      </c>
    </row>
    <row r="1046" spans="1:9" ht="18" customHeight="1" x14ac:dyDescent="0.25">
      <c r="A1046" s="2" t="s">
        <v>2037</v>
      </c>
      <c r="B1046" s="2" t="s">
        <v>2038</v>
      </c>
      <c r="C1046" s="3">
        <v>0</v>
      </c>
      <c r="D1046" s="3">
        <v>6</v>
      </c>
      <c r="E1046" s="2" t="str">
        <f t="shared" si="48"/>
        <v>REORDER NOW</v>
      </c>
      <c r="F1046" s="2"/>
      <c r="G1046" s="2"/>
      <c r="H1046" s="3">
        <f t="shared" si="49"/>
        <v>3</v>
      </c>
      <c r="I1046" s="3">
        <f t="shared" si="50"/>
        <v>0</v>
      </c>
    </row>
    <row r="1047" spans="1:9" ht="18" customHeight="1" x14ac:dyDescent="0.25">
      <c r="A1047" s="4" t="s">
        <v>2039</v>
      </c>
      <c r="B1047" s="4" t="s">
        <v>2040</v>
      </c>
      <c r="C1047" s="5">
        <v>4</v>
      </c>
      <c r="D1047" s="5">
        <v>6</v>
      </c>
      <c r="E1047" s="4" t="str">
        <f t="shared" si="48"/>
        <v>REORDER NOW</v>
      </c>
      <c r="F1047" s="4"/>
      <c r="G1047" s="4"/>
      <c r="H1047" s="5">
        <f t="shared" si="49"/>
        <v>3</v>
      </c>
      <c r="I1047" s="5">
        <f t="shared" si="50"/>
        <v>1.3</v>
      </c>
    </row>
    <row r="1048" spans="1:9" ht="18" customHeight="1" x14ac:dyDescent="0.25">
      <c r="A1048" s="2" t="s">
        <v>2041</v>
      </c>
      <c r="B1048" s="2" t="s">
        <v>2042</v>
      </c>
      <c r="C1048" s="3">
        <v>0</v>
      </c>
      <c r="D1048" s="3">
        <v>6</v>
      </c>
      <c r="E1048" s="2" t="str">
        <f t="shared" si="48"/>
        <v>REORDER NOW</v>
      </c>
      <c r="F1048" s="2"/>
      <c r="G1048" s="2"/>
      <c r="H1048" s="3">
        <f t="shared" si="49"/>
        <v>3</v>
      </c>
      <c r="I1048" s="3">
        <f t="shared" si="50"/>
        <v>0</v>
      </c>
    </row>
    <row r="1049" spans="1:9" ht="18" customHeight="1" x14ac:dyDescent="0.25">
      <c r="A1049" s="4" t="s">
        <v>2043</v>
      </c>
      <c r="B1049" s="4" t="s">
        <v>2044</v>
      </c>
      <c r="C1049" s="5">
        <v>0</v>
      </c>
      <c r="D1049" s="5">
        <v>6</v>
      </c>
      <c r="E1049" s="4" t="str">
        <f t="shared" si="48"/>
        <v>REORDER NOW</v>
      </c>
      <c r="F1049" s="4"/>
      <c r="G1049" s="4"/>
      <c r="H1049" s="5">
        <f t="shared" si="49"/>
        <v>3</v>
      </c>
      <c r="I1049" s="5">
        <f t="shared" si="50"/>
        <v>0</v>
      </c>
    </row>
    <row r="1050" spans="1:9" ht="18" customHeight="1" x14ac:dyDescent="0.25">
      <c r="A1050" s="2" t="s">
        <v>2045</v>
      </c>
      <c r="B1050" s="2" t="s">
        <v>2046</v>
      </c>
      <c r="C1050" s="3">
        <v>0</v>
      </c>
      <c r="D1050" s="3">
        <v>6</v>
      </c>
      <c r="E1050" s="2" t="str">
        <f t="shared" si="48"/>
        <v>REORDER NOW</v>
      </c>
      <c r="F1050" s="2"/>
      <c r="G1050" s="2"/>
      <c r="H1050" s="3">
        <f t="shared" si="49"/>
        <v>3</v>
      </c>
      <c r="I1050" s="3">
        <f t="shared" si="50"/>
        <v>0</v>
      </c>
    </row>
    <row r="1051" spans="1:9" ht="18" customHeight="1" x14ac:dyDescent="0.25">
      <c r="A1051" s="4" t="s">
        <v>2047</v>
      </c>
      <c r="B1051" s="4" t="s">
        <v>2048</v>
      </c>
      <c r="C1051" s="5">
        <v>8</v>
      </c>
      <c r="D1051" s="5">
        <v>10</v>
      </c>
      <c r="E1051" s="4" t="str">
        <f t="shared" si="48"/>
        <v>REORDER NOW</v>
      </c>
      <c r="F1051" s="4"/>
      <c r="G1051" s="4"/>
      <c r="H1051" s="5">
        <f t="shared" si="49"/>
        <v>5</v>
      </c>
      <c r="I1051" s="5">
        <f t="shared" si="50"/>
        <v>1.6</v>
      </c>
    </row>
    <row r="1052" spans="1:9" ht="18" customHeight="1" x14ac:dyDescent="0.25">
      <c r="A1052" s="2" t="s">
        <v>2049</v>
      </c>
      <c r="B1052" s="2" t="s">
        <v>2050</v>
      </c>
      <c r="C1052" s="3">
        <v>0</v>
      </c>
      <c r="D1052" s="3">
        <v>6</v>
      </c>
      <c r="E1052" s="2" t="str">
        <f t="shared" si="48"/>
        <v>REORDER NOW</v>
      </c>
      <c r="F1052" s="2"/>
      <c r="G1052" s="2"/>
      <c r="H1052" s="3">
        <f t="shared" si="49"/>
        <v>3</v>
      </c>
      <c r="I1052" s="3">
        <f t="shared" si="50"/>
        <v>0</v>
      </c>
    </row>
    <row r="1053" spans="1:9" ht="18" customHeight="1" x14ac:dyDescent="0.25">
      <c r="A1053" s="4" t="s">
        <v>2051</v>
      </c>
      <c r="B1053" s="4" t="s">
        <v>2052</v>
      </c>
      <c r="C1053" s="5">
        <v>8</v>
      </c>
      <c r="D1053" s="5">
        <v>10</v>
      </c>
      <c r="E1053" s="4" t="str">
        <f t="shared" si="48"/>
        <v>REORDER NOW</v>
      </c>
      <c r="F1053" s="4"/>
      <c r="G1053" s="4"/>
      <c r="H1053" s="5">
        <f t="shared" si="49"/>
        <v>5</v>
      </c>
      <c r="I1053" s="5">
        <f t="shared" si="50"/>
        <v>1.6</v>
      </c>
    </row>
    <row r="1054" spans="1:9" ht="18" customHeight="1" x14ac:dyDescent="0.25">
      <c r="A1054" s="2" t="s">
        <v>2053</v>
      </c>
      <c r="B1054" s="2" t="s">
        <v>2054</v>
      </c>
      <c r="C1054" s="3">
        <v>0</v>
      </c>
      <c r="D1054" s="3">
        <v>6</v>
      </c>
      <c r="E1054" s="2" t="str">
        <f t="shared" si="48"/>
        <v>REORDER NOW</v>
      </c>
      <c r="F1054" s="2"/>
      <c r="G1054" s="2"/>
      <c r="H1054" s="3">
        <f t="shared" si="49"/>
        <v>3</v>
      </c>
      <c r="I1054" s="3">
        <f t="shared" si="50"/>
        <v>0</v>
      </c>
    </row>
    <row r="1055" spans="1:9" ht="18" customHeight="1" x14ac:dyDescent="0.25">
      <c r="A1055" s="4" t="s">
        <v>2055</v>
      </c>
      <c r="B1055" s="4" t="s">
        <v>2056</v>
      </c>
      <c r="C1055" s="5">
        <v>34</v>
      </c>
      <c r="D1055" s="5">
        <v>20</v>
      </c>
      <c r="E1055" s="4" t="str">
        <f t="shared" si="48"/>
        <v>OK</v>
      </c>
      <c r="F1055" s="4"/>
      <c r="G1055" s="4"/>
      <c r="H1055" s="5">
        <f t="shared" si="49"/>
        <v>10</v>
      </c>
      <c r="I1055" s="5">
        <f t="shared" si="50"/>
        <v>3.4</v>
      </c>
    </row>
    <row r="1056" spans="1:9" ht="18" customHeight="1" x14ac:dyDescent="0.25">
      <c r="A1056" s="2" t="s">
        <v>2057</v>
      </c>
      <c r="B1056" s="2" t="s">
        <v>2058</v>
      </c>
      <c r="C1056" s="3">
        <v>14</v>
      </c>
      <c r="D1056" s="3">
        <v>10</v>
      </c>
      <c r="E1056" s="2" t="str">
        <f t="shared" si="48"/>
        <v>OK</v>
      </c>
      <c r="F1056" s="2"/>
      <c r="G1056" s="2"/>
      <c r="H1056" s="3">
        <f t="shared" si="49"/>
        <v>5</v>
      </c>
      <c r="I1056" s="3">
        <f t="shared" si="50"/>
        <v>2.8</v>
      </c>
    </row>
    <row r="1057" spans="1:9" ht="18" customHeight="1" x14ac:dyDescent="0.25">
      <c r="A1057" s="4" t="s">
        <v>2059</v>
      </c>
      <c r="B1057" s="4" t="s">
        <v>2060</v>
      </c>
      <c r="C1057" s="5">
        <v>0</v>
      </c>
      <c r="D1057" s="5">
        <v>6</v>
      </c>
      <c r="E1057" s="4" t="str">
        <f t="shared" si="48"/>
        <v>REORDER NOW</v>
      </c>
      <c r="F1057" s="4"/>
      <c r="G1057" s="4"/>
      <c r="H1057" s="5">
        <f t="shared" si="49"/>
        <v>3</v>
      </c>
      <c r="I1057" s="5">
        <f t="shared" si="50"/>
        <v>0</v>
      </c>
    </row>
    <row r="1058" spans="1:9" ht="18" customHeight="1" x14ac:dyDescent="0.25">
      <c r="A1058" s="2" t="s">
        <v>2061</v>
      </c>
      <c r="B1058" s="2" t="s">
        <v>2062</v>
      </c>
      <c r="C1058" s="3">
        <v>1</v>
      </c>
      <c r="D1058" s="3">
        <v>6</v>
      </c>
      <c r="E1058" s="2" t="str">
        <f t="shared" si="48"/>
        <v>REORDER NOW</v>
      </c>
      <c r="F1058" s="2"/>
      <c r="G1058" s="2"/>
      <c r="H1058" s="3">
        <f t="shared" si="49"/>
        <v>3</v>
      </c>
      <c r="I1058" s="3">
        <f t="shared" si="50"/>
        <v>0.3</v>
      </c>
    </row>
    <row r="1059" spans="1:9" ht="18" customHeight="1" x14ac:dyDescent="0.25">
      <c r="A1059" s="4" t="s">
        <v>2063</v>
      </c>
      <c r="B1059" s="4" t="s">
        <v>2064</v>
      </c>
      <c r="C1059" s="5">
        <v>3</v>
      </c>
      <c r="D1059" s="5">
        <v>6</v>
      </c>
      <c r="E1059" s="4" t="str">
        <f t="shared" si="48"/>
        <v>REORDER NOW</v>
      </c>
      <c r="F1059" s="4"/>
      <c r="G1059" s="4"/>
      <c r="H1059" s="5">
        <f t="shared" si="49"/>
        <v>3</v>
      </c>
      <c r="I1059" s="5">
        <f t="shared" si="50"/>
        <v>1</v>
      </c>
    </row>
    <row r="1060" spans="1:9" ht="18" customHeight="1" x14ac:dyDescent="0.25">
      <c r="A1060" s="2" t="s">
        <v>2065</v>
      </c>
      <c r="B1060" s="2" t="s">
        <v>2066</v>
      </c>
      <c r="C1060" s="3">
        <v>0</v>
      </c>
      <c r="D1060" s="3">
        <v>6</v>
      </c>
      <c r="E1060" s="2" t="str">
        <f t="shared" si="48"/>
        <v>REORDER NOW</v>
      </c>
      <c r="F1060" s="2"/>
      <c r="G1060" s="2"/>
      <c r="H1060" s="3">
        <f t="shared" si="49"/>
        <v>3</v>
      </c>
      <c r="I1060" s="3">
        <f t="shared" si="50"/>
        <v>0</v>
      </c>
    </row>
    <row r="1061" spans="1:9" ht="18" customHeight="1" x14ac:dyDescent="0.25">
      <c r="A1061" s="4" t="s">
        <v>2067</v>
      </c>
      <c r="B1061" s="4" t="s">
        <v>2068</v>
      </c>
      <c r="C1061" s="5">
        <v>0</v>
      </c>
      <c r="D1061" s="5">
        <v>6</v>
      </c>
      <c r="E1061" s="4" t="str">
        <f t="shared" si="48"/>
        <v>REORDER NOW</v>
      </c>
      <c r="F1061" s="4"/>
      <c r="G1061" s="4"/>
      <c r="H1061" s="5">
        <f t="shared" si="49"/>
        <v>3</v>
      </c>
      <c r="I1061" s="5">
        <f t="shared" si="50"/>
        <v>0</v>
      </c>
    </row>
    <row r="1062" spans="1:9" ht="18" customHeight="1" x14ac:dyDescent="0.25">
      <c r="A1062" s="2" t="s">
        <v>2069</v>
      </c>
      <c r="B1062" s="2" t="s">
        <v>2070</v>
      </c>
      <c r="C1062" s="3">
        <v>0</v>
      </c>
      <c r="D1062" s="3">
        <v>6</v>
      </c>
      <c r="E1062" s="2" t="str">
        <f t="shared" si="48"/>
        <v>REORDER NOW</v>
      </c>
      <c r="F1062" s="2"/>
      <c r="G1062" s="2"/>
      <c r="H1062" s="3">
        <f t="shared" si="49"/>
        <v>3</v>
      </c>
      <c r="I1062" s="3">
        <f t="shared" si="50"/>
        <v>0</v>
      </c>
    </row>
    <row r="1063" spans="1:9" ht="18" customHeight="1" x14ac:dyDescent="0.25">
      <c r="A1063" s="4" t="s">
        <v>2071</v>
      </c>
      <c r="B1063" s="4" t="s">
        <v>2072</v>
      </c>
      <c r="C1063" s="5">
        <v>4</v>
      </c>
      <c r="D1063" s="5">
        <v>6</v>
      </c>
      <c r="E1063" s="4" t="str">
        <f t="shared" si="48"/>
        <v>REORDER NOW</v>
      </c>
      <c r="F1063" s="4"/>
      <c r="G1063" s="4"/>
      <c r="H1063" s="5">
        <f t="shared" si="49"/>
        <v>3</v>
      </c>
      <c r="I1063" s="5">
        <f t="shared" si="50"/>
        <v>1.3</v>
      </c>
    </row>
    <row r="1064" spans="1:9" ht="18" customHeight="1" x14ac:dyDescent="0.25">
      <c r="A1064" s="2" t="s">
        <v>2073</v>
      </c>
      <c r="B1064" s="2" t="s">
        <v>2074</v>
      </c>
      <c r="C1064" s="3">
        <v>0</v>
      </c>
      <c r="D1064" s="3">
        <v>6</v>
      </c>
      <c r="E1064" s="2" t="str">
        <f t="shared" si="48"/>
        <v>REORDER NOW</v>
      </c>
      <c r="F1064" s="2"/>
      <c r="G1064" s="2"/>
      <c r="H1064" s="3">
        <f t="shared" si="49"/>
        <v>3</v>
      </c>
      <c r="I1064" s="3">
        <f t="shared" si="50"/>
        <v>0</v>
      </c>
    </row>
    <row r="1065" spans="1:9" ht="18" customHeight="1" x14ac:dyDescent="0.25">
      <c r="A1065" s="4" t="s">
        <v>2075</v>
      </c>
      <c r="B1065" s="4" t="s">
        <v>2076</v>
      </c>
      <c r="C1065" s="5">
        <v>0</v>
      </c>
      <c r="D1065" s="5">
        <v>6</v>
      </c>
      <c r="E1065" s="4" t="str">
        <f t="shared" si="48"/>
        <v>REORDER NOW</v>
      </c>
      <c r="F1065" s="4"/>
      <c r="G1065" s="4"/>
      <c r="H1065" s="5">
        <f t="shared" si="49"/>
        <v>3</v>
      </c>
      <c r="I1065" s="5">
        <f t="shared" si="50"/>
        <v>0</v>
      </c>
    </row>
    <row r="1066" spans="1:9" ht="18" customHeight="1" x14ac:dyDescent="0.25">
      <c r="A1066" s="2" t="s">
        <v>2077</v>
      </c>
      <c r="B1066" s="2" t="s">
        <v>2078</v>
      </c>
      <c r="C1066" s="3">
        <v>0</v>
      </c>
      <c r="D1066" s="3">
        <v>6</v>
      </c>
      <c r="E1066" s="2" t="str">
        <f t="shared" si="48"/>
        <v>REORDER NOW</v>
      </c>
      <c r="F1066" s="2"/>
      <c r="G1066" s="2"/>
      <c r="H1066" s="3">
        <f t="shared" si="49"/>
        <v>3</v>
      </c>
      <c r="I1066" s="3">
        <f t="shared" si="50"/>
        <v>0</v>
      </c>
    </row>
    <row r="1067" spans="1:9" ht="18" customHeight="1" x14ac:dyDescent="0.25">
      <c r="A1067" s="4" t="s">
        <v>2079</v>
      </c>
      <c r="B1067" s="4" t="s">
        <v>2080</v>
      </c>
      <c r="C1067" s="5">
        <v>0</v>
      </c>
      <c r="D1067" s="5">
        <v>6</v>
      </c>
      <c r="E1067" s="4" t="str">
        <f t="shared" si="48"/>
        <v>REORDER NOW</v>
      </c>
      <c r="F1067" s="4"/>
      <c r="G1067" s="4"/>
      <c r="H1067" s="5">
        <f t="shared" si="49"/>
        <v>3</v>
      </c>
      <c r="I1067" s="5">
        <f t="shared" si="50"/>
        <v>0</v>
      </c>
    </row>
    <row r="1068" spans="1:9" ht="18" customHeight="1" x14ac:dyDescent="0.25">
      <c r="A1068" s="2" t="s">
        <v>2081</v>
      </c>
      <c r="B1068" s="2" t="s">
        <v>2082</v>
      </c>
      <c r="C1068" s="3">
        <v>1</v>
      </c>
      <c r="D1068" s="3">
        <v>6</v>
      </c>
      <c r="E1068" s="2" t="str">
        <f t="shared" si="48"/>
        <v>REORDER NOW</v>
      </c>
      <c r="F1068" s="2"/>
      <c r="G1068" s="2"/>
      <c r="H1068" s="3">
        <f t="shared" si="49"/>
        <v>3</v>
      </c>
      <c r="I1068" s="3">
        <f t="shared" si="50"/>
        <v>0.3</v>
      </c>
    </row>
    <row r="1069" spans="1:9" ht="18" customHeight="1" x14ac:dyDescent="0.25">
      <c r="A1069" s="4" t="s">
        <v>2083</v>
      </c>
      <c r="B1069" s="4" t="s">
        <v>2084</v>
      </c>
      <c r="C1069" s="5">
        <v>1</v>
      </c>
      <c r="D1069" s="5">
        <v>6</v>
      </c>
      <c r="E1069" s="4" t="str">
        <f t="shared" si="48"/>
        <v>REORDER NOW</v>
      </c>
      <c r="F1069" s="4"/>
      <c r="G1069" s="4"/>
      <c r="H1069" s="5">
        <f t="shared" si="49"/>
        <v>3</v>
      </c>
      <c r="I1069" s="5">
        <f t="shared" si="50"/>
        <v>0.3</v>
      </c>
    </row>
    <row r="1070" spans="1:9" ht="18" customHeight="1" x14ac:dyDescent="0.25">
      <c r="A1070" s="2" t="s">
        <v>2085</v>
      </c>
      <c r="B1070" s="2" t="s">
        <v>2086</v>
      </c>
      <c r="C1070" s="3">
        <v>1</v>
      </c>
      <c r="D1070" s="3">
        <v>6</v>
      </c>
      <c r="E1070" s="2" t="str">
        <f t="shared" si="48"/>
        <v>REORDER NOW</v>
      </c>
      <c r="F1070" s="2"/>
      <c r="G1070" s="2"/>
      <c r="H1070" s="3">
        <f t="shared" si="49"/>
        <v>3</v>
      </c>
      <c r="I1070" s="3">
        <f t="shared" si="50"/>
        <v>0.3</v>
      </c>
    </row>
    <row r="1071" spans="1:9" ht="18" customHeight="1" x14ac:dyDescent="0.25">
      <c r="A1071" s="4" t="s">
        <v>2087</v>
      </c>
      <c r="B1071" s="4" t="s">
        <v>2088</v>
      </c>
      <c r="C1071" s="5">
        <v>0</v>
      </c>
      <c r="D1071" s="5">
        <v>6</v>
      </c>
      <c r="E1071" s="4" t="str">
        <f t="shared" si="48"/>
        <v>REORDER NOW</v>
      </c>
      <c r="F1071" s="4"/>
      <c r="G1071" s="4"/>
      <c r="H1071" s="5">
        <f t="shared" si="49"/>
        <v>3</v>
      </c>
      <c r="I1071" s="5">
        <f t="shared" si="50"/>
        <v>0</v>
      </c>
    </row>
    <row r="1072" spans="1:9" ht="18" customHeight="1" x14ac:dyDescent="0.25">
      <c r="A1072" s="2" t="s">
        <v>2089</v>
      </c>
      <c r="B1072" s="2" t="s">
        <v>2090</v>
      </c>
      <c r="C1072" s="3">
        <v>0</v>
      </c>
      <c r="D1072" s="3">
        <v>6</v>
      </c>
      <c r="E1072" s="2" t="str">
        <f t="shared" si="48"/>
        <v>REORDER NOW</v>
      </c>
      <c r="F1072" s="2"/>
      <c r="G1072" s="2"/>
      <c r="H1072" s="3">
        <f t="shared" si="49"/>
        <v>3</v>
      </c>
      <c r="I1072" s="3">
        <f t="shared" si="50"/>
        <v>0</v>
      </c>
    </row>
    <row r="1073" spans="1:9" ht="18" customHeight="1" x14ac:dyDescent="0.25">
      <c r="A1073" s="4" t="s">
        <v>2091</v>
      </c>
      <c r="B1073" s="4" t="s">
        <v>2092</v>
      </c>
      <c r="C1073" s="5">
        <v>0</v>
      </c>
      <c r="D1073" s="5">
        <v>6</v>
      </c>
      <c r="E1073" s="4" t="str">
        <f t="shared" si="48"/>
        <v>REORDER NOW</v>
      </c>
      <c r="F1073" s="4"/>
      <c r="G1073" s="4"/>
      <c r="H1073" s="5">
        <f t="shared" si="49"/>
        <v>3</v>
      </c>
      <c r="I1073" s="5">
        <f t="shared" si="50"/>
        <v>0</v>
      </c>
    </row>
    <row r="1074" spans="1:9" ht="18" customHeight="1" x14ac:dyDescent="0.25">
      <c r="A1074" s="2" t="s">
        <v>2093</v>
      </c>
      <c r="B1074" s="2" t="s">
        <v>2094</v>
      </c>
      <c r="C1074" s="3">
        <v>0</v>
      </c>
      <c r="D1074" s="3">
        <v>6</v>
      </c>
      <c r="E1074" s="2" t="str">
        <f t="shared" si="48"/>
        <v>REORDER NOW</v>
      </c>
      <c r="F1074" s="2"/>
      <c r="G1074" s="2"/>
      <c r="H1074" s="3">
        <f t="shared" si="49"/>
        <v>3</v>
      </c>
      <c r="I1074" s="3">
        <f t="shared" si="50"/>
        <v>0</v>
      </c>
    </row>
    <row r="1075" spans="1:9" ht="18" customHeight="1" x14ac:dyDescent="0.25">
      <c r="A1075" s="4" t="s">
        <v>2095</v>
      </c>
      <c r="B1075" s="4" t="s">
        <v>2096</v>
      </c>
      <c r="C1075" s="5">
        <v>0</v>
      </c>
      <c r="D1075" s="5">
        <v>6</v>
      </c>
      <c r="E1075" s="4" t="str">
        <f t="shared" si="48"/>
        <v>REORDER NOW</v>
      </c>
      <c r="F1075" s="4"/>
      <c r="G1075" s="4"/>
      <c r="H1075" s="5">
        <f t="shared" si="49"/>
        <v>3</v>
      </c>
      <c r="I1075" s="5">
        <f t="shared" si="50"/>
        <v>0</v>
      </c>
    </row>
    <row r="1076" spans="1:9" ht="18" customHeight="1" x14ac:dyDescent="0.25">
      <c r="A1076" s="2" t="s">
        <v>2097</v>
      </c>
      <c r="B1076" s="2" t="s">
        <v>2098</v>
      </c>
      <c r="C1076" s="3">
        <v>0</v>
      </c>
      <c r="D1076" s="3">
        <v>6</v>
      </c>
      <c r="E1076" s="2" t="str">
        <f t="shared" si="48"/>
        <v>REORDER NOW</v>
      </c>
      <c r="F1076" s="2"/>
      <c r="G1076" s="2"/>
      <c r="H1076" s="3">
        <f t="shared" si="49"/>
        <v>3</v>
      </c>
      <c r="I1076" s="3">
        <f t="shared" si="50"/>
        <v>0</v>
      </c>
    </row>
    <row r="1077" spans="1:9" ht="18" customHeight="1" x14ac:dyDescent="0.25">
      <c r="A1077" s="4" t="s">
        <v>2099</v>
      </c>
      <c r="B1077" s="4" t="s">
        <v>2100</v>
      </c>
      <c r="C1077" s="5">
        <v>0</v>
      </c>
      <c r="D1077" s="5">
        <v>6</v>
      </c>
      <c r="E1077" s="4" t="str">
        <f t="shared" si="48"/>
        <v>REORDER NOW</v>
      </c>
      <c r="F1077" s="4"/>
      <c r="G1077" s="4"/>
      <c r="H1077" s="5">
        <f t="shared" si="49"/>
        <v>3</v>
      </c>
      <c r="I1077" s="5">
        <f t="shared" si="50"/>
        <v>0</v>
      </c>
    </row>
    <row r="1078" spans="1:9" ht="18" customHeight="1" x14ac:dyDescent="0.25">
      <c r="A1078" s="2" t="s">
        <v>2101</v>
      </c>
      <c r="B1078" s="2" t="s">
        <v>2102</v>
      </c>
      <c r="C1078" s="3">
        <v>0</v>
      </c>
      <c r="D1078" s="3">
        <v>6</v>
      </c>
      <c r="E1078" s="2" t="str">
        <f t="shared" si="48"/>
        <v>REORDER NOW</v>
      </c>
      <c r="F1078" s="2"/>
      <c r="G1078" s="2"/>
      <c r="H1078" s="3">
        <f t="shared" si="49"/>
        <v>3</v>
      </c>
      <c r="I1078" s="3">
        <f t="shared" si="50"/>
        <v>0</v>
      </c>
    </row>
    <row r="1079" spans="1:9" ht="18" customHeight="1" x14ac:dyDescent="0.25">
      <c r="A1079" s="4" t="s">
        <v>2103</v>
      </c>
      <c r="B1079" s="4" t="s">
        <v>2104</v>
      </c>
      <c r="C1079" s="5">
        <v>0</v>
      </c>
      <c r="D1079" s="5">
        <v>6</v>
      </c>
      <c r="E1079" s="4" t="str">
        <f t="shared" si="48"/>
        <v>REORDER NOW</v>
      </c>
      <c r="F1079" s="4"/>
      <c r="G1079" s="4"/>
      <c r="H1079" s="5">
        <f t="shared" si="49"/>
        <v>3</v>
      </c>
      <c r="I1079" s="5">
        <f t="shared" si="50"/>
        <v>0</v>
      </c>
    </row>
    <row r="1080" spans="1:9" ht="18" customHeight="1" x14ac:dyDescent="0.25">
      <c r="A1080" s="2" t="s">
        <v>2105</v>
      </c>
      <c r="B1080" s="2" t="s">
        <v>2106</v>
      </c>
      <c r="C1080" s="3">
        <v>0</v>
      </c>
      <c r="D1080" s="3">
        <v>6</v>
      </c>
      <c r="E1080" s="2" t="str">
        <f t="shared" si="48"/>
        <v>REORDER NOW</v>
      </c>
      <c r="F1080" s="2"/>
      <c r="G1080" s="2"/>
      <c r="H1080" s="3">
        <f t="shared" si="49"/>
        <v>3</v>
      </c>
      <c r="I1080" s="3">
        <f t="shared" si="50"/>
        <v>0</v>
      </c>
    </row>
    <row r="1081" spans="1:9" ht="18" customHeight="1" x14ac:dyDescent="0.25">
      <c r="A1081" s="4" t="s">
        <v>2107</v>
      </c>
      <c r="B1081" s="4" t="s">
        <v>2108</v>
      </c>
      <c r="C1081" s="5">
        <v>0</v>
      </c>
      <c r="D1081" s="5">
        <v>6</v>
      </c>
      <c r="E1081" s="4" t="str">
        <f t="shared" si="48"/>
        <v>REORDER NOW</v>
      </c>
      <c r="F1081" s="4"/>
      <c r="G1081" s="4"/>
      <c r="H1081" s="5">
        <f t="shared" si="49"/>
        <v>3</v>
      </c>
      <c r="I1081" s="5">
        <f t="shared" si="50"/>
        <v>0</v>
      </c>
    </row>
    <row r="1082" spans="1:9" ht="18" customHeight="1" x14ac:dyDescent="0.25">
      <c r="A1082" s="2" t="s">
        <v>2109</v>
      </c>
      <c r="B1082" s="2" t="s">
        <v>2110</v>
      </c>
      <c r="C1082" s="3">
        <v>19</v>
      </c>
      <c r="D1082" s="3">
        <v>10</v>
      </c>
      <c r="E1082" s="2" t="str">
        <f t="shared" si="48"/>
        <v>OK</v>
      </c>
      <c r="F1082" s="2"/>
      <c r="G1082" s="2"/>
      <c r="H1082" s="3">
        <f t="shared" si="49"/>
        <v>5</v>
      </c>
      <c r="I1082" s="3">
        <f t="shared" si="50"/>
        <v>3.8</v>
      </c>
    </row>
    <row r="1083" spans="1:9" ht="18" customHeight="1" x14ac:dyDescent="0.25">
      <c r="A1083" s="4" t="s">
        <v>2111</v>
      </c>
      <c r="B1083" s="4" t="s">
        <v>2112</v>
      </c>
      <c r="C1083" s="5">
        <v>320</v>
      </c>
      <c r="D1083" s="5">
        <v>100</v>
      </c>
      <c r="E1083" s="4" t="str">
        <f t="shared" si="48"/>
        <v>OK</v>
      </c>
      <c r="F1083" s="4"/>
      <c r="G1083" s="4"/>
      <c r="H1083" s="5">
        <f t="shared" si="49"/>
        <v>50</v>
      </c>
      <c r="I1083" s="5">
        <f t="shared" si="50"/>
        <v>6.4</v>
      </c>
    </row>
    <row r="1084" spans="1:9" ht="18" customHeight="1" x14ac:dyDescent="0.25">
      <c r="A1084" s="2" t="s">
        <v>2113</v>
      </c>
      <c r="B1084" s="2" t="s">
        <v>2114</v>
      </c>
      <c r="C1084" s="3">
        <v>0</v>
      </c>
      <c r="D1084" s="3">
        <v>6</v>
      </c>
      <c r="E1084" s="2" t="str">
        <f t="shared" si="48"/>
        <v>REORDER NOW</v>
      </c>
      <c r="F1084" s="2"/>
      <c r="G1084" s="2"/>
      <c r="H1084" s="3">
        <f t="shared" si="49"/>
        <v>3</v>
      </c>
      <c r="I1084" s="3">
        <f t="shared" si="50"/>
        <v>0</v>
      </c>
    </row>
    <row r="1085" spans="1:9" ht="18" customHeight="1" x14ac:dyDescent="0.25">
      <c r="A1085" s="4" t="s">
        <v>2115</v>
      </c>
      <c r="B1085" s="4" t="s">
        <v>2116</v>
      </c>
      <c r="C1085" s="5">
        <v>9</v>
      </c>
      <c r="D1085" s="5">
        <v>10</v>
      </c>
      <c r="E1085" s="4" t="str">
        <f t="shared" si="48"/>
        <v>REORDER NOW</v>
      </c>
      <c r="F1085" s="4"/>
      <c r="G1085" s="4"/>
      <c r="H1085" s="5">
        <f t="shared" si="49"/>
        <v>5</v>
      </c>
      <c r="I1085" s="5">
        <f t="shared" si="50"/>
        <v>1.8</v>
      </c>
    </row>
    <row r="1086" spans="1:9" ht="18" customHeight="1" x14ac:dyDescent="0.25">
      <c r="A1086" s="2" t="s">
        <v>2117</v>
      </c>
      <c r="B1086" s="2" t="s">
        <v>2118</v>
      </c>
      <c r="C1086" s="3">
        <v>0</v>
      </c>
      <c r="D1086" s="3">
        <v>6</v>
      </c>
      <c r="E1086" s="2" t="str">
        <f t="shared" si="48"/>
        <v>REORDER NOW</v>
      </c>
      <c r="F1086" s="2"/>
      <c r="G1086" s="2"/>
      <c r="H1086" s="3">
        <f t="shared" si="49"/>
        <v>3</v>
      </c>
      <c r="I1086" s="3">
        <f t="shared" si="50"/>
        <v>0</v>
      </c>
    </row>
    <row r="1087" spans="1:9" ht="18" customHeight="1" x14ac:dyDescent="0.25">
      <c r="A1087" s="4" t="s">
        <v>2119</v>
      </c>
      <c r="B1087" s="4" t="s">
        <v>2120</v>
      </c>
      <c r="C1087" s="5">
        <v>0</v>
      </c>
      <c r="D1087" s="5">
        <v>6</v>
      </c>
      <c r="E1087" s="4" t="str">
        <f t="shared" si="48"/>
        <v>REORDER NOW</v>
      </c>
      <c r="F1087" s="4"/>
      <c r="G1087" s="4"/>
      <c r="H1087" s="5">
        <f t="shared" si="49"/>
        <v>3</v>
      </c>
      <c r="I1087" s="5">
        <f t="shared" si="50"/>
        <v>0</v>
      </c>
    </row>
    <row r="1088" spans="1:9" ht="18" customHeight="1" x14ac:dyDescent="0.25">
      <c r="A1088" s="2" t="s">
        <v>2121</v>
      </c>
      <c r="B1088" s="2" t="s">
        <v>2122</v>
      </c>
      <c r="C1088" s="3">
        <v>0</v>
      </c>
      <c r="D1088" s="3">
        <v>6</v>
      </c>
      <c r="E1088" s="2" t="str">
        <f t="shared" si="48"/>
        <v>REORDER NOW</v>
      </c>
      <c r="F1088" s="2"/>
      <c r="G1088" s="2"/>
      <c r="H1088" s="3">
        <f t="shared" si="49"/>
        <v>3</v>
      </c>
      <c r="I1088" s="3">
        <f t="shared" si="50"/>
        <v>0</v>
      </c>
    </row>
    <row r="1089" spans="1:9" ht="18" customHeight="1" x14ac:dyDescent="0.25">
      <c r="A1089" s="4" t="s">
        <v>2123</v>
      </c>
      <c r="B1089" s="4" t="s">
        <v>2124</v>
      </c>
      <c r="C1089" s="5">
        <v>10</v>
      </c>
      <c r="D1089" s="5">
        <v>10</v>
      </c>
      <c r="E1089" s="4" t="str">
        <f t="shared" si="48"/>
        <v>REORDER NOW</v>
      </c>
      <c r="F1089" s="4"/>
      <c r="G1089" s="4"/>
      <c r="H1089" s="5">
        <f t="shared" si="49"/>
        <v>5</v>
      </c>
      <c r="I1089" s="5">
        <f t="shared" si="50"/>
        <v>2</v>
      </c>
    </row>
    <row r="1090" spans="1:9" ht="18" customHeight="1" x14ac:dyDescent="0.25">
      <c r="A1090" s="2" t="s">
        <v>2125</v>
      </c>
      <c r="B1090" s="2" t="s">
        <v>2126</v>
      </c>
      <c r="C1090" s="3">
        <v>0</v>
      </c>
      <c r="D1090" s="3">
        <v>6</v>
      </c>
      <c r="E1090" s="2" t="str">
        <f t="shared" si="48"/>
        <v>REORDER NOW</v>
      </c>
      <c r="F1090" s="2"/>
      <c r="G1090" s="2"/>
      <c r="H1090" s="3">
        <f t="shared" si="49"/>
        <v>3</v>
      </c>
      <c r="I1090" s="3">
        <f t="shared" si="50"/>
        <v>0</v>
      </c>
    </row>
    <row r="1091" spans="1:9" ht="18" customHeight="1" x14ac:dyDescent="0.25">
      <c r="A1091" s="4" t="s">
        <v>2127</v>
      </c>
      <c r="B1091" s="4" t="s">
        <v>2128</v>
      </c>
      <c r="C1091" s="5">
        <v>251</v>
      </c>
      <c r="D1091" s="5">
        <v>100</v>
      </c>
      <c r="E1091" s="4" t="str">
        <f t="shared" si="48"/>
        <v>OK</v>
      </c>
      <c r="F1091" s="4"/>
      <c r="G1091" s="4"/>
      <c r="H1091" s="5">
        <f t="shared" si="49"/>
        <v>50</v>
      </c>
      <c r="I1091" s="5">
        <f t="shared" si="50"/>
        <v>5</v>
      </c>
    </row>
    <row r="1092" spans="1:9" ht="18" customHeight="1" x14ac:dyDescent="0.25">
      <c r="A1092" s="2" t="s">
        <v>2129</v>
      </c>
      <c r="B1092" s="2" t="s">
        <v>2130</v>
      </c>
      <c r="C1092" s="3">
        <v>0</v>
      </c>
      <c r="D1092" s="3">
        <v>6</v>
      </c>
      <c r="E1092" s="2" t="str">
        <f t="shared" ref="E1092:E1155" si="51">IF(C1092&lt;=D1092,"REORDER NOW","OK")</f>
        <v>REORDER NOW</v>
      </c>
      <c r="F1092" s="2"/>
      <c r="G1092" s="2"/>
      <c r="H1092" s="3">
        <f t="shared" ref="H1092:H1155" si="52">D1092/2</f>
        <v>3</v>
      </c>
      <c r="I1092" s="3">
        <f t="shared" ref="I1092:I1155" si="53">IF(H1092=0,"N/A",ROUND(C1092/H1092,1))</f>
        <v>0</v>
      </c>
    </row>
    <row r="1093" spans="1:9" ht="18" customHeight="1" x14ac:dyDescent="0.25">
      <c r="A1093" s="4" t="s">
        <v>2131</v>
      </c>
      <c r="B1093" s="4" t="s">
        <v>2132</v>
      </c>
      <c r="C1093" s="5">
        <v>0</v>
      </c>
      <c r="D1093" s="5">
        <v>6</v>
      </c>
      <c r="E1093" s="4" t="str">
        <f t="shared" si="51"/>
        <v>REORDER NOW</v>
      </c>
      <c r="F1093" s="4"/>
      <c r="G1093" s="4"/>
      <c r="H1093" s="5">
        <f t="shared" si="52"/>
        <v>3</v>
      </c>
      <c r="I1093" s="5">
        <f t="shared" si="53"/>
        <v>0</v>
      </c>
    </row>
    <row r="1094" spans="1:9" ht="18" customHeight="1" x14ac:dyDescent="0.25">
      <c r="A1094" s="2" t="s">
        <v>2133</v>
      </c>
      <c r="B1094" s="2" t="s">
        <v>2134</v>
      </c>
      <c r="C1094" s="3">
        <v>0</v>
      </c>
      <c r="D1094" s="3">
        <v>6</v>
      </c>
      <c r="E1094" s="2" t="str">
        <f t="shared" si="51"/>
        <v>REORDER NOW</v>
      </c>
      <c r="F1094" s="2"/>
      <c r="G1094" s="2"/>
      <c r="H1094" s="3">
        <f t="shared" si="52"/>
        <v>3</v>
      </c>
      <c r="I1094" s="3">
        <f t="shared" si="53"/>
        <v>0</v>
      </c>
    </row>
    <row r="1095" spans="1:9" ht="18" customHeight="1" x14ac:dyDescent="0.25">
      <c r="A1095" s="4" t="s">
        <v>2135</v>
      </c>
      <c r="B1095" s="4" t="s">
        <v>2136</v>
      </c>
      <c r="C1095" s="5">
        <v>0</v>
      </c>
      <c r="D1095" s="5">
        <v>6</v>
      </c>
      <c r="E1095" s="4" t="str">
        <f t="shared" si="51"/>
        <v>REORDER NOW</v>
      </c>
      <c r="F1095" s="4"/>
      <c r="G1095" s="4"/>
      <c r="H1095" s="5">
        <f t="shared" si="52"/>
        <v>3</v>
      </c>
      <c r="I1095" s="5">
        <f t="shared" si="53"/>
        <v>0</v>
      </c>
    </row>
    <row r="1096" spans="1:9" ht="18" customHeight="1" x14ac:dyDescent="0.25">
      <c r="A1096" s="2" t="s">
        <v>2137</v>
      </c>
      <c r="B1096" s="2" t="s">
        <v>2138</v>
      </c>
      <c r="C1096" s="3">
        <v>0</v>
      </c>
      <c r="D1096" s="3">
        <v>6</v>
      </c>
      <c r="E1096" s="2" t="str">
        <f t="shared" si="51"/>
        <v>REORDER NOW</v>
      </c>
      <c r="F1096" s="2"/>
      <c r="G1096" s="2"/>
      <c r="H1096" s="3">
        <f t="shared" si="52"/>
        <v>3</v>
      </c>
      <c r="I1096" s="3">
        <f t="shared" si="53"/>
        <v>0</v>
      </c>
    </row>
    <row r="1097" spans="1:9" ht="18" customHeight="1" x14ac:dyDescent="0.25">
      <c r="A1097" s="4" t="s">
        <v>2139</v>
      </c>
      <c r="B1097" s="4" t="s">
        <v>2140</v>
      </c>
      <c r="C1097" s="5">
        <v>0</v>
      </c>
      <c r="D1097" s="5">
        <v>6</v>
      </c>
      <c r="E1097" s="4" t="str">
        <f t="shared" si="51"/>
        <v>REORDER NOW</v>
      </c>
      <c r="F1097" s="4"/>
      <c r="G1097" s="4"/>
      <c r="H1097" s="5">
        <f t="shared" si="52"/>
        <v>3</v>
      </c>
      <c r="I1097" s="5">
        <f t="shared" si="53"/>
        <v>0</v>
      </c>
    </row>
    <row r="1098" spans="1:9" ht="18" customHeight="1" x14ac:dyDescent="0.25">
      <c r="A1098" s="2" t="s">
        <v>2141</v>
      </c>
      <c r="B1098" s="2" t="s">
        <v>2142</v>
      </c>
      <c r="C1098" s="3">
        <v>0</v>
      </c>
      <c r="D1098" s="3">
        <v>6</v>
      </c>
      <c r="E1098" s="2" t="str">
        <f t="shared" si="51"/>
        <v>REORDER NOW</v>
      </c>
      <c r="F1098" s="2"/>
      <c r="G1098" s="2"/>
      <c r="H1098" s="3">
        <f t="shared" si="52"/>
        <v>3</v>
      </c>
      <c r="I1098" s="3">
        <f t="shared" si="53"/>
        <v>0</v>
      </c>
    </row>
    <row r="1099" spans="1:9" ht="18" customHeight="1" x14ac:dyDescent="0.25">
      <c r="A1099" s="4" t="s">
        <v>2143</v>
      </c>
      <c r="B1099" s="4" t="s">
        <v>2144</v>
      </c>
      <c r="C1099" s="5">
        <v>0</v>
      </c>
      <c r="D1099" s="5">
        <v>6</v>
      </c>
      <c r="E1099" s="4" t="str">
        <f t="shared" si="51"/>
        <v>REORDER NOW</v>
      </c>
      <c r="F1099" s="4"/>
      <c r="G1099" s="4"/>
      <c r="H1099" s="5">
        <f t="shared" si="52"/>
        <v>3</v>
      </c>
      <c r="I1099" s="5">
        <f t="shared" si="53"/>
        <v>0</v>
      </c>
    </row>
    <row r="1100" spans="1:9" ht="18" customHeight="1" x14ac:dyDescent="0.25">
      <c r="A1100" s="2" t="s">
        <v>2145</v>
      </c>
      <c r="B1100" s="2" t="s">
        <v>2146</v>
      </c>
      <c r="C1100" s="3">
        <v>7</v>
      </c>
      <c r="D1100" s="3">
        <v>10</v>
      </c>
      <c r="E1100" s="2" t="str">
        <f t="shared" si="51"/>
        <v>REORDER NOW</v>
      </c>
      <c r="F1100" s="2"/>
      <c r="G1100" s="2"/>
      <c r="H1100" s="3">
        <f t="shared" si="52"/>
        <v>5</v>
      </c>
      <c r="I1100" s="3">
        <f t="shared" si="53"/>
        <v>1.4</v>
      </c>
    </row>
    <row r="1101" spans="1:9" ht="18" customHeight="1" x14ac:dyDescent="0.25">
      <c r="A1101" s="4" t="s">
        <v>2147</v>
      </c>
      <c r="B1101" s="4" t="s">
        <v>2148</v>
      </c>
      <c r="C1101" s="5">
        <v>0</v>
      </c>
      <c r="D1101" s="5">
        <v>6</v>
      </c>
      <c r="E1101" s="4" t="str">
        <f t="shared" si="51"/>
        <v>REORDER NOW</v>
      </c>
      <c r="F1101" s="4"/>
      <c r="G1101" s="4"/>
      <c r="H1101" s="5">
        <f t="shared" si="52"/>
        <v>3</v>
      </c>
      <c r="I1101" s="5">
        <f t="shared" si="53"/>
        <v>0</v>
      </c>
    </row>
    <row r="1102" spans="1:9" ht="18" customHeight="1" x14ac:dyDescent="0.25">
      <c r="A1102" s="2" t="s">
        <v>2149</v>
      </c>
      <c r="B1102" s="2" t="s">
        <v>2150</v>
      </c>
      <c r="C1102" s="3">
        <v>1</v>
      </c>
      <c r="D1102" s="3">
        <v>6</v>
      </c>
      <c r="E1102" s="2" t="str">
        <f t="shared" si="51"/>
        <v>REORDER NOW</v>
      </c>
      <c r="F1102" s="2"/>
      <c r="G1102" s="2"/>
      <c r="H1102" s="3">
        <f t="shared" si="52"/>
        <v>3</v>
      </c>
      <c r="I1102" s="3">
        <f t="shared" si="53"/>
        <v>0.3</v>
      </c>
    </row>
    <row r="1103" spans="1:9" ht="18" customHeight="1" x14ac:dyDescent="0.25">
      <c r="A1103" s="4" t="s">
        <v>2151</v>
      </c>
      <c r="B1103" s="4" t="s">
        <v>2152</v>
      </c>
      <c r="C1103" s="5">
        <v>0</v>
      </c>
      <c r="D1103" s="5">
        <v>6</v>
      </c>
      <c r="E1103" s="4" t="str">
        <f t="shared" si="51"/>
        <v>REORDER NOW</v>
      </c>
      <c r="F1103" s="4"/>
      <c r="G1103" s="4"/>
      <c r="H1103" s="5">
        <f t="shared" si="52"/>
        <v>3</v>
      </c>
      <c r="I1103" s="5">
        <f t="shared" si="53"/>
        <v>0</v>
      </c>
    </row>
    <row r="1104" spans="1:9" ht="18" customHeight="1" x14ac:dyDescent="0.25">
      <c r="A1104" s="2" t="s">
        <v>2153</v>
      </c>
      <c r="B1104" s="2" t="s">
        <v>2154</v>
      </c>
      <c r="C1104" s="3">
        <v>0</v>
      </c>
      <c r="D1104" s="3">
        <v>6</v>
      </c>
      <c r="E1104" s="2" t="str">
        <f t="shared" si="51"/>
        <v>REORDER NOW</v>
      </c>
      <c r="F1104" s="2"/>
      <c r="G1104" s="2"/>
      <c r="H1104" s="3">
        <f t="shared" si="52"/>
        <v>3</v>
      </c>
      <c r="I1104" s="3">
        <f t="shared" si="53"/>
        <v>0</v>
      </c>
    </row>
    <row r="1105" spans="1:9" ht="18" customHeight="1" x14ac:dyDescent="0.25">
      <c r="A1105" s="4" t="s">
        <v>2155</v>
      </c>
      <c r="B1105" s="4" t="s">
        <v>2156</v>
      </c>
      <c r="C1105" s="5">
        <v>5</v>
      </c>
      <c r="D1105" s="5">
        <v>6</v>
      </c>
      <c r="E1105" s="4" t="str">
        <f t="shared" si="51"/>
        <v>REORDER NOW</v>
      </c>
      <c r="F1105" s="4"/>
      <c r="G1105" s="4"/>
      <c r="H1105" s="5">
        <f t="shared" si="52"/>
        <v>3</v>
      </c>
      <c r="I1105" s="5">
        <f t="shared" si="53"/>
        <v>1.7</v>
      </c>
    </row>
    <row r="1106" spans="1:9" ht="18" customHeight="1" x14ac:dyDescent="0.25">
      <c r="A1106" s="2" t="s">
        <v>2157</v>
      </c>
      <c r="B1106" s="2" t="s">
        <v>2158</v>
      </c>
      <c r="C1106" s="3">
        <v>12</v>
      </c>
      <c r="D1106" s="3">
        <v>10</v>
      </c>
      <c r="E1106" s="2" t="str">
        <f t="shared" si="51"/>
        <v>OK</v>
      </c>
      <c r="F1106" s="2"/>
      <c r="G1106" s="2"/>
      <c r="H1106" s="3">
        <f t="shared" si="52"/>
        <v>5</v>
      </c>
      <c r="I1106" s="3">
        <f t="shared" si="53"/>
        <v>2.4</v>
      </c>
    </row>
    <row r="1107" spans="1:9" ht="18" customHeight="1" x14ac:dyDescent="0.25">
      <c r="A1107" s="4" t="s">
        <v>2159</v>
      </c>
      <c r="B1107" s="4" t="s">
        <v>2160</v>
      </c>
      <c r="C1107" s="5">
        <v>7</v>
      </c>
      <c r="D1107" s="5">
        <v>10</v>
      </c>
      <c r="E1107" s="4" t="str">
        <f t="shared" si="51"/>
        <v>REORDER NOW</v>
      </c>
      <c r="F1107" s="4"/>
      <c r="G1107" s="4"/>
      <c r="H1107" s="5">
        <f t="shared" si="52"/>
        <v>5</v>
      </c>
      <c r="I1107" s="5">
        <f t="shared" si="53"/>
        <v>1.4</v>
      </c>
    </row>
    <row r="1108" spans="1:9" ht="18" customHeight="1" x14ac:dyDescent="0.25">
      <c r="A1108" s="2" t="s">
        <v>2161</v>
      </c>
      <c r="B1108" s="2" t="s">
        <v>2162</v>
      </c>
      <c r="C1108" s="3">
        <v>1</v>
      </c>
      <c r="D1108" s="3">
        <v>6</v>
      </c>
      <c r="E1108" s="2" t="str">
        <f t="shared" si="51"/>
        <v>REORDER NOW</v>
      </c>
      <c r="F1108" s="2"/>
      <c r="G1108" s="2"/>
      <c r="H1108" s="3">
        <f t="shared" si="52"/>
        <v>3</v>
      </c>
      <c r="I1108" s="3">
        <f t="shared" si="53"/>
        <v>0.3</v>
      </c>
    </row>
    <row r="1109" spans="1:9" ht="18" customHeight="1" x14ac:dyDescent="0.25">
      <c r="A1109" s="4" t="s">
        <v>2163</v>
      </c>
      <c r="B1109" s="4" t="s">
        <v>2164</v>
      </c>
      <c r="C1109" s="5">
        <v>3</v>
      </c>
      <c r="D1109" s="5">
        <v>6</v>
      </c>
      <c r="E1109" s="4" t="str">
        <f t="shared" si="51"/>
        <v>REORDER NOW</v>
      </c>
      <c r="F1109" s="4"/>
      <c r="G1109" s="4"/>
      <c r="H1109" s="5">
        <f t="shared" si="52"/>
        <v>3</v>
      </c>
      <c r="I1109" s="5">
        <f t="shared" si="53"/>
        <v>1</v>
      </c>
    </row>
    <row r="1110" spans="1:9" ht="18" customHeight="1" x14ac:dyDescent="0.25">
      <c r="A1110" s="2" t="s">
        <v>2165</v>
      </c>
      <c r="B1110" s="2" t="s">
        <v>2166</v>
      </c>
      <c r="C1110" s="3">
        <v>12</v>
      </c>
      <c r="D1110" s="3">
        <v>10</v>
      </c>
      <c r="E1110" s="2" t="str">
        <f t="shared" si="51"/>
        <v>OK</v>
      </c>
      <c r="F1110" s="2"/>
      <c r="G1110" s="2"/>
      <c r="H1110" s="3">
        <f t="shared" si="52"/>
        <v>5</v>
      </c>
      <c r="I1110" s="3">
        <f t="shared" si="53"/>
        <v>2.4</v>
      </c>
    </row>
    <row r="1111" spans="1:9" ht="18" customHeight="1" x14ac:dyDescent="0.25">
      <c r="A1111" s="4" t="s">
        <v>2167</v>
      </c>
      <c r="B1111" s="4" t="s">
        <v>2168</v>
      </c>
      <c r="C1111" s="5">
        <v>75</v>
      </c>
      <c r="D1111" s="5">
        <v>40</v>
      </c>
      <c r="E1111" s="4" t="str">
        <f t="shared" si="51"/>
        <v>OK</v>
      </c>
      <c r="F1111" s="4"/>
      <c r="G1111" s="4"/>
      <c r="H1111" s="5">
        <f t="shared" si="52"/>
        <v>20</v>
      </c>
      <c r="I1111" s="5">
        <f t="shared" si="53"/>
        <v>3.8</v>
      </c>
    </row>
    <row r="1112" spans="1:9" ht="18" customHeight="1" x14ac:dyDescent="0.25">
      <c r="A1112" s="2" t="s">
        <v>2169</v>
      </c>
      <c r="B1112" s="2" t="s">
        <v>2170</v>
      </c>
      <c r="C1112" s="3">
        <v>0</v>
      </c>
      <c r="D1112" s="3">
        <v>6</v>
      </c>
      <c r="E1112" s="2" t="str">
        <f t="shared" si="51"/>
        <v>REORDER NOW</v>
      </c>
      <c r="F1112" s="2"/>
      <c r="G1112" s="2"/>
      <c r="H1112" s="3">
        <f t="shared" si="52"/>
        <v>3</v>
      </c>
      <c r="I1112" s="3">
        <f t="shared" si="53"/>
        <v>0</v>
      </c>
    </row>
    <row r="1113" spans="1:9" ht="18" customHeight="1" x14ac:dyDescent="0.25">
      <c r="A1113" s="4" t="s">
        <v>2171</v>
      </c>
      <c r="B1113" s="4" t="s">
        <v>2172</v>
      </c>
      <c r="C1113" s="5">
        <v>112</v>
      </c>
      <c r="D1113" s="5">
        <v>100</v>
      </c>
      <c r="E1113" s="4" t="str">
        <f t="shared" si="51"/>
        <v>OK</v>
      </c>
      <c r="F1113" s="4"/>
      <c r="G1113" s="4"/>
      <c r="H1113" s="5">
        <f t="shared" si="52"/>
        <v>50</v>
      </c>
      <c r="I1113" s="5">
        <f t="shared" si="53"/>
        <v>2.2000000000000002</v>
      </c>
    </row>
    <row r="1114" spans="1:9" ht="18" customHeight="1" x14ac:dyDescent="0.25">
      <c r="A1114" s="2" t="s">
        <v>2173</v>
      </c>
      <c r="B1114" s="2" t="s">
        <v>2174</v>
      </c>
      <c r="C1114" s="3">
        <v>0</v>
      </c>
      <c r="D1114" s="3">
        <v>6</v>
      </c>
      <c r="E1114" s="2" t="str">
        <f t="shared" si="51"/>
        <v>REORDER NOW</v>
      </c>
      <c r="F1114" s="2"/>
      <c r="G1114" s="2"/>
      <c r="H1114" s="3">
        <f t="shared" si="52"/>
        <v>3</v>
      </c>
      <c r="I1114" s="3">
        <f t="shared" si="53"/>
        <v>0</v>
      </c>
    </row>
    <row r="1115" spans="1:9" ht="18" customHeight="1" x14ac:dyDescent="0.25">
      <c r="A1115" s="4" t="s">
        <v>2175</v>
      </c>
      <c r="B1115" s="4" t="s">
        <v>2176</v>
      </c>
      <c r="C1115" s="5">
        <v>24</v>
      </c>
      <c r="D1115" s="5">
        <v>20</v>
      </c>
      <c r="E1115" s="4" t="str">
        <f t="shared" si="51"/>
        <v>OK</v>
      </c>
      <c r="F1115" s="4"/>
      <c r="G1115" s="4"/>
      <c r="H1115" s="5">
        <f t="shared" si="52"/>
        <v>10</v>
      </c>
      <c r="I1115" s="5">
        <f t="shared" si="53"/>
        <v>2.4</v>
      </c>
    </row>
    <row r="1116" spans="1:9" ht="18" customHeight="1" x14ac:dyDescent="0.25">
      <c r="A1116" s="2" t="s">
        <v>2177</v>
      </c>
      <c r="B1116" s="2" t="s">
        <v>2178</v>
      </c>
      <c r="C1116" s="3">
        <v>96</v>
      </c>
      <c r="D1116" s="3">
        <v>40</v>
      </c>
      <c r="E1116" s="2" t="str">
        <f t="shared" si="51"/>
        <v>OK</v>
      </c>
      <c r="F1116" s="2"/>
      <c r="G1116" s="2"/>
      <c r="H1116" s="3">
        <f t="shared" si="52"/>
        <v>20</v>
      </c>
      <c r="I1116" s="3">
        <f t="shared" si="53"/>
        <v>4.8</v>
      </c>
    </row>
    <row r="1117" spans="1:9" ht="18" customHeight="1" x14ac:dyDescent="0.25">
      <c r="A1117" s="4" t="s">
        <v>2179</v>
      </c>
      <c r="B1117" s="4" t="s">
        <v>2180</v>
      </c>
      <c r="C1117" s="5">
        <v>0</v>
      </c>
      <c r="D1117" s="5">
        <v>6</v>
      </c>
      <c r="E1117" s="4" t="str">
        <f t="shared" si="51"/>
        <v>REORDER NOW</v>
      </c>
      <c r="F1117" s="4"/>
      <c r="G1117" s="4"/>
      <c r="H1117" s="5">
        <f t="shared" si="52"/>
        <v>3</v>
      </c>
      <c r="I1117" s="5">
        <f t="shared" si="53"/>
        <v>0</v>
      </c>
    </row>
    <row r="1118" spans="1:9" ht="18" customHeight="1" x14ac:dyDescent="0.25">
      <c r="A1118" s="2" t="s">
        <v>2181</v>
      </c>
      <c r="B1118" s="2" t="s">
        <v>2182</v>
      </c>
      <c r="C1118" s="3">
        <v>88</v>
      </c>
      <c r="D1118" s="3">
        <v>40</v>
      </c>
      <c r="E1118" s="2" t="str">
        <f t="shared" si="51"/>
        <v>OK</v>
      </c>
      <c r="F1118" s="2"/>
      <c r="G1118" s="2"/>
      <c r="H1118" s="3">
        <f t="shared" si="52"/>
        <v>20</v>
      </c>
      <c r="I1118" s="3">
        <f t="shared" si="53"/>
        <v>4.4000000000000004</v>
      </c>
    </row>
    <row r="1119" spans="1:9" ht="18" customHeight="1" x14ac:dyDescent="0.25">
      <c r="A1119" s="4" t="s">
        <v>2183</v>
      </c>
      <c r="B1119" s="4" t="s">
        <v>2184</v>
      </c>
      <c r="C1119" s="5">
        <v>2</v>
      </c>
      <c r="D1119" s="5">
        <v>6</v>
      </c>
      <c r="E1119" s="4" t="str">
        <f t="shared" si="51"/>
        <v>REORDER NOW</v>
      </c>
      <c r="F1119" s="4"/>
      <c r="G1119" s="4"/>
      <c r="H1119" s="5">
        <f t="shared" si="52"/>
        <v>3</v>
      </c>
      <c r="I1119" s="5">
        <f t="shared" si="53"/>
        <v>0.7</v>
      </c>
    </row>
    <row r="1120" spans="1:9" ht="18" customHeight="1" x14ac:dyDescent="0.25">
      <c r="A1120" s="2" t="s">
        <v>2185</v>
      </c>
      <c r="B1120" s="2" t="s">
        <v>2186</v>
      </c>
      <c r="C1120" s="3">
        <v>60</v>
      </c>
      <c r="D1120" s="3">
        <v>40</v>
      </c>
      <c r="E1120" s="2" t="str">
        <f t="shared" si="51"/>
        <v>OK</v>
      </c>
      <c r="F1120" s="2"/>
      <c r="G1120" s="2"/>
      <c r="H1120" s="3">
        <f t="shared" si="52"/>
        <v>20</v>
      </c>
      <c r="I1120" s="3">
        <f t="shared" si="53"/>
        <v>3</v>
      </c>
    </row>
    <row r="1121" spans="1:9" ht="18" customHeight="1" x14ac:dyDescent="0.25">
      <c r="A1121" s="4" t="s">
        <v>2187</v>
      </c>
      <c r="B1121" s="4" t="s">
        <v>2188</v>
      </c>
      <c r="C1121" s="5">
        <v>4</v>
      </c>
      <c r="D1121" s="5">
        <v>6</v>
      </c>
      <c r="E1121" s="4" t="str">
        <f t="shared" si="51"/>
        <v>REORDER NOW</v>
      </c>
      <c r="F1121" s="4"/>
      <c r="G1121" s="4"/>
      <c r="H1121" s="5">
        <f t="shared" si="52"/>
        <v>3</v>
      </c>
      <c r="I1121" s="5">
        <f t="shared" si="53"/>
        <v>1.3</v>
      </c>
    </row>
    <row r="1122" spans="1:9" ht="18" customHeight="1" x14ac:dyDescent="0.25">
      <c r="A1122" s="2" t="s">
        <v>2189</v>
      </c>
      <c r="B1122" s="2" t="s">
        <v>2190</v>
      </c>
      <c r="C1122" s="3">
        <v>24</v>
      </c>
      <c r="D1122" s="3">
        <v>20</v>
      </c>
      <c r="E1122" s="2" t="str">
        <f t="shared" si="51"/>
        <v>OK</v>
      </c>
      <c r="F1122" s="2"/>
      <c r="G1122" s="2"/>
      <c r="H1122" s="3">
        <f t="shared" si="52"/>
        <v>10</v>
      </c>
      <c r="I1122" s="3">
        <f t="shared" si="53"/>
        <v>2.4</v>
      </c>
    </row>
    <row r="1123" spans="1:9" ht="18" customHeight="1" x14ac:dyDescent="0.25">
      <c r="A1123" s="4" t="s">
        <v>2191</v>
      </c>
      <c r="B1123" s="4" t="s">
        <v>2192</v>
      </c>
      <c r="C1123" s="5">
        <v>0</v>
      </c>
      <c r="D1123" s="5">
        <v>6</v>
      </c>
      <c r="E1123" s="4" t="str">
        <f t="shared" si="51"/>
        <v>REORDER NOW</v>
      </c>
      <c r="F1123" s="4"/>
      <c r="G1123" s="4"/>
      <c r="H1123" s="5">
        <f t="shared" si="52"/>
        <v>3</v>
      </c>
      <c r="I1123" s="5">
        <f t="shared" si="53"/>
        <v>0</v>
      </c>
    </row>
    <row r="1124" spans="1:9" ht="18" customHeight="1" x14ac:dyDescent="0.25">
      <c r="A1124" s="2" t="s">
        <v>2193</v>
      </c>
      <c r="B1124" s="2" t="s">
        <v>2194</v>
      </c>
      <c r="C1124" s="3">
        <v>87</v>
      </c>
      <c r="D1124" s="3">
        <v>40</v>
      </c>
      <c r="E1124" s="2" t="str">
        <f t="shared" si="51"/>
        <v>OK</v>
      </c>
      <c r="F1124" s="2"/>
      <c r="G1124" s="2"/>
      <c r="H1124" s="3">
        <f t="shared" si="52"/>
        <v>20</v>
      </c>
      <c r="I1124" s="3">
        <f t="shared" si="53"/>
        <v>4.4000000000000004</v>
      </c>
    </row>
    <row r="1125" spans="1:9" ht="18" customHeight="1" x14ac:dyDescent="0.25">
      <c r="A1125" s="4" t="s">
        <v>2195</v>
      </c>
      <c r="B1125" s="4" t="s">
        <v>2196</v>
      </c>
      <c r="C1125" s="5">
        <v>0</v>
      </c>
      <c r="D1125" s="5">
        <v>6</v>
      </c>
      <c r="E1125" s="4" t="str">
        <f t="shared" si="51"/>
        <v>REORDER NOW</v>
      </c>
      <c r="F1125" s="4"/>
      <c r="G1125" s="4"/>
      <c r="H1125" s="5">
        <f t="shared" si="52"/>
        <v>3</v>
      </c>
      <c r="I1125" s="5">
        <f t="shared" si="53"/>
        <v>0</v>
      </c>
    </row>
    <row r="1126" spans="1:9" ht="18" customHeight="1" x14ac:dyDescent="0.25">
      <c r="A1126" s="2" t="s">
        <v>2197</v>
      </c>
      <c r="B1126" s="2" t="s">
        <v>2198</v>
      </c>
      <c r="C1126" s="3">
        <v>10</v>
      </c>
      <c r="D1126" s="3">
        <v>10</v>
      </c>
      <c r="E1126" s="2" t="str">
        <f t="shared" si="51"/>
        <v>REORDER NOW</v>
      </c>
      <c r="F1126" s="2"/>
      <c r="G1126" s="2"/>
      <c r="H1126" s="3">
        <f t="shared" si="52"/>
        <v>5</v>
      </c>
      <c r="I1126" s="3">
        <f t="shared" si="53"/>
        <v>2</v>
      </c>
    </row>
    <row r="1127" spans="1:9" ht="18" customHeight="1" x14ac:dyDescent="0.25">
      <c r="A1127" s="4" t="s">
        <v>2199</v>
      </c>
      <c r="B1127" s="4" t="s">
        <v>2200</v>
      </c>
      <c r="C1127" s="5">
        <v>0</v>
      </c>
      <c r="D1127" s="5">
        <v>6</v>
      </c>
      <c r="E1127" s="4" t="str">
        <f t="shared" si="51"/>
        <v>REORDER NOW</v>
      </c>
      <c r="F1127" s="4"/>
      <c r="G1127" s="4"/>
      <c r="H1127" s="5">
        <f t="shared" si="52"/>
        <v>3</v>
      </c>
      <c r="I1127" s="5">
        <f t="shared" si="53"/>
        <v>0</v>
      </c>
    </row>
    <row r="1128" spans="1:9" ht="18" customHeight="1" x14ac:dyDescent="0.25">
      <c r="A1128" s="2" t="s">
        <v>2201</v>
      </c>
      <c r="B1128" s="2" t="s">
        <v>2202</v>
      </c>
      <c r="C1128" s="3">
        <v>104</v>
      </c>
      <c r="D1128" s="3">
        <v>100</v>
      </c>
      <c r="E1128" s="2" t="str">
        <f t="shared" si="51"/>
        <v>OK</v>
      </c>
      <c r="F1128" s="2"/>
      <c r="G1128" s="2"/>
      <c r="H1128" s="3">
        <f t="shared" si="52"/>
        <v>50</v>
      </c>
      <c r="I1128" s="3">
        <f t="shared" si="53"/>
        <v>2.1</v>
      </c>
    </row>
    <row r="1129" spans="1:9" ht="18" customHeight="1" x14ac:dyDescent="0.25">
      <c r="A1129" s="4" t="s">
        <v>2203</v>
      </c>
      <c r="B1129" s="4" t="s">
        <v>2204</v>
      </c>
      <c r="C1129" s="5">
        <v>0</v>
      </c>
      <c r="D1129" s="5">
        <v>6</v>
      </c>
      <c r="E1129" s="4" t="str">
        <f t="shared" si="51"/>
        <v>REORDER NOW</v>
      </c>
      <c r="F1129" s="4"/>
      <c r="G1129" s="4"/>
      <c r="H1129" s="5">
        <f t="shared" si="52"/>
        <v>3</v>
      </c>
      <c r="I1129" s="5">
        <f t="shared" si="53"/>
        <v>0</v>
      </c>
    </row>
    <row r="1130" spans="1:9" ht="18" customHeight="1" x14ac:dyDescent="0.25">
      <c r="A1130" s="2" t="s">
        <v>2205</v>
      </c>
      <c r="B1130" s="2" t="s">
        <v>2206</v>
      </c>
      <c r="C1130" s="3">
        <v>0</v>
      </c>
      <c r="D1130" s="3">
        <v>6</v>
      </c>
      <c r="E1130" s="2" t="str">
        <f t="shared" si="51"/>
        <v>REORDER NOW</v>
      </c>
      <c r="F1130" s="2"/>
      <c r="G1130" s="2"/>
      <c r="H1130" s="3">
        <f t="shared" si="52"/>
        <v>3</v>
      </c>
      <c r="I1130" s="3">
        <f t="shared" si="53"/>
        <v>0</v>
      </c>
    </row>
    <row r="1131" spans="1:9" ht="18" customHeight="1" x14ac:dyDescent="0.25">
      <c r="A1131" s="4" t="s">
        <v>2207</v>
      </c>
      <c r="B1131" s="4" t="s">
        <v>2208</v>
      </c>
      <c r="C1131" s="5">
        <v>48</v>
      </c>
      <c r="D1131" s="5">
        <v>20</v>
      </c>
      <c r="E1131" s="4" t="str">
        <f t="shared" si="51"/>
        <v>OK</v>
      </c>
      <c r="F1131" s="4"/>
      <c r="G1131" s="4"/>
      <c r="H1131" s="5">
        <f t="shared" si="52"/>
        <v>10</v>
      </c>
      <c r="I1131" s="5">
        <f t="shared" si="53"/>
        <v>4.8</v>
      </c>
    </row>
    <row r="1132" spans="1:9" ht="18" customHeight="1" x14ac:dyDescent="0.25">
      <c r="A1132" s="2" t="s">
        <v>2209</v>
      </c>
      <c r="B1132" s="2" t="s">
        <v>2210</v>
      </c>
      <c r="C1132" s="3">
        <v>28</v>
      </c>
      <c r="D1132" s="3">
        <v>20</v>
      </c>
      <c r="E1132" s="2" t="str">
        <f t="shared" si="51"/>
        <v>OK</v>
      </c>
      <c r="F1132" s="2"/>
      <c r="G1132" s="2"/>
      <c r="H1132" s="3">
        <f t="shared" si="52"/>
        <v>10</v>
      </c>
      <c r="I1132" s="3">
        <f t="shared" si="53"/>
        <v>2.8</v>
      </c>
    </row>
    <row r="1133" spans="1:9" ht="18" customHeight="1" x14ac:dyDescent="0.25">
      <c r="A1133" s="4" t="s">
        <v>2211</v>
      </c>
      <c r="B1133" s="4" t="s">
        <v>2212</v>
      </c>
      <c r="C1133" s="5">
        <v>18</v>
      </c>
      <c r="D1133" s="5">
        <v>10</v>
      </c>
      <c r="E1133" s="4" t="str">
        <f t="shared" si="51"/>
        <v>OK</v>
      </c>
      <c r="F1133" s="4"/>
      <c r="G1133" s="4"/>
      <c r="H1133" s="5">
        <f t="shared" si="52"/>
        <v>5</v>
      </c>
      <c r="I1133" s="5">
        <f t="shared" si="53"/>
        <v>3.6</v>
      </c>
    </row>
    <row r="1134" spans="1:9" ht="18" customHeight="1" x14ac:dyDescent="0.25">
      <c r="A1134" s="2" t="s">
        <v>2213</v>
      </c>
      <c r="B1134" s="2" t="s">
        <v>2214</v>
      </c>
      <c r="C1134" s="3">
        <v>15</v>
      </c>
      <c r="D1134" s="3">
        <v>10</v>
      </c>
      <c r="E1134" s="2" t="str">
        <f t="shared" si="51"/>
        <v>OK</v>
      </c>
      <c r="F1134" s="2"/>
      <c r="G1134" s="2"/>
      <c r="H1134" s="3">
        <f t="shared" si="52"/>
        <v>5</v>
      </c>
      <c r="I1134" s="3">
        <f t="shared" si="53"/>
        <v>3</v>
      </c>
    </row>
    <row r="1135" spans="1:9" ht="18" customHeight="1" x14ac:dyDescent="0.25">
      <c r="A1135" s="4" t="s">
        <v>2215</v>
      </c>
      <c r="B1135" s="4" t="s">
        <v>2216</v>
      </c>
      <c r="C1135" s="5">
        <v>96</v>
      </c>
      <c r="D1135" s="5">
        <v>40</v>
      </c>
      <c r="E1135" s="4" t="str">
        <f t="shared" si="51"/>
        <v>OK</v>
      </c>
      <c r="F1135" s="4"/>
      <c r="G1135" s="4"/>
      <c r="H1135" s="5">
        <f t="shared" si="52"/>
        <v>20</v>
      </c>
      <c r="I1135" s="5">
        <f t="shared" si="53"/>
        <v>4.8</v>
      </c>
    </row>
    <row r="1136" spans="1:9" ht="18" customHeight="1" x14ac:dyDescent="0.25">
      <c r="A1136" s="2" t="s">
        <v>2217</v>
      </c>
      <c r="B1136" s="2" t="s">
        <v>2218</v>
      </c>
      <c r="C1136" s="3">
        <v>14</v>
      </c>
      <c r="D1136" s="3">
        <v>10</v>
      </c>
      <c r="E1136" s="2" t="str">
        <f t="shared" si="51"/>
        <v>OK</v>
      </c>
      <c r="F1136" s="2"/>
      <c r="G1136" s="2"/>
      <c r="H1136" s="3">
        <f t="shared" si="52"/>
        <v>5</v>
      </c>
      <c r="I1136" s="3">
        <f t="shared" si="53"/>
        <v>2.8</v>
      </c>
    </row>
    <row r="1137" spans="1:9" ht="18" customHeight="1" x14ac:dyDescent="0.25">
      <c r="A1137" s="4" t="s">
        <v>2219</v>
      </c>
      <c r="B1137" s="4" t="s">
        <v>2220</v>
      </c>
      <c r="C1137" s="5">
        <v>0</v>
      </c>
      <c r="D1137" s="5">
        <v>6</v>
      </c>
      <c r="E1137" s="4" t="str">
        <f t="shared" si="51"/>
        <v>REORDER NOW</v>
      </c>
      <c r="F1137" s="4"/>
      <c r="G1137" s="4"/>
      <c r="H1137" s="5">
        <f t="shared" si="52"/>
        <v>3</v>
      </c>
      <c r="I1137" s="5">
        <f t="shared" si="53"/>
        <v>0</v>
      </c>
    </row>
    <row r="1138" spans="1:9" ht="18" customHeight="1" x14ac:dyDescent="0.25">
      <c r="A1138" s="2" t="s">
        <v>2221</v>
      </c>
      <c r="B1138" s="2" t="s">
        <v>2222</v>
      </c>
      <c r="C1138" s="3">
        <v>0</v>
      </c>
      <c r="D1138" s="3">
        <v>6</v>
      </c>
      <c r="E1138" s="2" t="str">
        <f t="shared" si="51"/>
        <v>REORDER NOW</v>
      </c>
      <c r="F1138" s="2"/>
      <c r="G1138" s="2"/>
      <c r="H1138" s="3">
        <f t="shared" si="52"/>
        <v>3</v>
      </c>
      <c r="I1138" s="3">
        <f t="shared" si="53"/>
        <v>0</v>
      </c>
    </row>
    <row r="1139" spans="1:9" ht="18" customHeight="1" x14ac:dyDescent="0.25">
      <c r="A1139" s="4" t="s">
        <v>2223</v>
      </c>
      <c r="B1139" s="4" t="s">
        <v>2224</v>
      </c>
      <c r="C1139" s="5">
        <v>0</v>
      </c>
      <c r="D1139" s="5">
        <v>6</v>
      </c>
      <c r="E1139" s="4" t="str">
        <f t="shared" si="51"/>
        <v>REORDER NOW</v>
      </c>
      <c r="F1139" s="4"/>
      <c r="G1139" s="4"/>
      <c r="H1139" s="5">
        <f t="shared" si="52"/>
        <v>3</v>
      </c>
      <c r="I1139" s="5">
        <f t="shared" si="53"/>
        <v>0</v>
      </c>
    </row>
    <row r="1140" spans="1:9" ht="18" customHeight="1" x14ac:dyDescent="0.25">
      <c r="A1140" s="2" t="s">
        <v>2225</v>
      </c>
      <c r="B1140" s="2" t="s">
        <v>2226</v>
      </c>
      <c r="C1140" s="3">
        <v>20</v>
      </c>
      <c r="D1140" s="3">
        <v>10</v>
      </c>
      <c r="E1140" s="2" t="str">
        <f t="shared" si="51"/>
        <v>OK</v>
      </c>
      <c r="F1140" s="2"/>
      <c r="G1140" s="2"/>
      <c r="H1140" s="3">
        <f t="shared" si="52"/>
        <v>5</v>
      </c>
      <c r="I1140" s="3">
        <f t="shared" si="53"/>
        <v>4</v>
      </c>
    </row>
    <row r="1141" spans="1:9" ht="18" customHeight="1" x14ac:dyDescent="0.25">
      <c r="A1141" s="4" t="s">
        <v>2227</v>
      </c>
      <c r="B1141" s="4" t="s">
        <v>2228</v>
      </c>
      <c r="C1141" s="5">
        <v>0</v>
      </c>
      <c r="D1141" s="5">
        <v>6</v>
      </c>
      <c r="E1141" s="4" t="str">
        <f t="shared" si="51"/>
        <v>REORDER NOW</v>
      </c>
      <c r="F1141" s="4"/>
      <c r="G1141" s="4"/>
      <c r="H1141" s="5">
        <f t="shared" si="52"/>
        <v>3</v>
      </c>
      <c r="I1141" s="5">
        <f t="shared" si="53"/>
        <v>0</v>
      </c>
    </row>
    <row r="1142" spans="1:9" ht="18" customHeight="1" x14ac:dyDescent="0.25">
      <c r="A1142" s="2" t="s">
        <v>2229</v>
      </c>
      <c r="B1142" s="2" t="s">
        <v>2230</v>
      </c>
      <c r="C1142" s="3">
        <v>12</v>
      </c>
      <c r="D1142" s="3">
        <v>10</v>
      </c>
      <c r="E1142" s="2" t="str">
        <f t="shared" si="51"/>
        <v>OK</v>
      </c>
      <c r="F1142" s="2"/>
      <c r="G1142" s="2"/>
      <c r="H1142" s="3">
        <f t="shared" si="52"/>
        <v>5</v>
      </c>
      <c r="I1142" s="3">
        <f t="shared" si="53"/>
        <v>2.4</v>
      </c>
    </row>
    <row r="1143" spans="1:9" ht="18" customHeight="1" x14ac:dyDescent="0.25">
      <c r="A1143" s="4" t="s">
        <v>2231</v>
      </c>
      <c r="B1143" s="4" t="s">
        <v>2232</v>
      </c>
      <c r="C1143" s="5">
        <v>5</v>
      </c>
      <c r="D1143" s="5">
        <v>6</v>
      </c>
      <c r="E1143" s="4" t="str">
        <f t="shared" si="51"/>
        <v>REORDER NOW</v>
      </c>
      <c r="F1143" s="4"/>
      <c r="G1143" s="4"/>
      <c r="H1143" s="5">
        <f t="shared" si="52"/>
        <v>3</v>
      </c>
      <c r="I1143" s="5">
        <f t="shared" si="53"/>
        <v>1.7</v>
      </c>
    </row>
    <row r="1144" spans="1:9" ht="18" customHeight="1" x14ac:dyDescent="0.25">
      <c r="A1144" s="2" t="s">
        <v>2233</v>
      </c>
      <c r="B1144" s="2" t="s">
        <v>2234</v>
      </c>
      <c r="C1144" s="3">
        <v>9</v>
      </c>
      <c r="D1144" s="3">
        <v>10</v>
      </c>
      <c r="E1144" s="2" t="str">
        <f t="shared" si="51"/>
        <v>REORDER NOW</v>
      </c>
      <c r="F1144" s="2"/>
      <c r="G1144" s="2"/>
      <c r="H1144" s="3">
        <f t="shared" si="52"/>
        <v>5</v>
      </c>
      <c r="I1144" s="3">
        <f t="shared" si="53"/>
        <v>1.8</v>
      </c>
    </row>
    <row r="1145" spans="1:9" ht="18" customHeight="1" x14ac:dyDescent="0.25">
      <c r="A1145" s="4" t="s">
        <v>2235</v>
      </c>
      <c r="B1145" s="4" t="s">
        <v>2236</v>
      </c>
      <c r="C1145" s="5">
        <v>120</v>
      </c>
      <c r="D1145" s="5">
        <v>100</v>
      </c>
      <c r="E1145" s="4" t="str">
        <f t="shared" si="51"/>
        <v>OK</v>
      </c>
      <c r="F1145" s="4"/>
      <c r="G1145" s="4"/>
      <c r="H1145" s="5">
        <f t="shared" si="52"/>
        <v>50</v>
      </c>
      <c r="I1145" s="5">
        <f t="shared" si="53"/>
        <v>2.4</v>
      </c>
    </row>
    <row r="1146" spans="1:9" ht="18" customHeight="1" x14ac:dyDescent="0.25">
      <c r="A1146" s="2" t="s">
        <v>2237</v>
      </c>
      <c r="B1146" s="2" t="s">
        <v>2238</v>
      </c>
      <c r="C1146" s="3">
        <v>0</v>
      </c>
      <c r="D1146" s="3">
        <v>6</v>
      </c>
      <c r="E1146" s="2" t="str">
        <f t="shared" si="51"/>
        <v>REORDER NOW</v>
      </c>
      <c r="F1146" s="2"/>
      <c r="G1146" s="2"/>
      <c r="H1146" s="3">
        <f t="shared" si="52"/>
        <v>3</v>
      </c>
      <c r="I1146" s="3">
        <f t="shared" si="53"/>
        <v>0</v>
      </c>
    </row>
    <row r="1147" spans="1:9" ht="18" customHeight="1" x14ac:dyDescent="0.25">
      <c r="A1147" s="4" t="s">
        <v>2239</v>
      </c>
      <c r="B1147" s="4" t="s">
        <v>2240</v>
      </c>
      <c r="C1147" s="5">
        <v>0</v>
      </c>
      <c r="D1147" s="5">
        <v>6</v>
      </c>
      <c r="E1147" s="4" t="str">
        <f t="shared" si="51"/>
        <v>REORDER NOW</v>
      </c>
      <c r="F1147" s="4"/>
      <c r="G1147" s="4"/>
      <c r="H1147" s="5">
        <f t="shared" si="52"/>
        <v>3</v>
      </c>
      <c r="I1147" s="5">
        <f t="shared" si="53"/>
        <v>0</v>
      </c>
    </row>
    <row r="1148" spans="1:9" ht="18" customHeight="1" x14ac:dyDescent="0.25">
      <c r="A1148" s="2" t="s">
        <v>2241</v>
      </c>
      <c r="B1148" s="2" t="s">
        <v>2242</v>
      </c>
      <c r="C1148" s="3">
        <v>12</v>
      </c>
      <c r="D1148" s="3">
        <v>10</v>
      </c>
      <c r="E1148" s="2" t="str">
        <f t="shared" si="51"/>
        <v>OK</v>
      </c>
      <c r="F1148" s="2"/>
      <c r="G1148" s="2"/>
      <c r="H1148" s="3">
        <f t="shared" si="52"/>
        <v>5</v>
      </c>
      <c r="I1148" s="3">
        <f t="shared" si="53"/>
        <v>2.4</v>
      </c>
    </row>
    <row r="1149" spans="1:9" ht="18" customHeight="1" x14ac:dyDescent="0.25">
      <c r="A1149" s="4" t="s">
        <v>2243</v>
      </c>
      <c r="B1149" s="4" t="s">
        <v>2244</v>
      </c>
      <c r="C1149" s="5">
        <v>1</v>
      </c>
      <c r="D1149" s="5">
        <v>6</v>
      </c>
      <c r="E1149" s="4" t="str">
        <f t="shared" si="51"/>
        <v>REORDER NOW</v>
      </c>
      <c r="F1149" s="4"/>
      <c r="G1149" s="4"/>
      <c r="H1149" s="5">
        <f t="shared" si="52"/>
        <v>3</v>
      </c>
      <c r="I1149" s="5">
        <f t="shared" si="53"/>
        <v>0.3</v>
      </c>
    </row>
    <row r="1150" spans="1:9" ht="18" customHeight="1" x14ac:dyDescent="0.25">
      <c r="A1150" s="2" t="s">
        <v>2245</v>
      </c>
      <c r="B1150" s="2" t="s">
        <v>2246</v>
      </c>
      <c r="C1150" s="3">
        <v>0</v>
      </c>
      <c r="D1150" s="3">
        <v>6</v>
      </c>
      <c r="E1150" s="2" t="str">
        <f t="shared" si="51"/>
        <v>REORDER NOW</v>
      </c>
      <c r="F1150" s="2"/>
      <c r="G1150" s="2"/>
      <c r="H1150" s="3">
        <f t="shared" si="52"/>
        <v>3</v>
      </c>
      <c r="I1150" s="3">
        <f t="shared" si="53"/>
        <v>0</v>
      </c>
    </row>
    <row r="1151" spans="1:9" ht="18" customHeight="1" x14ac:dyDescent="0.25">
      <c r="A1151" s="4" t="s">
        <v>2247</v>
      </c>
      <c r="B1151" s="4" t="s">
        <v>2248</v>
      </c>
      <c r="C1151" s="5">
        <v>0</v>
      </c>
      <c r="D1151" s="5">
        <v>6</v>
      </c>
      <c r="E1151" s="4" t="str">
        <f t="shared" si="51"/>
        <v>REORDER NOW</v>
      </c>
      <c r="F1151" s="4"/>
      <c r="G1151" s="4"/>
      <c r="H1151" s="5">
        <f t="shared" si="52"/>
        <v>3</v>
      </c>
      <c r="I1151" s="5">
        <f t="shared" si="53"/>
        <v>0</v>
      </c>
    </row>
    <row r="1152" spans="1:9" ht="18" customHeight="1" x14ac:dyDescent="0.25">
      <c r="A1152" s="2" t="s">
        <v>2249</v>
      </c>
      <c r="B1152" s="2" t="s">
        <v>2250</v>
      </c>
      <c r="C1152" s="3">
        <v>0</v>
      </c>
      <c r="D1152" s="3">
        <v>6</v>
      </c>
      <c r="E1152" s="2" t="str">
        <f t="shared" si="51"/>
        <v>REORDER NOW</v>
      </c>
      <c r="F1152" s="2"/>
      <c r="G1152" s="2"/>
      <c r="H1152" s="3">
        <f t="shared" si="52"/>
        <v>3</v>
      </c>
      <c r="I1152" s="3">
        <f t="shared" si="53"/>
        <v>0</v>
      </c>
    </row>
    <row r="1153" spans="1:9" ht="18" customHeight="1" x14ac:dyDescent="0.25">
      <c r="A1153" s="4" t="s">
        <v>2251</v>
      </c>
      <c r="B1153" s="4" t="s">
        <v>2252</v>
      </c>
      <c r="C1153" s="5">
        <v>26</v>
      </c>
      <c r="D1153" s="5">
        <v>20</v>
      </c>
      <c r="E1153" s="4" t="str">
        <f t="shared" si="51"/>
        <v>OK</v>
      </c>
      <c r="F1153" s="4"/>
      <c r="G1153" s="4"/>
      <c r="H1153" s="5">
        <f t="shared" si="52"/>
        <v>10</v>
      </c>
      <c r="I1153" s="5">
        <f t="shared" si="53"/>
        <v>2.6</v>
      </c>
    </row>
    <row r="1154" spans="1:9" ht="18" customHeight="1" x14ac:dyDescent="0.25">
      <c r="A1154" s="2" t="s">
        <v>2253</v>
      </c>
      <c r="B1154" s="2" t="s">
        <v>2254</v>
      </c>
      <c r="C1154" s="3">
        <v>5</v>
      </c>
      <c r="D1154" s="3">
        <v>6</v>
      </c>
      <c r="E1154" s="2" t="str">
        <f t="shared" si="51"/>
        <v>REORDER NOW</v>
      </c>
      <c r="F1154" s="2"/>
      <c r="G1154" s="2"/>
      <c r="H1154" s="3">
        <f t="shared" si="52"/>
        <v>3</v>
      </c>
      <c r="I1154" s="3">
        <f t="shared" si="53"/>
        <v>1.7</v>
      </c>
    </row>
    <row r="1155" spans="1:9" ht="18" customHeight="1" x14ac:dyDescent="0.25">
      <c r="A1155" s="4" t="s">
        <v>2255</v>
      </c>
      <c r="B1155" s="4" t="s">
        <v>2256</v>
      </c>
      <c r="C1155" s="5">
        <v>4</v>
      </c>
      <c r="D1155" s="5">
        <v>6</v>
      </c>
      <c r="E1155" s="4" t="str">
        <f t="shared" si="51"/>
        <v>REORDER NOW</v>
      </c>
      <c r="F1155" s="4"/>
      <c r="G1155" s="4"/>
      <c r="H1155" s="5">
        <f t="shared" si="52"/>
        <v>3</v>
      </c>
      <c r="I1155" s="5">
        <f t="shared" si="53"/>
        <v>1.3</v>
      </c>
    </row>
    <row r="1156" spans="1:9" ht="18" customHeight="1" x14ac:dyDescent="0.25">
      <c r="A1156" s="2" t="s">
        <v>2257</v>
      </c>
      <c r="B1156" s="2" t="s">
        <v>2258</v>
      </c>
      <c r="C1156" s="3">
        <v>0</v>
      </c>
      <c r="D1156" s="3">
        <v>6</v>
      </c>
      <c r="E1156" s="2" t="str">
        <f t="shared" ref="E1156:E1219" si="54">IF(C1156&lt;=D1156,"REORDER NOW","OK")</f>
        <v>REORDER NOW</v>
      </c>
      <c r="F1156" s="2"/>
      <c r="G1156" s="2"/>
      <c r="H1156" s="3">
        <f t="shared" ref="H1156:H1219" si="55">D1156/2</f>
        <v>3</v>
      </c>
      <c r="I1156" s="3">
        <f t="shared" ref="I1156:I1219" si="56">IF(H1156=0,"N/A",ROUND(C1156/H1156,1))</f>
        <v>0</v>
      </c>
    </row>
    <row r="1157" spans="1:9" ht="18" customHeight="1" x14ac:dyDescent="0.25">
      <c r="A1157" s="4" t="s">
        <v>2259</v>
      </c>
      <c r="B1157" s="4" t="s">
        <v>2260</v>
      </c>
      <c r="C1157" s="5">
        <v>0</v>
      </c>
      <c r="D1157" s="5">
        <v>6</v>
      </c>
      <c r="E1157" s="4" t="str">
        <f t="shared" si="54"/>
        <v>REORDER NOW</v>
      </c>
      <c r="F1157" s="4"/>
      <c r="G1157" s="4"/>
      <c r="H1157" s="5">
        <f t="shared" si="55"/>
        <v>3</v>
      </c>
      <c r="I1157" s="5">
        <f t="shared" si="56"/>
        <v>0</v>
      </c>
    </row>
    <row r="1158" spans="1:9" ht="18" customHeight="1" x14ac:dyDescent="0.25">
      <c r="A1158" s="2" t="s">
        <v>2261</v>
      </c>
      <c r="B1158" s="2" t="s">
        <v>2262</v>
      </c>
      <c r="C1158" s="3">
        <v>9</v>
      </c>
      <c r="D1158" s="3">
        <v>10</v>
      </c>
      <c r="E1158" s="2" t="str">
        <f t="shared" si="54"/>
        <v>REORDER NOW</v>
      </c>
      <c r="F1158" s="2"/>
      <c r="G1158" s="2"/>
      <c r="H1158" s="3">
        <f t="shared" si="55"/>
        <v>5</v>
      </c>
      <c r="I1158" s="3">
        <f t="shared" si="56"/>
        <v>1.8</v>
      </c>
    </row>
    <row r="1159" spans="1:9" ht="18" customHeight="1" x14ac:dyDescent="0.25">
      <c r="A1159" s="4" t="s">
        <v>2263</v>
      </c>
      <c r="B1159" s="4" t="s">
        <v>2264</v>
      </c>
      <c r="C1159" s="5">
        <v>0</v>
      </c>
      <c r="D1159" s="5">
        <v>6</v>
      </c>
      <c r="E1159" s="4" t="str">
        <f t="shared" si="54"/>
        <v>REORDER NOW</v>
      </c>
      <c r="F1159" s="4"/>
      <c r="G1159" s="4"/>
      <c r="H1159" s="5">
        <f t="shared" si="55"/>
        <v>3</v>
      </c>
      <c r="I1159" s="5">
        <f t="shared" si="56"/>
        <v>0</v>
      </c>
    </row>
    <row r="1160" spans="1:9" ht="18" customHeight="1" x14ac:dyDescent="0.25">
      <c r="A1160" s="2" t="s">
        <v>2265</v>
      </c>
      <c r="B1160" s="2" t="s">
        <v>2266</v>
      </c>
      <c r="C1160" s="3">
        <v>3</v>
      </c>
      <c r="D1160" s="3">
        <v>6</v>
      </c>
      <c r="E1160" s="2" t="str">
        <f t="shared" si="54"/>
        <v>REORDER NOW</v>
      </c>
      <c r="F1160" s="2"/>
      <c r="G1160" s="2"/>
      <c r="H1160" s="3">
        <f t="shared" si="55"/>
        <v>3</v>
      </c>
      <c r="I1160" s="3">
        <f t="shared" si="56"/>
        <v>1</v>
      </c>
    </row>
    <row r="1161" spans="1:9" ht="18" customHeight="1" x14ac:dyDescent="0.25">
      <c r="A1161" s="4" t="s">
        <v>2267</v>
      </c>
      <c r="B1161" s="4" t="s">
        <v>2268</v>
      </c>
      <c r="C1161" s="5">
        <v>0</v>
      </c>
      <c r="D1161" s="5">
        <v>6</v>
      </c>
      <c r="E1161" s="4" t="str">
        <f t="shared" si="54"/>
        <v>REORDER NOW</v>
      </c>
      <c r="F1161" s="4"/>
      <c r="G1161" s="4"/>
      <c r="H1161" s="5">
        <f t="shared" si="55"/>
        <v>3</v>
      </c>
      <c r="I1161" s="5">
        <f t="shared" si="56"/>
        <v>0</v>
      </c>
    </row>
    <row r="1162" spans="1:9" ht="18" customHeight="1" x14ac:dyDescent="0.25">
      <c r="A1162" s="2" t="s">
        <v>2269</v>
      </c>
      <c r="B1162" s="2" t="s">
        <v>2270</v>
      </c>
      <c r="C1162" s="3">
        <v>0</v>
      </c>
      <c r="D1162" s="3">
        <v>6</v>
      </c>
      <c r="E1162" s="2" t="str">
        <f t="shared" si="54"/>
        <v>REORDER NOW</v>
      </c>
      <c r="F1162" s="2"/>
      <c r="G1162" s="2"/>
      <c r="H1162" s="3">
        <f t="shared" si="55"/>
        <v>3</v>
      </c>
      <c r="I1162" s="3">
        <f t="shared" si="56"/>
        <v>0</v>
      </c>
    </row>
    <row r="1163" spans="1:9" ht="18" customHeight="1" x14ac:dyDescent="0.25">
      <c r="A1163" s="4" t="s">
        <v>2271</v>
      </c>
      <c r="B1163" s="4" t="s">
        <v>2272</v>
      </c>
      <c r="C1163" s="5">
        <v>0</v>
      </c>
      <c r="D1163" s="5">
        <v>6</v>
      </c>
      <c r="E1163" s="4" t="str">
        <f t="shared" si="54"/>
        <v>REORDER NOW</v>
      </c>
      <c r="F1163" s="4"/>
      <c r="G1163" s="4"/>
      <c r="H1163" s="5">
        <f t="shared" si="55"/>
        <v>3</v>
      </c>
      <c r="I1163" s="5">
        <f t="shared" si="56"/>
        <v>0</v>
      </c>
    </row>
    <row r="1164" spans="1:9" ht="18" customHeight="1" x14ac:dyDescent="0.25">
      <c r="A1164" s="2" t="s">
        <v>2273</v>
      </c>
      <c r="B1164" s="2" t="s">
        <v>2274</v>
      </c>
      <c r="C1164" s="3">
        <v>0</v>
      </c>
      <c r="D1164" s="3">
        <v>6</v>
      </c>
      <c r="E1164" s="2" t="str">
        <f t="shared" si="54"/>
        <v>REORDER NOW</v>
      </c>
      <c r="F1164" s="2"/>
      <c r="G1164" s="2"/>
      <c r="H1164" s="3">
        <f t="shared" si="55"/>
        <v>3</v>
      </c>
      <c r="I1164" s="3">
        <f t="shared" si="56"/>
        <v>0</v>
      </c>
    </row>
    <row r="1165" spans="1:9" ht="18" customHeight="1" x14ac:dyDescent="0.25">
      <c r="A1165" s="4" t="s">
        <v>2275</v>
      </c>
      <c r="B1165" s="4" t="s">
        <v>2276</v>
      </c>
      <c r="C1165" s="5">
        <v>0</v>
      </c>
      <c r="D1165" s="5">
        <v>6</v>
      </c>
      <c r="E1165" s="4" t="str">
        <f t="shared" si="54"/>
        <v>REORDER NOW</v>
      </c>
      <c r="F1165" s="4"/>
      <c r="G1165" s="4"/>
      <c r="H1165" s="5">
        <f t="shared" si="55"/>
        <v>3</v>
      </c>
      <c r="I1165" s="5">
        <f t="shared" si="56"/>
        <v>0</v>
      </c>
    </row>
    <row r="1166" spans="1:9" ht="18" customHeight="1" x14ac:dyDescent="0.25">
      <c r="A1166" s="2" t="s">
        <v>2277</v>
      </c>
      <c r="B1166" s="2" t="s">
        <v>1714</v>
      </c>
      <c r="C1166" s="3">
        <v>0</v>
      </c>
      <c r="D1166" s="3">
        <v>6</v>
      </c>
      <c r="E1166" s="2" t="str">
        <f t="shared" si="54"/>
        <v>REORDER NOW</v>
      </c>
      <c r="F1166" s="2"/>
      <c r="G1166" s="2"/>
      <c r="H1166" s="3">
        <f t="shared" si="55"/>
        <v>3</v>
      </c>
      <c r="I1166" s="3">
        <f t="shared" si="56"/>
        <v>0</v>
      </c>
    </row>
    <row r="1167" spans="1:9" ht="18" customHeight="1" x14ac:dyDescent="0.25">
      <c r="A1167" s="4" t="s">
        <v>2278</v>
      </c>
      <c r="B1167" s="4" t="s">
        <v>2279</v>
      </c>
      <c r="C1167" s="5">
        <v>0</v>
      </c>
      <c r="D1167" s="5">
        <v>6</v>
      </c>
      <c r="E1167" s="4" t="str">
        <f t="shared" si="54"/>
        <v>REORDER NOW</v>
      </c>
      <c r="F1167" s="4"/>
      <c r="G1167" s="4"/>
      <c r="H1167" s="5">
        <f t="shared" si="55"/>
        <v>3</v>
      </c>
      <c r="I1167" s="5">
        <f t="shared" si="56"/>
        <v>0</v>
      </c>
    </row>
    <row r="1168" spans="1:9" ht="18" customHeight="1" x14ac:dyDescent="0.25">
      <c r="A1168" s="2" t="s">
        <v>2280</v>
      </c>
      <c r="B1168" s="2" t="s">
        <v>2281</v>
      </c>
      <c r="C1168" s="3">
        <v>0</v>
      </c>
      <c r="D1168" s="3">
        <v>6</v>
      </c>
      <c r="E1168" s="2" t="str">
        <f t="shared" si="54"/>
        <v>REORDER NOW</v>
      </c>
      <c r="F1168" s="2"/>
      <c r="G1168" s="2"/>
      <c r="H1168" s="3">
        <f t="shared" si="55"/>
        <v>3</v>
      </c>
      <c r="I1168" s="3">
        <f t="shared" si="56"/>
        <v>0</v>
      </c>
    </row>
    <row r="1169" spans="1:9" ht="18" customHeight="1" x14ac:dyDescent="0.25">
      <c r="A1169" s="4" t="s">
        <v>2282</v>
      </c>
      <c r="B1169" s="4" t="s">
        <v>2283</v>
      </c>
      <c r="C1169" s="5">
        <v>0</v>
      </c>
      <c r="D1169" s="5">
        <v>6</v>
      </c>
      <c r="E1169" s="4" t="str">
        <f t="shared" si="54"/>
        <v>REORDER NOW</v>
      </c>
      <c r="F1169" s="4"/>
      <c r="G1169" s="4"/>
      <c r="H1169" s="5">
        <f t="shared" si="55"/>
        <v>3</v>
      </c>
      <c r="I1169" s="5">
        <f t="shared" si="56"/>
        <v>0</v>
      </c>
    </row>
    <row r="1170" spans="1:9" ht="18" customHeight="1" x14ac:dyDescent="0.25">
      <c r="A1170" s="2" t="s">
        <v>2284</v>
      </c>
      <c r="B1170" s="2" t="s">
        <v>2285</v>
      </c>
      <c r="C1170" s="3">
        <v>0</v>
      </c>
      <c r="D1170" s="3">
        <v>6</v>
      </c>
      <c r="E1170" s="2" t="str">
        <f t="shared" si="54"/>
        <v>REORDER NOW</v>
      </c>
      <c r="F1170" s="2"/>
      <c r="G1170" s="2"/>
      <c r="H1170" s="3">
        <f t="shared" si="55"/>
        <v>3</v>
      </c>
      <c r="I1170" s="3">
        <f t="shared" si="56"/>
        <v>0</v>
      </c>
    </row>
    <row r="1171" spans="1:9" ht="18" customHeight="1" x14ac:dyDescent="0.25">
      <c r="A1171" s="4" t="s">
        <v>2286</v>
      </c>
      <c r="B1171" s="4" t="s">
        <v>2287</v>
      </c>
      <c r="C1171" s="5">
        <v>10</v>
      </c>
      <c r="D1171" s="5">
        <v>10</v>
      </c>
      <c r="E1171" s="4" t="str">
        <f t="shared" si="54"/>
        <v>REORDER NOW</v>
      </c>
      <c r="F1171" s="4"/>
      <c r="G1171" s="4"/>
      <c r="H1171" s="5">
        <f t="shared" si="55"/>
        <v>5</v>
      </c>
      <c r="I1171" s="5">
        <f t="shared" si="56"/>
        <v>2</v>
      </c>
    </row>
    <row r="1172" spans="1:9" ht="18" customHeight="1" x14ac:dyDescent="0.25">
      <c r="A1172" s="2" t="s">
        <v>2288</v>
      </c>
      <c r="B1172" s="2" t="s">
        <v>2289</v>
      </c>
      <c r="C1172" s="3">
        <v>0</v>
      </c>
      <c r="D1172" s="3">
        <v>6</v>
      </c>
      <c r="E1172" s="2" t="str">
        <f t="shared" si="54"/>
        <v>REORDER NOW</v>
      </c>
      <c r="F1172" s="2"/>
      <c r="G1172" s="2"/>
      <c r="H1172" s="3">
        <f t="shared" si="55"/>
        <v>3</v>
      </c>
      <c r="I1172" s="3">
        <f t="shared" si="56"/>
        <v>0</v>
      </c>
    </row>
    <row r="1173" spans="1:9" ht="18" customHeight="1" x14ac:dyDescent="0.25">
      <c r="A1173" s="4" t="s">
        <v>2290</v>
      </c>
      <c r="B1173" s="4" t="s">
        <v>2291</v>
      </c>
      <c r="C1173" s="5">
        <v>2</v>
      </c>
      <c r="D1173" s="5">
        <v>6</v>
      </c>
      <c r="E1173" s="4" t="str">
        <f t="shared" si="54"/>
        <v>REORDER NOW</v>
      </c>
      <c r="F1173" s="4"/>
      <c r="G1173" s="4"/>
      <c r="H1173" s="5">
        <f t="shared" si="55"/>
        <v>3</v>
      </c>
      <c r="I1173" s="5">
        <f t="shared" si="56"/>
        <v>0.7</v>
      </c>
    </row>
    <row r="1174" spans="1:9" ht="18" customHeight="1" x14ac:dyDescent="0.25">
      <c r="A1174" s="2" t="s">
        <v>2292</v>
      </c>
      <c r="B1174" s="2" t="s">
        <v>2293</v>
      </c>
      <c r="C1174" s="3">
        <v>0</v>
      </c>
      <c r="D1174" s="3">
        <v>6</v>
      </c>
      <c r="E1174" s="2" t="str">
        <f t="shared" si="54"/>
        <v>REORDER NOW</v>
      </c>
      <c r="F1174" s="2"/>
      <c r="G1174" s="2"/>
      <c r="H1174" s="3">
        <f t="shared" si="55"/>
        <v>3</v>
      </c>
      <c r="I1174" s="3">
        <f t="shared" si="56"/>
        <v>0</v>
      </c>
    </row>
    <row r="1175" spans="1:9" ht="18" customHeight="1" x14ac:dyDescent="0.25">
      <c r="A1175" s="4" t="s">
        <v>2294</v>
      </c>
      <c r="B1175" s="4" t="s">
        <v>2295</v>
      </c>
      <c r="C1175" s="5">
        <v>7</v>
      </c>
      <c r="D1175" s="5">
        <v>10</v>
      </c>
      <c r="E1175" s="4" t="str">
        <f t="shared" si="54"/>
        <v>REORDER NOW</v>
      </c>
      <c r="F1175" s="4"/>
      <c r="G1175" s="4"/>
      <c r="H1175" s="5">
        <f t="shared" si="55"/>
        <v>5</v>
      </c>
      <c r="I1175" s="5">
        <f t="shared" si="56"/>
        <v>1.4</v>
      </c>
    </row>
    <row r="1176" spans="1:9" ht="18" customHeight="1" x14ac:dyDescent="0.25">
      <c r="A1176" s="2" t="s">
        <v>2296</v>
      </c>
      <c r="B1176" s="2" t="s">
        <v>2297</v>
      </c>
      <c r="C1176" s="3">
        <v>0</v>
      </c>
      <c r="D1176" s="3">
        <v>6</v>
      </c>
      <c r="E1176" s="2" t="str">
        <f t="shared" si="54"/>
        <v>REORDER NOW</v>
      </c>
      <c r="F1176" s="2"/>
      <c r="G1176" s="2"/>
      <c r="H1176" s="3">
        <f t="shared" si="55"/>
        <v>3</v>
      </c>
      <c r="I1176" s="3">
        <f t="shared" si="56"/>
        <v>0</v>
      </c>
    </row>
    <row r="1177" spans="1:9" ht="18" customHeight="1" x14ac:dyDescent="0.25">
      <c r="A1177" s="4" t="s">
        <v>2298</v>
      </c>
      <c r="B1177" s="4" t="s">
        <v>2299</v>
      </c>
      <c r="C1177" s="5">
        <v>1</v>
      </c>
      <c r="D1177" s="5">
        <v>6</v>
      </c>
      <c r="E1177" s="4" t="str">
        <f t="shared" si="54"/>
        <v>REORDER NOW</v>
      </c>
      <c r="F1177" s="4"/>
      <c r="G1177" s="4"/>
      <c r="H1177" s="5">
        <f t="shared" si="55"/>
        <v>3</v>
      </c>
      <c r="I1177" s="5">
        <f t="shared" si="56"/>
        <v>0.3</v>
      </c>
    </row>
    <row r="1178" spans="1:9" ht="18" customHeight="1" x14ac:dyDescent="0.25">
      <c r="A1178" s="2" t="s">
        <v>2300</v>
      </c>
      <c r="B1178" s="2" t="s">
        <v>2301</v>
      </c>
      <c r="C1178" s="3">
        <v>1</v>
      </c>
      <c r="D1178" s="3">
        <v>6</v>
      </c>
      <c r="E1178" s="2" t="str">
        <f t="shared" si="54"/>
        <v>REORDER NOW</v>
      </c>
      <c r="F1178" s="2"/>
      <c r="G1178" s="2"/>
      <c r="H1178" s="3">
        <f t="shared" si="55"/>
        <v>3</v>
      </c>
      <c r="I1178" s="3">
        <f t="shared" si="56"/>
        <v>0.3</v>
      </c>
    </row>
    <row r="1179" spans="1:9" ht="18" customHeight="1" x14ac:dyDescent="0.25">
      <c r="A1179" s="4" t="s">
        <v>2302</v>
      </c>
      <c r="B1179" s="4" t="s">
        <v>2303</v>
      </c>
      <c r="C1179" s="5">
        <v>14</v>
      </c>
      <c r="D1179" s="5">
        <v>10</v>
      </c>
      <c r="E1179" s="4" t="str">
        <f t="shared" si="54"/>
        <v>OK</v>
      </c>
      <c r="F1179" s="4"/>
      <c r="G1179" s="4"/>
      <c r="H1179" s="5">
        <f t="shared" si="55"/>
        <v>5</v>
      </c>
      <c r="I1179" s="5">
        <f t="shared" si="56"/>
        <v>2.8</v>
      </c>
    </row>
    <row r="1180" spans="1:9" ht="18" customHeight="1" x14ac:dyDescent="0.25">
      <c r="A1180" s="2" t="s">
        <v>2304</v>
      </c>
      <c r="B1180" s="2" t="s">
        <v>2305</v>
      </c>
      <c r="C1180" s="3">
        <v>2</v>
      </c>
      <c r="D1180" s="3">
        <v>6</v>
      </c>
      <c r="E1180" s="2" t="str">
        <f t="shared" si="54"/>
        <v>REORDER NOW</v>
      </c>
      <c r="F1180" s="2"/>
      <c r="G1180" s="2"/>
      <c r="H1180" s="3">
        <f t="shared" si="55"/>
        <v>3</v>
      </c>
      <c r="I1180" s="3">
        <f t="shared" si="56"/>
        <v>0.7</v>
      </c>
    </row>
    <row r="1181" spans="1:9" ht="18" customHeight="1" x14ac:dyDescent="0.25">
      <c r="A1181" s="4" t="s">
        <v>2306</v>
      </c>
      <c r="B1181" s="4" t="s">
        <v>2307</v>
      </c>
      <c r="C1181" s="5">
        <v>0</v>
      </c>
      <c r="D1181" s="5">
        <v>6</v>
      </c>
      <c r="E1181" s="4" t="str">
        <f t="shared" si="54"/>
        <v>REORDER NOW</v>
      </c>
      <c r="F1181" s="4"/>
      <c r="G1181" s="4"/>
      <c r="H1181" s="5">
        <f t="shared" si="55"/>
        <v>3</v>
      </c>
      <c r="I1181" s="5">
        <f t="shared" si="56"/>
        <v>0</v>
      </c>
    </row>
    <row r="1182" spans="1:9" ht="18" customHeight="1" x14ac:dyDescent="0.25">
      <c r="A1182" s="2" t="s">
        <v>2308</v>
      </c>
      <c r="B1182" s="2" t="s">
        <v>2309</v>
      </c>
      <c r="C1182" s="3">
        <v>0</v>
      </c>
      <c r="D1182" s="3">
        <v>6</v>
      </c>
      <c r="E1182" s="2" t="str">
        <f t="shared" si="54"/>
        <v>REORDER NOW</v>
      </c>
      <c r="F1182" s="2"/>
      <c r="G1182" s="2"/>
      <c r="H1182" s="3">
        <f t="shared" si="55"/>
        <v>3</v>
      </c>
      <c r="I1182" s="3">
        <f t="shared" si="56"/>
        <v>0</v>
      </c>
    </row>
    <row r="1183" spans="1:9" ht="18" customHeight="1" x14ac:dyDescent="0.25">
      <c r="A1183" s="4" t="s">
        <v>2310</v>
      </c>
      <c r="B1183" s="4" t="s">
        <v>2311</v>
      </c>
      <c r="C1183" s="5">
        <v>0</v>
      </c>
      <c r="D1183" s="5">
        <v>6</v>
      </c>
      <c r="E1183" s="4" t="str">
        <f t="shared" si="54"/>
        <v>REORDER NOW</v>
      </c>
      <c r="F1183" s="4"/>
      <c r="G1183" s="4"/>
      <c r="H1183" s="5">
        <f t="shared" si="55"/>
        <v>3</v>
      </c>
      <c r="I1183" s="5">
        <f t="shared" si="56"/>
        <v>0</v>
      </c>
    </row>
    <row r="1184" spans="1:9" ht="18" customHeight="1" x14ac:dyDescent="0.25">
      <c r="A1184" s="2" t="s">
        <v>2312</v>
      </c>
      <c r="B1184" s="2" t="s">
        <v>2313</v>
      </c>
      <c r="C1184" s="3">
        <v>0</v>
      </c>
      <c r="D1184" s="3">
        <v>6</v>
      </c>
      <c r="E1184" s="2" t="str">
        <f t="shared" si="54"/>
        <v>REORDER NOW</v>
      </c>
      <c r="F1184" s="2"/>
      <c r="G1184" s="2"/>
      <c r="H1184" s="3">
        <f t="shared" si="55"/>
        <v>3</v>
      </c>
      <c r="I1184" s="3">
        <f t="shared" si="56"/>
        <v>0</v>
      </c>
    </row>
    <row r="1185" spans="1:9" ht="18" customHeight="1" x14ac:dyDescent="0.25">
      <c r="A1185" s="4" t="s">
        <v>2314</v>
      </c>
      <c r="B1185" s="4" t="s">
        <v>2315</v>
      </c>
      <c r="C1185" s="5">
        <v>0</v>
      </c>
      <c r="D1185" s="5">
        <v>6</v>
      </c>
      <c r="E1185" s="4" t="str">
        <f t="shared" si="54"/>
        <v>REORDER NOW</v>
      </c>
      <c r="F1185" s="4"/>
      <c r="G1185" s="4"/>
      <c r="H1185" s="5">
        <f t="shared" si="55"/>
        <v>3</v>
      </c>
      <c r="I1185" s="5">
        <f t="shared" si="56"/>
        <v>0</v>
      </c>
    </row>
    <row r="1186" spans="1:9" ht="18" customHeight="1" x14ac:dyDescent="0.25">
      <c r="A1186" s="2" t="s">
        <v>2316</v>
      </c>
      <c r="B1186" s="2" t="s">
        <v>2317</v>
      </c>
      <c r="C1186" s="3">
        <v>0</v>
      </c>
      <c r="D1186" s="3">
        <v>6</v>
      </c>
      <c r="E1186" s="2" t="str">
        <f t="shared" si="54"/>
        <v>REORDER NOW</v>
      </c>
      <c r="F1186" s="2"/>
      <c r="G1186" s="2"/>
      <c r="H1186" s="3">
        <f t="shared" si="55"/>
        <v>3</v>
      </c>
      <c r="I1186" s="3">
        <f t="shared" si="56"/>
        <v>0</v>
      </c>
    </row>
    <row r="1187" spans="1:9" ht="18" customHeight="1" x14ac:dyDescent="0.25">
      <c r="A1187" s="4" t="s">
        <v>2318</v>
      </c>
      <c r="B1187" s="4" t="s">
        <v>2319</v>
      </c>
      <c r="C1187" s="5">
        <v>3</v>
      </c>
      <c r="D1187" s="5">
        <v>6</v>
      </c>
      <c r="E1187" s="4" t="str">
        <f t="shared" si="54"/>
        <v>REORDER NOW</v>
      </c>
      <c r="F1187" s="4"/>
      <c r="G1187" s="4"/>
      <c r="H1187" s="5">
        <f t="shared" si="55"/>
        <v>3</v>
      </c>
      <c r="I1187" s="5">
        <f t="shared" si="56"/>
        <v>1</v>
      </c>
    </row>
    <row r="1188" spans="1:9" ht="18" customHeight="1" x14ac:dyDescent="0.25">
      <c r="A1188" s="2" t="s">
        <v>2320</v>
      </c>
      <c r="B1188" s="2" t="s">
        <v>2321</v>
      </c>
      <c r="C1188" s="3">
        <v>0</v>
      </c>
      <c r="D1188" s="3">
        <v>6</v>
      </c>
      <c r="E1188" s="2" t="str">
        <f t="shared" si="54"/>
        <v>REORDER NOW</v>
      </c>
      <c r="F1188" s="2"/>
      <c r="G1188" s="2"/>
      <c r="H1188" s="3">
        <f t="shared" si="55"/>
        <v>3</v>
      </c>
      <c r="I1188" s="3">
        <f t="shared" si="56"/>
        <v>0</v>
      </c>
    </row>
    <row r="1189" spans="1:9" ht="18" customHeight="1" x14ac:dyDescent="0.25">
      <c r="A1189" s="4" t="s">
        <v>2322</v>
      </c>
      <c r="B1189" s="4" t="s">
        <v>2323</v>
      </c>
      <c r="C1189" s="5">
        <v>0</v>
      </c>
      <c r="D1189" s="5">
        <v>6</v>
      </c>
      <c r="E1189" s="4" t="str">
        <f t="shared" si="54"/>
        <v>REORDER NOW</v>
      </c>
      <c r="F1189" s="4"/>
      <c r="G1189" s="4"/>
      <c r="H1189" s="5">
        <f t="shared" si="55"/>
        <v>3</v>
      </c>
      <c r="I1189" s="5">
        <f t="shared" si="56"/>
        <v>0</v>
      </c>
    </row>
    <row r="1190" spans="1:9" ht="18" customHeight="1" x14ac:dyDescent="0.25">
      <c r="A1190" s="2" t="s">
        <v>2324</v>
      </c>
      <c r="B1190" s="2" t="s">
        <v>2325</v>
      </c>
      <c r="C1190" s="3">
        <v>0</v>
      </c>
      <c r="D1190" s="3">
        <v>6</v>
      </c>
      <c r="E1190" s="2" t="str">
        <f t="shared" si="54"/>
        <v>REORDER NOW</v>
      </c>
      <c r="F1190" s="2"/>
      <c r="G1190" s="2"/>
      <c r="H1190" s="3">
        <f t="shared" si="55"/>
        <v>3</v>
      </c>
      <c r="I1190" s="3">
        <f t="shared" si="56"/>
        <v>0</v>
      </c>
    </row>
    <row r="1191" spans="1:9" ht="18" customHeight="1" x14ac:dyDescent="0.25">
      <c r="A1191" s="4" t="s">
        <v>2326</v>
      </c>
      <c r="B1191" s="4" t="s">
        <v>2327</v>
      </c>
      <c r="C1191" s="5">
        <v>0</v>
      </c>
      <c r="D1191" s="5">
        <v>6</v>
      </c>
      <c r="E1191" s="4" t="str">
        <f t="shared" si="54"/>
        <v>REORDER NOW</v>
      </c>
      <c r="F1191" s="4"/>
      <c r="G1191" s="4"/>
      <c r="H1191" s="5">
        <f t="shared" si="55"/>
        <v>3</v>
      </c>
      <c r="I1191" s="5">
        <f t="shared" si="56"/>
        <v>0</v>
      </c>
    </row>
    <row r="1192" spans="1:9" ht="18" customHeight="1" x14ac:dyDescent="0.25">
      <c r="A1192" s="2" t="s">
        <v>2328</v>
      </c>
      <c r="B1192" s="2" t="s">
        <v>2329</v>
      </c>
      <c r="C1192" s="3">
        <v>0</v>
      </c>
      <c r="D1192" s="3">
        <v>6</v>
      </c>
      <c r="E1192" s="2" t="str">
        <f t="shared" si="54"/>
        <v>REORDER NOW</v>
      </c>
      <c r="F1192" s="2"/>
      <c r="G1192" s="2"/>
      <c r="H1192" s="3">
        <f t="shared" si="55"/>
        <v>3</v>
      </c>
      <c r="I1192" s="3">
        <f t="shared" si="56"/>
        <v>0</v>
      </c>
    </row>
    <row r="1193" spans="1:9" ht="18" customHeight="1" x14ac:dyDescent="0.25">
      <c r="A1193" s="4" t="s">
        <v>2330</v>
      </c>
      <c r="B1193" s="4" t="s">
        <v>2331</v>
      </c>
      <c r="C1193" s="5">
        <v>0</v>
      </c>
      <c r="D1193" s="5">
        <v>6</v>
      </c>
      <c r="E1193" s="4" t="str">
        <f t="shared" si="54"/>
        <v>REORDER NOW</v>
      </c>
      <c r="F1193" s="4"/>
      <c r="G1193" s="4"/>
      <c r="H1193" s="5">
        <f t="shared" si="55"/>
        <v>3</v>
      </c>
      <c r="I1193" s="5">
        <f t="shared" si="56"/>
        <v>0</v>
      </c>
    </row>
    <row r="1194" spans="1:9" ht="18" customHeight="1" x14ac:dyDescent="0.25">
      <c r="A1194" s="2" t="s">
        <v>2332</v>
      </c>
      <c r="B1194" s="2" t="s">
        <v>2333</v>
      </c>
      <c r="C1194" s="3">
        <v>0</v>
      </c>
      <c r="D1194" s="3">
        <v>6</v>
      </c>
      <c r="E1194" s="2" t="str">
        <f t="shared" si="54"/>
        <v>REORDER NOW</v>
      </c>
      <c r="F1194" s="2"/>
      <c r="G1194" s="2"/>
      <c r="H1194" s="3">
        <f t="shared" si="55"/>
        <v>3</v>
      </c>
      <c r="I1194" s="3">
        <f t="shared" si="56"/>
        <v>0</v>
      </c>
    </row>
    <row r="1195" spans="1:9" ht="18" customHeight="1" x14ac:dyDescent="0.25">
      <c r="A1195" s="4" t="s">
        <v>2334</v>
      </c>
      <c r="B1195" s="4" t="s">
        <v>2335</v>
      </c>
      <c r="C1195" s="5">
        <v>0</v>
      </c>
      <c r="D1195" s="5">
        <v>6</v>
      </c>
      <c r="E1195" s="4" t="str">
        <f t="shared" si="54"/>
        <v>REORDER NOW</v>
      </c>
      <c r="F1195" s="4"/>
      <c r="G1195" s="4"/>
      <c r="H1195" s="5">
        <f t="shared" si="55"/>
        <v>3</v>
      </c>
      <c r="I1195" s="5">
        <f t="shared" si="56"/>
        <v>0</v>
      </c>
    </row>
    <row r="1196" spans="1:9" ht="18" customHeight="1" x14ac:dyDescent="0.25">
      <c r="A1196" s="2" t="s">
        <v>2336</v>
      </c>
      <c r="B1196" s="2" t="s">
        <v>2337</v>
      </c>
      <c r="C1196" s="3">
        <v>0</v>
      </c>
      <c r="D1196" s="3">
        <v>6</v>
      </c>
      <c r="E1196" s="2" t="str">
        <f t="shared" si="54"/>
        <v>REORDER NOW</v>
      </c>
      <c r="F1196" s="2"/>
      <c r="G1196" s="2"/>
      <c r="H1196" s="3">
        <f t="shared" si="55"/>
        <v>3</v>
      </c>
      <c r="I1196" s="3">
        <f t="shared" si="56"/>
        <v>0</v>
      </c>
    </row>
    <row r="1197" spans="1:9" ht="18" customHeight="1" x14ac:dyDescent="0.25">
      <c r="A1197" s="4" t="s">
        <v>2338</v>
      </c>
      <c r="B1197" s="4" t="s">
        <v>2339</v>
      </c>
      <c r="C1197" s="5">
        <v>0</v>
      </c>
      <c r="D1197" s="5">
        <v>6</v>
      </c>
      <c r="E1197" s="4" t="str">
        <f t="shared" si="54"/>
        <v>REORDER NOW</v>
      </c>
      <c r="F1197" s="4"/>
      <c r="G1197" s="4"/>
      <c r="H1197" s="5">
        <f t="shared" si="55"/>
        <v>3</v>
      </c>
      <c r="I1197" s="5">
        <f t="shared" si="56"/>
        <v>0</v>
      </c>
    </row>
    <row r="1198" spans="1:9" ht="18" customHeight="1" x14ac:dyDescent="0.25">
      <c r="A1198" s="2" t="s">
        <v>2340</v>
      </c>
      <c r="B1198" s="2" t="s">
        <v>2341</v>
      </c>
      <c r="C1198" s="3">
        <v>0</v>
      </c>
      <c r="D1198" s="3">
        <v>6</v>
      </c>
      <c r="E1198" s="2" t="str">
        <f t="shared" si="54"/>
        <v>REORDER NOW</v>
      </c>
      <c r="F1198" s="2"/>
      <c r="G1198" s="2"/>
      <c r="H1198" s="3">
        <f t="shared" si="55"/>
        <v>3</v>
      </c>
      <c r="I1198" s="3">
        <f t="shared" si="56"/>
        <v>0</v>
      </c>
    </row>
    <row r="1199" spans="1:9" ht="18" customHeight="1" x14ac:dyDescent="0.25">
      <c r="A1199" s="4" t="s">
        <v>2342</v>
      </c>
      <c r="B1199" s="4" t="s">
        <v>2343</v>
      </c>
      <c r="C1199" s="5">
        <v>0</v>
      </c>
      <c r="D1199" s="5">
        <v>6</v>
      </c>
      <c r="E1199" s="4" t="str">
        <f t="shared" si="54"/>
        <v>REORDER NOW</v>
      </c>
      <c r="F1199" s="4"/>
      <c r="G1199" s="4"/>
      <c r="H1199" s="5">
        <f t="shared" si="55"/>
        <v>3</v>
      </c>
      <c r="I1199" s="5">
        <f t="shared" si="56"/>
        <v>0</v>
      </c>
    </row>
    <row r="1200" spans="1:9" ht="18" customHeight="1" x14ac:dyDescent="0.25">
      <c r="A1200" s="2" t="s">
        <v>2344</v>
      </c>
      <c r="B1200" s="2" t="s">
        <v>2345</v>
      </c>
      <c r="C1200" s="3">
        <v>0</v>
      </c>
      <c r="D1200" s="3">
        <v>6</v>
      </c>
      <c r="E1200" s="2" t="str">
        <f t="shared" si="54"/>
        <v>REORDER NOW</v>
      </c>
      <c r="F1200" s="2"/>
      <c r="G1200" s="2"/>
      <c r="H1200" s="3">
        <f t="shared" si="55"/>
        <v>3</v>
      </c>
      <c r="I1200" s="3">
        <f t="shared" si="56"/>
        <v>0</v>
      </c>
    </row>
    <row r="1201" spans="1:9" ht="18" customHeight="1" x14ac:dyDescent="0.25">
      <c r="A1201" s="4" t="s">
        <v>2346</v>
      </c>
      <c r="B1201" s="4" t="s">
        <v>2347</v>
      </c>
      <c r="C1201" s="5">
        <v>0</v>
      </c>
      <c r="D1201" s="5">
        <v>6</v>
      </c>
      <c r="E1201" s="4" t="str">
        <f t="shared" si="54"/>
        <v>REORDER NOW</v>
      </c>
      <c r="F1201" s="4"/>
      <c r="G1201" s="4"/>
      <c r="H1201" s="5">
        <f t="shared" si="55"/>
        <v>3</v>
      </c>
      <c r="I1201" s="5">
        <f t="shared" si="56"/>
        <v>0</v>
      </c>
    </row>
    <row r="1202" spans="1:9" ht="18" customHeight="1" x14ac:dyDescent="0.25">
      <c r="A1202" s="2" t="s">
        <v>2348</v>
      </c>
      <c r="B1202" s="2" t="s">
        <v>2349</v>
      </c>
      <c r="C1202" s="3">
        <v>5</v>
      </c>
      <c r="D1202" s="3">
        <v>6</v>
      </c>
      <c r="E1202" s="2" t="str">
        <f t="shared" si="54"/>
        <v>REORDER NOW</v>
      </c>
      <c r="F1202" s="2"/>
      <c r="G1202" s="2"/>
      <c r="H1202" s="3">
        <f t="shared" si="55"/>
        <v>3</v>
      </c>
      <c r="I1202" s="3">
        <f t="shared" si="56"/>
        <v>1.7</v>
      </c>
    </row>
    <row r="1203" spans="1:9" ht="18" customHeight="1" x14ac:dyDescent="0.25">
      <c r="A1203" s="4" t="s">
        <v>2350</v>
      </c>
      <c r="B1203" s="4" t="s">
        <v>2351</v>
      </c>
      <c r="C1203" s="5">
        <v>0</v>
      </c>
      <c r="D1203" s="5">
        <v>6</v>
      </c>
      <c r="E1203" s="4" t="str">
        <f t="shared" si="54"/>
        <v>REORDER NOW</v>
      </c>
      <c r="F1203" s="4"/>
      <c r="G1203" s="4"/>
      <c r="H1203" s="5">
        <f t="shared" si="55"/>
        <v>3</v>
      </c>
      <c r="I1203" s="5">
        <f t="shared" si="56"/>
        <v>0</v>
      </c>
    </row>
    <row r="1204" spans="1:9" ht="18" customHeight="1" x14ac:dyDescent="0.25">
      <c r="A1204" s="2" t="s">
        <v>2352</v>
      </c>
      <c r="B1204" s="2" t="s">
        <v>2353</v>
      </c>
      <c r="C1204" s="3">
        <v>13</v>
      </c>
      <c r="D1204" s="3">
        <v>10</v>
      </c>
      <c r="E1204" s="2" t="str">
        <f t="shared" si="54"/>
        <v>OK</v>
      </c>
      <c r="F1204" s="2"/>
      <c r="G1204" s="2"/>
      <c r="H1204" s="3">
        <f t="shared" si="55"/>
        <v>5</v>
      </c>
      <c r="I1204" s="3">
        <f t="shared" si="56"/>
        <v>2.6</v>
      </c>
    </row>
    <row r="1205" spans="1:9" ht="18" customHeight="1" x14ac:dyDescent="0.25">
      <c r="A1205" s="4" t="s">
        <v>2354</v>
      </c>
      <c r="B1205" s="4" t="s">
        <v>2355</v>
      </c>
      <c r="C1205" s="5">
        <v>13</v>
      </c>
      <c r="D1205" s="5">
        <v>10</v>
      </c>
      <c r="E1205" s="4" t="str">
        <f t="shared" si="54"/>
        <v>OK</v>
      </c>
      <c r="F1205" s="4"/>
      <c r="G1205" s="4"/>
      <c r="H1205" s="5">
        <f t="shared" si="55"/>
        <v>5</v>
      </c>
      <c r="I1205" s="5">
        <f t="shared" si="56"/>
        <v>2.6</v>
      </c>
    </row>
    <row r="1206" spans="1:9" ht="18" customHeight="1" x14ac:dyDescent="0.25">
      <c r="A1206" s="2" t="s">
        <v>2356</v>
      </c>
      <c r="B1206" s="2" t="s">
        <v>2357</v>
      </c>
      <c r="C1206" s="3">
        <v>0</v>
      </c>
      <c r="D1206" s="3">
        <v>6</v>
      </c>
      <c r="E1206" s="2" t="str">
        <f t="shared" si="54"/>
        <v>REORDER NOW</v>
      </c>
      <c r="F1206" s="2"/>
      <c r="G1206" s="2"/>
      <c r="H1206" s="3">
        <f t="shared" si="55"/>
        <v>3</v>
      </c>
      <c r="I1206" s="3">
        <f t="shared" si="56"/>
        <v>0</v>
      </c>
    </row>
    <row r="1207" spans="1:9" ht="18" customHeight="1" x14ac:dyDescent="0.25">
      <c r="A1207" s="4" t="s">
        <v>2358</v>
      </c>
      <c r="B1207" s="4" t="s">
        <v>2359</v>
      </c>
      <c r="C1207" s="5">
        <v>0</v>
      </c>
      <c r="D1207" s="5">
        <v>6</v>
      </c>
      <c r="E1207" s="4" t="str">
        <f t="shared" si="54"/>
        <v>REORDER NOW</v>
      </c>
      <c r="F1207" s="4"/>
      <c r="G1207" s="4"/>
      <c r="H1207" s="5">
        <f t="shared" si="55"/>
        <v>3</v>
      </c>
      <c r="I1207" s="5">
        <f t="shared" si="56"/>
        <v>0</v>
      </c>
    </row>
    <row r="1208" spans="1:9" ht="18" customHeight="1" x14ac:dyDescent="0.25">
      <c r="A1208" s="2" t="s">
        <v>2360</v>
      </c>
      <c r="B1208" s="2" t="s">
        <v>2361</v>
      </c>
      <c r="C1208" s="3">
        <v>0</v>
      </c>
      <c r="D1208" s="3">
        <v>6</v>
      </c>
      <c r="E1208" s="2" t="str">
        <f t="shared" si="54"/>
        <v>REORDER NOW</v>
      </c>
      <c r="F1208" s="2"/>
      <c r="G1208" s="2"/>
      <c r="H1208" s="3">
        <f t="shared" si="55"/>
        <v>3</v>
      </c>
      <c r="I1208" s="3">
        <f t="shared" si="56"/>
        <v>0</v>
      </c>
    </row>
    <row r="1209" spans="1:9" ht="18" customHeight="1" x14ac:dyDescent="0.25">
      <c r="A1209" s="4" t="s">
        <v>2362</v>
      </c>
      <c r="B1209" s="4" t="s">
        <v>2363</v>
      </c>
      <c r="C1209" s="5">
        <v>0</v>
      </c>
      <c r="D1209" s="5">
        <v>6</v>
      </c>
      <c r="E1209" s="4" t="str">
        <f t="shared" si="54"/>
        <v>REORDER NOW</v>
      </c>
      <c r="F1209" s="4"/>
      <c r="G1209" s="4"/>
      <c r="H1209" s="5">
        <f t="shared" si="55"/>
        <v>3</v>
      </c>
      <c r="I1209" s="5">
        <f t="shared" si="56"/>
        <v>0</v>
      </c>
    </row>
    <row r="1210" spans="1:9" ht="18" customHeight="1" x14ac:dyDescent="0.25">
      <c r="A1210" s="2" t="s">
        <v>2364</v>
      </c>
      <c r="B1210" s="2" t="s">
        <v>2365</v>
      </c>
      <c r="C1210" s="3">
        <v>0</v>
      </c>
      <c r="D1210" s="3">
        <v>6</v>
      </c>
      <c r="E1210" s="2" t="str">
        <f t="shared" si="54"/>
        <v>REORDER NOW</v>
      </c>
      <c r="F1210" s="2"/>
      <c r="G1210" s="2"/>
      <c r="H1210" s="3">
        <f t="shared" si="55"/>
        <v>3</v>
      </c>
      <c r="I1210" s="3">
        <f t="shared" si="56"/>
        <v>0</v>
      </c>
    </row>
    <row r="1211" spans="1:9" ht="18" customHeight="1" x14ac:dyDescent="0.25">
      <c r="A1211" s="4" t="s">
        <v>2366</v>
      </c>
      <c r="B1211" s="4" t="s">
        <v>2367</v>
      </c>
      <c r="C1211" s="5">
        <v>1</v>
      </c>
      <c r="D1211" s="5">
        <v>6</v>
      </c>
      <c r="E1211" s="4" t="str">
        <f t="shared" si="54"/>
        <v>REORDER NOW</v>
      </c>
      <c r="F1211" s="4"/>
      <c r="G1211" s="4"/>
      <c r="H1211" s="5">
        <f t="shared" si="55"/>
        <v>3</v>
      </c>
      <c r="I1211" s="5">
        <f t="shared" si="56"/>
        <v>0.3</v>
      </c>
    </row>
    <row r="1212" spans="1:9" ht="18" customHeight="1" x14ac:dyDescent="0.25">
      <c r="A1212" s="2" t="s">
        <v>2368</v>
      </c>
      <c r="B1212" s="2" t="s">
        <v>2369</v>
      </c>
      <c r="C1212" s="3">
        <v>0</v>
      </c>
      <c r="D1212" s="3">
        <v>6</v>
      </c>
      <c r="E1212" s="2" t="str">
        <f t="shared" si="54"/>
        <v>REORDER NOW</v>
      </c>
      <c r="F1212" s="2"/>
      <c r="G1212" s="2"/>
      <c r="H1212" s="3">
        <f t="shared" si="55"/>
        <v>3</v>
      </c>
      <c r="I1212" s="3">
        <f t="shared" si="56"/>
        <v>0</v>
      </c>
    </row>
    <row r="1213" spans="1:9" ht="18" customHeight="1" x14ac:dyDescent="0.25">
      <c r="A1213" s="4" t="s">
        <v>2370</v>
      </c>
      <c r="B1213" s="4" t="s">
        <v>2371</v>
      </c>
      <c r="C1213" s="5">
        <v>0</v>
      </c>
      <c r="D1213" s="5">
        <v>6</v>
      </c>
      <c r="E1213" s="4" t="str">
        <f t="shared" si="54"/>
        <v>REORDER NOW</v>
      </c>
      <c r="F1213" s="4"/>
      <c r="G1213" s="4"/>
      <c r="H1213" s="5">
        <f t="shared" si="55"/>
        <v>3</v>
      </c>
      <c r="I1213" s="5">
        <f t="shared" si="56"/>
        <v>0</v>
      </c>
    </row>
    <row r="1214" spans="1:9" ht="18" customHeight="1" x14ac:dyDescent="0.25">
      <c r="A1214" s="2" t="s">
        <v>2372</v>
      </c>
      <c r="B1214" s="2" t="s">
        <v>2373</v>
      </c>
      <c r="C1214" s="3">
        <v>0</v>
      </c>
      <c r="D1214" s="3">
        <v>6</v>
      </c>
      <c r="E1214" s="2" t="str">
        <f t="shared" si="54"/>
        <v>REORDER NOW</v>
      </c>
      <c r="F1214" s="2"/>
      <c r="G1214" s="2"/>
      <c r="H1214" s="3">
        <f t="shared" si="55"/>
        <v>3</v>
      </c>
      <c r="I1214" s="3">
        <f t="shared" si="56"/>
        <v>0</v>
      </c>
    </row>
    <row r="1215" spans="1:9" ht="18" customHeight="1" x14ac:dyDescent="0.25">
      <c r="A1215" s="4" t="s">
        <v>2374</v>
      </c>
      <c r="B1215" s="4" t="s">
        <v>2375</v>
      </c>
      <c r="C1215" s="5">
        <v>0</v>
      </c>
      <c r="D1215" s="5">
        <v>6</v>
      </c>
      <c r="E1215" s="4" t="str">
        <f t="shared" si="54"/>
        <v>REORDER NOW</v>
      </c>
      <c r="F1215" s="4"/>
      <c r="G1215" s="4"/>
      <c r="H1215" s="5">
        <f t="shared" si="55"/>
        <v>3</v>
      </c>
      <c r="I1215" s="5">
        <f t="shared" si="56"/>
        <v>0</v>
      </c>
    </row>
    <row r="1216" spans="1:9" ht="18" customHeight="1" x14ac:dyDescent="0.25">
      <c r="A1216" s="2" t="s">
        <v>2376</v>
      </c>
      <c r="B1216" s="2" t="s">
        <v>2377</v>
      </c>
      <c r="C1216" s="3">
        <v>0</v>
      </c>
      <c r="D1216" s="3">
        <v>6</v>
      </c>
      <c r="E1216" s="2" t="str">
        <f t="shared" si="54"/>
        <v>REORDER NOW</v>
      </c>
      <c r="F1216" s="2"/>
      <c r="G1216" s="2"/>
      <c r="H1216" s="3">
        <f t="shared" si="55"/>
        <v>3</v>
      </c>
      <c r="I1216" s="3">
        <f t="shared" si="56"/>
        <v>0</v>
      </c>
    </row>
    <row r="1217" spans="1:9" ht="18" customHeight="1" x14ac:dyDescent="0.25">
      <c r="A1217" s="4" t="s">
        <v>2378</v>
      </c>
      <c r="B1217" s="4" t="s">
        <v>2379</v>
      </c>
      <c r="C1217" s="5">
        <v>0</v>
      </c>
      <c r="D1217" s="5">
        <v>6</v>
      </c>
      <c r="E1217" s="4" t="str">
        <f t="shared" si="54"/>
        <v>REORDER NOW</v>
      </c>
      <c r="F1217" s="4"/>
      <c r="G1217" s="4"/>
      <c r="H1217" s="5">
        <f t="shared" si="55"/>
        <v>3</v>
      </c>
      <c r="I1217" s="5">
        <f t="shared" si="56"/>
        <v>0</v>
      </c>
    </row>
    <row r="1218" spans="1:9" ht="18" customHeight="1" x14ac:dyDescent="0.25">
      <c r="A1218" s="2" t="s">
        <v>2380</v>
      </c>
      <c r="B1218" s="2" t="s">
        <v>2381</v>
      </c>
      <c r="C1218" s="3">
        <v>2</v>
      </c>
      <c r="D1218" s="3">
        <v>6</v>
      </c>
      <c r="E1218" s="2" t="str">
        <f t="shared" si="54"/>
        <v>REORDER NOW</v>
      </c>
      <c r="F1218" s="2"/>
      <c r="G1218" s="2"/>
      <c r="H1218" s="3">
        <f t="shared" si="55"/>
        <v>3</v>
      </c>
      <c r="I1218" s="3">
        <f t="shared" si="56"/>
        <v>0.7</v>
      </c>
    </row>
    <row r="1219" spans="1:9" ht="18" customHeight="1" x14ac:dyDescent="0.25">
      <c r="A1219" s="4" t="s">
        <v>2382</v>
      </c>
      <c r="B1219" s="4" t="s">
        <v>2383</v>
      </c>
      <c r="C1219" s="5">
        <v>5</v>
      </c>
      <c r="D1219" s="5">
        <v>6</v>
      </c>
      <c r="E1219" s="4" t="str">
        <f t="shared" si="54"/>
        <v>REORDER NOW</v>
      </c>
      <c r="F1219" s="4"/>
      <c r="G1219" s="4"/>
      <c r="H1219" s="5">
        <f t="shared" si="55"/>
        <v>3</v>
      </c>
      <c r="I1219" s="5">
        <f t="shared" si="56"/>
        <v>1.7</v>
      </c>
    </row>
    <row r="1220" spans="1:9" ht="18" customHeight="1" x14ac:dyDescent="0.25">
      <c r="A1220" s="2" t="s">
        <v>2384</v>
      </c>
      <c r="B1220" s="2" t="s">
        <v>2385</v>
      </c>
      <c r="C1220" s="3">
        <v>0</v>
      </c>
      <c r="D1220" s="3">
        <v>6</v>
      </c>
      <c r="E1220" s="2" t="str">
        <f t="shared" ref="E1220:E1283" si="57">IF(C1220&lt;=D1220,"REORDER NOW","OK")</f>
        <v>REORDER NOW</v>
      </c>
      <c r="F1220" s="2"/>
      <c r="G1220" s="2"/>
      <c r="H1220" s="3">
        <f t="shared" ref="H1220:H1283" si="58">D1220/2</f>
        <v>3</v>
      </c>
      <c r="I1220" s="3">
        <f t="shared" ref="I1220:I1283" si="59">IF(H1220=0,"N/A",ROUND(C1220/H1220,1))</f>
        <v>0</v>
      </c>
    </row>
    <row r="1221" spans="1:9" ht="18" customHeight="1" x14ac:dyDescent="0.25">
      <c r="A1221" s="4" t="s">
        <v>2386</v>
      </c>
      <c r="B1221" s="4" t="s">
        <v>2387</v>
      </c>
      <c r="C1221" s="5">
        <v>10</v>
      </c>
      <c r="D1221" s="5">
        <v>10</v>
      </c>
      <c r="E1221" s="4" t="str">
        <f t="shared" si="57"/>
        <v>REORDER NOW</v>
      </c>
      <c r="F1221" s="4"/>
      <c r="G1221" s="4"/>
      <c r="H1221" s="5">
        <f t="shared" si="58"/>
        <v>5</v>
      </c>
      <c r="I1221" s="5">
        <f t="shared" si="59"/>
        <v>2</v>
      </c>
    </row>
    <row r="1222" spans="1:9" ht="18" customHeight="1" x14ac:dyDescent="0.25">
      <c r="A1222" s="2" t="s">
        <v>2388</v>
      </c>
      <c r="B1222" s="2" t="s">
        <v>2389</v>
      </c>
      <c r="C1222" s="3">
        <v>0</v>
      </c>
      <c r="D1222" s="3">
        <v>6</v>
      </c>
      <c r="E1222" s="2" t="str">
        <f t="shared" si="57"/>
        <v>REORDER NOW</v>
      </c>
      <c r="F1222" s="2"/>
      <c r="G1222" s="2"/>
      <c r="H1222" s="3">
        <f t="shared" si="58"/>
        <v>3</v>
      </c>
      <c r="I1222" s="3">
        <f t="shared" si="59"/>
        <v>0</v>
      </c>
    </row>
    <row r="1223" spans="1:9" ht="18" customHeight="1" x14ac:dyDescent="0.25">
      <c r="A1223" s="4" t="s">
        <v>2390</v>
      </c>
      <c r="B1223" s="4" t="s">
        <v>2391</v>
      </c>
      <c r="C1223" s="5">
        <v>0</v>
      </c>
      <c r="D1223" s="5">
        <v>6</v>
      </c>
      <c r="E1223" s="4" t="str">
        <f t="shared" si="57"/>
        <v>REORDER NOW</v>
      </c>
      <c r="F1223" s="4"/>
      <c r="G1223" s="4"/>
      <c r="H1223" s="5">
        <f t="shared" si="58"/>
        <v>3</v>
      </c>
      <c r="I1223" s="5">
        <f t="shared" si="59"/>
        <v>0</v>
      </c>
    </row>
    <row r="1224" spans="1:9" ht="18" customHeight="1" x14ac:dyDescent="0.25">
      <c r="A1224" s="2" t="s">
        <v>2392</v>
      </c>
      <c r="B1224" s="2" t="s">
        <v>2393</v>
      </c>
      <c r="C1224" s="3">
        <v>29</v>
      </c>
      <c r="D1224" s="3">
        <v>20</v>
      </c>
      <c r="E1224" s="2" t="str">
        <f t="shared" si="57"/>
        <v>OK</v>
      </c>
      <c r="F1224" s="2"/>
      <c r="G1224" s="2"/>
      <c r="H1224" s="3">
        <f t="shared" si="58"/>
        <v>10</v>
      </c>
      <c r="I1224" s="3">
        <f t="shared" si="59"/>
        <v>2.9</v>
      </c>
    </row>
    <row r="1225" spans="1:9" ht="18" customHeight="1" x14ac:dyDescent="0.25">
      <c r="A1225" s="4" t="s">
        <v>2394</v>
      </c>
      <c r="B1225" s="4" t="s">
        <v>2395</v>
      </c>
      <c r="C1225" s="5">
        <v>18</v>
      </c>
      <c r="D1225" s="5">
        <v>10</v>
      </c>
      <c r="E1225" s="4" t="str">
        <f t="shared" si="57"/>
        <v>OK</v>
      </c>
      <c r="F1225" s="4"/>
      <c r="G1225" s="4"/>
      <c r="H1225" s="5">
        <f t="shared" si="58"/>
        <v>5</v>
      </c>
      <c r="I1225" s="5">
        <f t="shared" si="59"/>
        <v>3.6</v>
      </c>
    </row>
    <row r="1226" spans="1:9" ht="18" customHeight="1" x14ac:dyDescent="0.25">
      <c r="A1226" s="2" t="s">
        <v>2396</v>
      </c>
      <c r="B1226" s="2" t="s">
        <v>2397</v>
      </c>
      <c r="C1226" s="3">
        <v>0</v>
      </c>
      <c r="D1226" s="3">
        <v>6</v>
      </c>
      <c r="E1226" s="2" t="str">
        <f t="shared" si="57"/>
        <v>REORDER NOW</v>
      </c>
      <c r="F1226" s="2"/>
      <c r="G1226" s="2"/>
      <c r="H1226" s="3">
        <f t="shared" si="58"/>
        <v>3</v>
      </c>
      <c r="I1226" s="3">
        <f t="shared" si="59"/>
        <v>0</v>
      </c>
    </row>
    <row r="1227" spans="1:9" ht="18" customHeight="1" x14ac:dyDescent="0.25">
      <c r="A1227" s="4" t="s">
        <v>2398</v>
      </c>
      <c r="B1227" s="4" t="s">
        <v>2399</v>
      </c>
      <c r="C1227" s="5">
        <v>0</v>
      </c>
      <c r="D1227" s="5">
        <v>6</v>
      </c>
      <c r="E1227" s="4" t="str">
        <f t="shared" si="57"/>
        <v>REORDER NOW</v>
      </c>
      <c r="F1227" s="4"/>
      <c r="G1227" s="4"/>
      <c r="H1227" s="5">
        <f t="shared" si="58"/>
        <v>3</v>
      </c>
      <c r="I1227" s="5">
        <f t="shared" si="59"/>
        <v>0</v>
      </c>
    </row>
    <row r="1228" spans="1:9" ht="18" customHeight="1" x14ac:dyDescent="0.25">
      <c r="A1228" s="2" t="s">
        <v>2400</v>
      </c>
      <c r="B1228" s="2" t="s">
        <v>2401</v>
      </c>
      <c r="C1228" s="3">
        <v>1</v>
      </c>
      <c r="D1228" s="3">
        <v>6</v>
      </c>
      <c r="E1228" s="2" t="str">
        <f t="shared" si="57"/>
        <v>REORDER NOW</v>
      </c>
      <c r="F1228" s="2"/>
      <c r="G1228" s="2"/>
      <c r="H1228" s="3">
        <f t="shared" si="58"/>
        <v>3</v>
      </c>
      <c r="I1228" s="3">
        <f t="shared" si="59"/>
        <v>0.3</v>
      </c>
    </row>
    <row r="1229" spans="1:9" ht="18" customHeight="1" x14ac:dyDescent="0.25">
      <c r="A1229" s="4" t="s">
        <v>2402</v>
      </c>
      <c r="B1229" s="4" t="s">
        <v>2403</v>
      </c>
      <c r="C1229" s="5">
        <v>0</v>
      </c>
      <c r="D1229" s="5">
        <v>6</v>
      </c>
      <c r="E1229" s="4" t="str">
        <f t="shared" si="57"/>
        <v>REORDER NOW</v>
      </c>
      <c r="F1229" s="4"/>
      <c r="G1229" s="4"/>
      <c r="H1229" s="5">
        <f t="shared" si="58"/>
        <v>3</v>
      </c>
      <c r="I1229" s="5">
        <f t="shared" si="59"/>
        <v>0</v>
      </c>
    </row>
    <row r="1230" spans="1:9" ht="18" customHeight="1" x14ac:dyDescent="0.25">
      <c r="A1230" s="2" t="s">
        <v>2404</v>
      </c>
      <c r="B1230" s="2" t="s">
        <v>2405</v>
      </c>
      <c r="C1230" s="3">
        <v>0</v>
      </c>
      <c r="D1230" s="3">
        <v>6</v>
      </c>
      <c r="E1230" s="2" t="str">
        <f t="shared" si="57"/>
        <v>REORDER NOW</v>
      </c>
      <c r="F1230" s="2"/>
      <c r="G1230" s="2"/>
      <c r="H1230" s="3">
        <f t="shared" si="58"/>
        <v>3</v>
      </c>
      <c r="I1230" s="3">
        <f t="shared" si="59"/>
        <v>0</v>
      </c>
    </row>
    <row r="1231" spans="1:9" ht="18" customHeight="1" x14ac:dyDescent="0.25">
      <c r="A1231" s="4" t="s">
        <v>2406</v>
      </c>
      <c r="B1231" s="4" t="s">
        <v>2407</v>
      </c>
      <c r="C1231" s="5">
        <v>0</v>
      </c>
      <c r="D1231" s="5">
        <v>6</v>
      </c>
      <c r="E1231" s="4" t="str">
        <f t="shared" si="57"/>
        <v>REORDER NOW</v>
      </c>
      <c r="F1231" s="4"/>
      <c r="G1231" s="4"/>
      <c r="H1231" s="5">
        <f t="shared" si="58"/>
        <v>3</v>
      </c>
      <c r="I1231" s="5">
        <f t="shared" si="59"/>
        <v>0</v>
      </c>
    </row>
    <row r="1232" spans="1:9" ht="18" customHeight="1" x14ac:dyDescent="0.25">
      <c r="A1232" s="2" t="s">
        <v>2408</v>
      </c>
      <c r="B1232" s="2" t="s">
        <v>2409</v>
      </c>
      <c r="C1232" s="3">
        <v>0</v>
      </c>
      <c r="D1232" s="3">
        <v>6</v>
      </c>
      <c r="E1232" s="2" t="str">
        <f t="shared" si="57"/>
        <v>REORDER NOW</v>
      </c>
      <c r="F1232" s="2"/>
      <c r="G1232" s="2"/>
      <c r="H1232" s="3">
        <f t="shared" si="58"/>
        <v>3</v>
      </c>
      <c r="I1232" s="3">
        <f t="shared" si="59"/>
        <v>0</v>
      </c>
    </row>
    <row r="1233" spans="1:9" ht="18" customHeight="1" x14ac:dyDescent="0.25">
      <c r="A1233" s="4" t="s">
        <v>2410</v>
      </c>
      <c r="B1233" s="4" t="s">
        <v>2411</v>
      </c>
      <c r="C1233" s="5">
        <v>0</v>
      </c>
      <c r="D1233" s="5">
        <v>6</v>
      </c>
      <c r="E1233" s="4" t="str">
        <f t="shared" si="57"/>
        <v>REORDER NOW</v>
      </c>
      <c r="F1233" s="4"/>
      <c r="G1233" s="4"/>
      <c r="H1233" s="5">
        <f t="shared" si="58"/>
        <v>3</v>
      </c>
      <c r="I1233" s="5">
        <f t="shared" si="59"/>
        <v>0</v>
      </c>
    </row>
    <row r="1234" spans="1:9" ht="18" customHeight="1" x14ac:dyDescent="0.25">
      <c r="A1234" s="2" t="s">
        <v>2412</v>
      </c>
      <c r="B1234" s="2" t="s">
        <v>2413</v>
      </c>
      <c r="C1234" s="3">
        <v>0</v>
      </c>
      <c r="D1234" s="3">
        <v>6</v>
      </c>
      <c r="E1234" s="2" t="str">
        <f t="shared" si="57"/>
        <v>REORDER NOW</v>
      </c>
      <c r="F1234" s="2"/>
      <c r="G1234" s="2"/>
      <c r="H1234" s="3">
        <f t="shared" si="58"/>
        <v>3</v>
      </c>
      <c r="I1234" s="3">
        <f t="shared" si="59"/>
        <v>0</v>
      </c>
    </row>
    <row r="1235" spans="1:9" ht="18" customHeight="1" x14ac:dyDescent="0.25">
      <c r="A1235" s="4" t="s">
        <v>2414</v>
      </c>
      <c r="B1235" s="4" t="s">
        <v>2415</v>
      </c>
      <c r="C1235" s="5">
        <v>767</v>
      </c>
      <c r="D1235" s="5">
        <v>200</v>
      </c>
      <c r="E1235" s="4" t="str">
        <f t="shared" si="57"/>
        <v>OK</v>
      </c>
      <c r="F1235" s="4"/>
      <c r="G1235" s="4"/>
      <c r="H1235" s="5">
        <f t="shared" si="58"/>
        <v>100</v>
      </c>
      <c r="I1235" s="5">
        <f t="shared" si="59"/>
        <v>7.7</v>
      </c>
    </row>
    <row r="1236" spans="1:9" ht="18" customHeight="1" x14ac:dyDescent="0.25">
      <c r="A1236" s="2" t="s">
        <v>2416</v>
      </c>
      <c r="B1236" s="2" t="s">
        <v>2417</v>
      </c>
      <c r="C1236" s="3">
        <v>163</v>
      </c>
      <c r="D1236" s="3">
        <v>100</v>
      </c>
      <c r="E1236" s="2" t="str">
        <f t="shared" si="57"/>
        <v>OK</v>
      </c>
      <c r="F1236" s="2"/>
      <c r="G1236" s="2"/>
      <c r="H1236" s="3">
        <f t="shared" si="58"/>
        <v>50</v>
      </c>
      <c r="I1236" s="3">
        <f t="shared" si="59"/>
        <v>3.3</v>
      </c>
    </row>
    <row r="1237" spans="1:9" ht="18" customHeight="1" x14ac:dyDescent="0.25">
      <c r="A1237" s="4" t="s">
        <v>2418</v>
      </c>
      <c r="B1237" s="4" t="s">
        <v>2419</v>
      </c>
      <c r="C1237" s="5">
        <v>0</v>
      </c>
      <c r="D1237" s="5">
        <v>6</v>
      </c>
      <c r="E1237" s="4" t="str">
        <f t="shared" si="57"/>
        <v>REORDER NOW</v>
      </c>
      <c r="F1237" s="4"/>
      <c r="G1237" s="4"/>
      <c r="H1237" s="5">
        <f t="shared" si="58"/>
        <v>3</v>
      </c>
      <c r="I1237" s="5">
        <f t="shared" si="59"/>
        <v>0</v>
      </c>
    </row>
    <row r="1238" spans="1:9" ht="18" customHeight="1" x14ac:dyDescent="0.25">
      <c r="A1238" s="2" t="s">
        <v>2420</v>
      </c>
      <c r="B1238" s="2" t="s">
        <v>2421</v>
      </c>
      <c r="C1238" s="3">
        <v>0</v>
      </c>
      <c r="D1238" s="3">
        <v>6</v>
      </c>
      <c r="E1238" s="2" t="str">
        <f t="shared" si="57"/>
        <v>REORDER NOW</v>
      </c>
      <c r="F1238" s="2"/>
      <c r="G1238" s="2"/>
      <c r="H1238" s="3">
        <f t="shared" si="58"/>
        <v>3</v>
      </c>
      <c r="I1238" s="3">
        <f t="shared" si="59"/>
        <v>0</v>
      </c>
    </row>
    <row r="1239" spans="1:9" ht="18" customHeight="1" x14ac:dyDescent="0.25">
      <c r="A1239" s="4" t="s">
        <v>2422</v>
      </c>
      <c r="B1239" s="4" t="s">
        <v>2423</v>
      </c>
      <c r="C1239" s="5">
        <v>0</v>
      </c>
      <c r="D1239" s="5">
        <v>6</v>
      </c>
      <c r="E1239" s="4" t="str">
        <f t="shared" si="57"/>
        <v>REORDER NOW</v>
      </c>
      <c r="F1239" s="4"/>
      <c r="G1239" s="4"/>
      <c r="H1239" s="5">
        <f t="shared" si="58"/>
        <v>3</v>
      </c>
      <c r="I1239" s="5">
        <f t="shared" si="59"/>
        <v>0</v>
      </c>
    </row>
    <row r="1240" spans="1:9" ht="18" customHeight="1" x14ac:dyDescent="0.25">
      <c r="A1240" s="2" t="s">
        <v>2424</v>
      </c>
      <c r="B1240" s="2" t="s">
        <v>2425</v>
      </c>
      <c r="C1240" s="3">
        <v>0</v>
      </c>
      <c r="D1240" s="3">
        <v>6</v>
      </c>
      <c r="E1240" s="2" t="str">
        <f t="shared" si="57"/>
        <v>REORDER NOW</v>
      </c>
      <c r="F1240" s="2"/>
      <c r="G1240" s="2"/>
      <c r="H1240" s="3">
        <f t="shared" si="58"/>
        <v>3</v>
      </c>
      <c r="I1240" s="3">
        <f t="shared" si="59"/>
        <v>0</v>
      </c>
    </row>
    <row r="1241" spans="1:9" ht="18" customHeight="1" x14ac:dyDescent="0.25">
      <c r="A1241" s="4" t="s">
        <v>2426</v>
      </c>
      <c r="B1241" s="4" t="s">
        <v>2427</v>
      </c>
      <c r="C1241" s="5">
        <v>0</v>
      </c>
      <c r="D1241" s="5">
        <v>6</v>
      </c>
      <c r="E1241" s="4" t="str">
        <f t="shared" si="57"/>
        <v>REORDER NOW</v>
      </c>
      <c r="F1241" s="4"/>
      <c r="G1241" s="4"/>
      <c r="H1241" s="5">
        <f t="shared" si="58"/>
        <v>3</v>
      </c>
      <c r="I1241" s="5">
        <f t="shared" si="59"/>
        <v>0</v>
      </c>
    </row>
    <row r="1242" spans="1:9" ht="18" customHeight="1" x14ac:dyDescent="0.25">
      <c r="A1242" s="2" t="s">
        <v>2428</v>
      </c>
      <c r="B1242" s="2" t="s">
        <v>2429</v>
      </c>
      <c r="C1242" s="3">
        <v>0</v>
      </c>
      <c r="D1242" s="3">
        <v>6</v>
      </c>
      <c r="E1242" s="2" t="str">
        <f t="shared" si="57"/>
        <v>REORDER NOW</v>
      </c>
      <c r="F1242" s="2"/>
      <c r="G1242" s="2"/>
      <c r="H1242" s="3">
        <f t="shared" si="58"/>
        <v>3</v>
      </c>
      <c r="I1242" s="3">
        <f t="shared" si="59"/>
        <v>0</v>
      </c>
    </row>
    <row r="1243" spans="1:9" ht="18" customHeight="1" x14ac:dyDescent="0.25">
      <c r="A1243" s="4" t="s">
        <v>2430</v>
      </c>
      <c r="B1243" s="4" t="s">
        <v>2431</v>
      </c>
      <c r="C1243" s="5">
        <v>0</v>
      </c>
      <c r="D1243" s="5">
        <v>6</v>
      </c>
      <c r="E1243" s="4" t="str">
        <f t="shared" si="57"/>
        <v>REORDER NOW</v>
      </c>
      <c r="F1243" s="4"/>
      <c r="G1243" s="4"/>
      <c r="H1243" s="5">
        <f t="shared" si="58"/>
        <v>3</v>
      </c>
      <c r="I1243" s="5">
        <f t="shared" si="59"/>
        <v>0</v>
      </c>
    </row>
    <row r="1244" spans="1:9" ht="18" customHeight="1" x14ac:dyDescent="0.25">
      <c r="A1244" s="2" t="s">
        <v>2432</v>
      </c>
      <c r="B1244" s="2" t="s">
        <v>2433</v>
      </c>
      <c r="C1244" s="3">
        <v>0</v>
      </c>
      <c r="D1244" s="3">
        <v>6</v>
      </c>
      <c r="E1244" s="2" t="str">
        <f t="shared" si="57"/>
        <v>REORDER NOW</v>
      </c>
      <c r="F1244" s="2"/>
      <c r="G1244" s="2"/>
      <c r="H1244" s="3">
        <f t="shared" si="58"/>
        <v>3</v>
      </c>
      <c r="I1244" s="3">
        <f t="shared" si="59"/>
        <v>0</v>
      </c>
    </row>
    <row r="1245" spans="1:9" ht="18" customHeight="1" x14ac:dyDescent="0.25">
      <c r="A1245" s="4" t="s">
        <v>2434</v>
      </c>
      <c r="B1245" s="4" t="s">
        <v>2435</v>
      </c>
      <c r="C1245" s="5">
        <v>0</v>
      </c>
      <c r="D1245" s="5">
        <v>6</v>
      </c>
      <c r="E1245" s="4" t="str">
        <f t="shared" si="57"/>
        <v>REORDER NOW</v>
      </c>
      <c r="F1245" s="4"/>
      <c r="G1245" s="4"/>
      <c r="H1245" s="5">
        <f t="shared" si="58"/>
        <v>3</v>
      </c>
      <c r="I1245" s="5">
        <f t="shared" si="59"/>
        <v>0</v>
      </c>
    </row>
    <row r="1246" spans="1:9" ht="18" customHeight="1" x14ac:dyDescent="0.25">
      <c r="A1246" s="2" t="s">
        <v>2436</v>
      </c>
      <c r="B1246" s="2" t="s">
        <v>2437</v>
      </c>
      <c r="C1246" s="3">
        <v>0</v>
      </c>
      <c r="D1246" s="3">
        <v>6</v>
      </c>
      <c r="E1246" s="2" t="str">
        <f t="shared" si="57"/>
        <v>REORDER NOW</v>
      </c>
      <c r="F1246" s="2"/>
      <c r="G1246" s="2"/>
      <c r="H1246" s="3">
        <f t="shared" si="58"/>
        <v>3</v>
      </c>
      <c r="I1246" s="3">
        <f t="shared" si="59"/>
        <v>0</v>
      </c>
    </row>
    <row r="1247" spans="1:9" ht="18" customHeight="1" x14ac:dyDescent="0.25">
      <c r="A1247" s="4" t="s">
        <v>2438</v>
      </c>
      <c r="B1247" s="4" t="s">
        <v>2439</v>
      </c>
      <c r="C1247" s="5">
        <v>0</v>
      </c>
      <c r="D1247" s="5">
        <v>6</v>
      </c>
      <c r="E1247" s="4" t="str">
        <f t="shared" si="57"/>
        <v>REORDER NOW</v>
      </c>
      <c r="F1247" s="4"/>
      <c r="G1247" s="4"/>
      <c r="H1247" s="5">
        <f t="shared" si="58"/>
        <v>3</v>
      </c>
      <c r="I1247" s="5">
        <f t="shared" si="59"/>
        <v>0</v>
      </c>
    </row>
    <row r="1248" spans="1:9" ht="18" customHeight="1" x14ac:dyDescent="0.25">
      <c r="A1248" s="2" t="s">
        <v>2440</v>
      </c>
      <c r="B1248" s="2" t="s">
        <v>2441</v>
      </c>
      <c r="C1248" s="3">
        <v>0</v>
      </c>
      <c r="D1248" s="3">
        <v>6</v>
      </c>
      <c r="E1248" s="2" t="str">
        <f t="shared" si="57"/>
        <v>REORDER NOW</v>
      </c>
      <c r="F1248" s="2"/>
      <c r="G1248" s="2"/>
      <c r="H1248" s="3">
        <f t="shared" si="58"/>
        <v>3</v>
      </c>
      <c r="I1248" s="3">
        <f t="shared" si="59"/>
        <v>0</v>
      </c>
    </row>
    <row r="1249" spans="1:9" ht="18" customHeight="1" x14ac:dyDescent="0.25">
      <c r="A1249" s="4" t="s">
        <v>2442</v>
      </c>
      <c r="B1249" s="4" t="s">
        <v>2443</v>
      </c>
      <c r="C1249" s="5">
        <v>0</v>
      </c>
      <c r="D1249" s="5">
        <v>6</v>
      </c>
      <c r="E1249" s="4" t="str">
        <f t="shared" si="57"/>
        <v>REORDER NOW</v>
      </c>
      <c r="F1249" s="4"/>
      <c r="G1249" s="4"/>
      <c r="H1249" s="5">
        <f t="shared" si="58"/>
        <v>3</v>
      </c>
      <c r="I1249" s="5">
        <f t="shared" si="59"/>
        <v>0</v>
      </c>
    </row>
    <row r="1250" spans="1:9" ht="18" customHeight="1" x14ac:dyDescent="0.25">
      <c r="A1250" s="2" t="s">
        <v>2444</v>
      </c>
      <c r="B1250" s="2" t="s">
        <v>2445</v>
      </c>
      <c r="C1250" s="3">
        <v>0</v>
      </c>
      <c r="D1250" s="3">
        <v>6</v>
      </c>
      <c r="E1250" s="2" t="str">
        <f t="shared" si="57"/>
        <v>REORDER NOW</v>
      </c>
      <c r="F1250" s="2"/>
      <c r="G1250" s="2"/>
      <c r="H1250" s="3">
        <f t="shared" si="58"/>
        <v>3</v>
      </c>
      <c r="I1250" s="3">
        <f t="shared" si="59"/>
        <v>0</v>
      </c>
    </row>
    <row r="1251" spans="1:9" ht="18" customHeight="1" x14ac:dyDescent="0.25">
      <c r="A1251" s="4" t="s">
        <v>2446</v>
      </c>
      <c r="B1251" s="4" t="s">
        <v>2447</v>
      </c>
      <c r="C1251" s="5">
        <v>0</v>
      </c>
      <c r="D1251" s="5">
        <v>6</v>
      </c>
      <c r="E1251" s="4" t="str">
        <f t="shared" si="57"/>
        <v>REORDER NOW</v>
      </c>
      <c r="F1251" s="4"/>
      <c r="G1251" s="4"/>
      <c r="H1251" s="5">
        <f t="shared" si="58"/>
        <v>3</v>
      </c>
      <c r="I1251" s="5">
        <f t="shared" si="59"/>
        <v>0</v>
      </c>
    </row>
    <row r="1252" spans="1:9" ht="18" customHeight="1" x14ac:dyDescent="0.25">
      <c r="A1252" s="2" t="s">
        <v>2448</v>
      </c>
      <c r="B1252" s="2" t="s">
        <v>2449</v>
      </c>
      <c r="C1252" s="3">
        <v>0</v>
      </c>
      <c r="D1252" s="3">
        <v>6</v>
      </c>
      <c r="E1252" s="2" t="str">
        <f t="shared" si="57"/>
        <v>REORDER NOW</v>
      </c>
      <c r="F1252" s="2"/>
      <c r="G1252" s="2"/>
      <c r="H1252" s="3">
        <f t="shared" si="58"/>
        <v>3</v>
      </c>
      <c r="I1252" s="3">
        <f t="shared" si="59"/>
        <v>0</v>
      </c>
    </row>
    <row r="1253" spans="1:9" ht="18" customHeight="1" x14ac:dyDescent="0.25">
      <c r="A1253" s="4" t="s">
        <v>2450</v>
      </c>
      <c r="B1253" s="4" t="s">
        <v>2451</v>
      </c>
      <c r="C1253" s="5">
        <v>0</v>
      </c>
      <c r="D1253" s="5">
        <v>6</v>
      </c>
      <c r="E1253" s="4" t="str">
        <f t="shared" si="57"/>
        <v>REORDER NOW</v>
      </c>
      <c r="F1253" s="4"/>
      <c r="G1253" s="4"/>
      <c r="H1253" s="5">
        <f t="shared" si="58"/>
        <v>3</v>
      </c>
      <c r="I1253" s="5">
        <f t="shared" si="59"/>
        <v>0</v>
      </c>
    </row>
    <row r="1254" spans="1:9" ht="18" customHeight="1" x14ac:dyDescent="0.25">
      <c r="A1254" s="2" t="s">
        <v>2452</v>
      </c>
      <c r="B1254" s="2" t="s">
        <v>2453</v>
      </c>
      <c r="C1254" s="3">
        <v>0</v>
      </c>
      <c r="D1254" s="3">
        <v>6</v>
      </c>
      <c r="E1254" s="2" t="str">
        <f t="shared" si="57"/>
        <v>REORDER NOW</v>
      </c>
      <c r="F1254" s="2"/>
      <c r="G1254" s="2"/>
      <c r="H1254" s="3">
        <f t="shared" si="58"/>
        <v>3</v>
      </c>
      <c r="I1254" s="3">
        <f t="shared" si="59"/>
        <v>0</v>
      </c>
    </row>
    <row r="1255" spans="1:9" ht="18" customHeight="1" x14ac:dyDescent="0.25">
      <c r="A1255" s="4" t="s">
        <v>2454</v>
      </c>
      <c r="B1255" s="4" t="s">
        <v>2455</v>
      </c>
      <c r="C1255" s="5">
        <v>0</v>
      </c>
      <c r="D1255" s="5">
        <v>6</v>
      </c>
      <c r="E1255" s="4" t="str">
        <f t="shared" si="57"/>
        <v>REORDER NOW</v>
      </c>
      <c r="F1255" s="4"/>
      <c r="G1255" s="4"/>
      <c r="H1255" s="5">
        <f t="shared" si="58"/>
        <v>3</v>
      </c>
      <c r="I1255" s="5">
        <f t="shared" si="59"/>
        <v>0</v>
      </c>
    </row>
    <row r="1256" spans="1:9" ht="18" customHeight="1" x14ac:dyDescent="0.25">
      <c r="A1256" s="2" t="s">
        <v>2456</v>
      </c>
      <c r="B1256" s="2" t="s">
        <v>2457</v>
      </c>
      <c r="C1256" s="3">
        <v>3</v>
      </c>
      <c r="D1256" s="3">
        <v>6</v>
      </c>
      <c r="E1256" s="2" t="str">
        <f t="shared" si="57"/>
        <v>REORDER NOW</v>
      </c>
      <c r="F1256" s="2"/>
      <c r="G1256" s="2"/>
      <c r="H1256" s="3">
        <f t="shared" si="58"/>
        <v>3</v>
      </c>
      <c r="I1256" s="3">
        <f t="shared" si="59"/>
        <v>1</v>
      </c>
    </row>
    <row r="1257" spans="1:9" ht="18" customHeight="1" x14ac:dyDescent="0.25">
      <c r="A1257" s="4" t="s">
        <v>2458</v>
      </c>
      <c r="B1257" s="4" t="s">
        <v>2459</v>
      </c>
      <c r="C1257" s="5">
        <v>3</v>
      </c>
      <c r="D1257" s="5">
        <v>6</v>
      </c>
      <c r="E1257" s="4" t="str">
        <f t="shared" si="57"/>
        <v>REORDER NOW</v>
      </c>
      <c r="F1257" s="4"/>
      <c r="G1257" s="4"/>
      <c r="H1257" s="5">
        <f t="shared" si="58"/>
        <v>3</v>
      </c>
      <c r="I1257" s="5">
        <f t="shared" si="59"/>
        <v>1</v>
      </c>
    </row>
    <row r="1258" spans="1:9" ht="18" customHeight="1" x14ac:dyDescent="0.25">
      <c r="A1258" s="2" t="s">
        <v>2460</v>
      </c>
      <c r="B1258" s="2" t="s">
        <v>2461</v>
      </c>
      <c r="C1258" s="3">
        <v>0</v>
      </c>
      <c r="D1258" s="3">
        <v>6</v>
      </c>
      <c r="E1258" s="2" t="str">
        <f t="shared" si="57"/>
        <v>REORDER NOW</v>
      </c>
      <c r="F1258" s="2"/>
      <c r="G1258" s="2"/>
      <c r="H1258" s="3">
        <f t="shared" si="58"/>
        <v>3</v>
      </c>
      <c r="I1258" s="3">
        <f t="shared" si="59"/>
        <v>0</v>
      </c>
    </row>
    <row r="1259" spans="1:9" ht="18" customHeight="1" x14ac:dyDescent="0.25">
      <c r="A1259" s="4" t="s">
        <v>2462</v>
      </c>
      <c r="B1259" s="4" t="s">
        <v>2463</v>
      </c>
      <c r="C1259" s="5">
        <v>0</v>
      </c>
      <c r="D1259" s="5">
        <v>6</v>
      </c>
      <c r="E1259" s="4" t="str">
        <f t="shared" si="57"/>
        <v>REORDER NOW</v>
      </c>
      <c r="F1259" s="4"/>
      <c r="G1259" s="4"/>
      <c r="H1259" s="5">
        <f t="shared" si="58"/>
        <v>3</v>
      </c>
      <c r="I1259" s="5">
        <f t="shared" si="59"/>
        <v>0</v>
      </c>
    </row>
    <row r="1260" spans="1:9" ht="18" customHeight="1" x14ac:dyDescent="0.25">
      <c r="A1260" s="2" t="s">
        <v>2464</v>
      </c>
      <c r="B1260" s="2" t="s">
        <v>1037</v>
      </c>
      <c r="C1260" s="3">
        <v>0</v>
      </c>
      <c r="D1260" s="3">
        <v>6</v>
      </c>
      <c r="E1260" s="2" t="str">
        <f t="shared" si="57"/>
        <v>REORDER NOW</v>
      </c>
      <c r="F1260" s="2"/>
      <c r="G1260" s="2"/>
      <c r="H1260" s="3">
        <f t="shared" si="58"/>
        <v>3</v>
      </c>
      <c r="I1260" s="3">
        <f t="shared" si="59"/>
        <v>0</v>
      </c>
    </row>
    <row r="1261" spans="1:9" ht="18" customHeight="1" x14ac:dyDescent="0.25">
      <c r="A1261" s="4" t="s">
        <v>2465</v>
      </c>
      <c r="B1261" s="4" t="s">
        <v>1039</v>
      </c>
      <c r="C1261" s="5">
        <v>3</v>
      </c>
      <c r="D1261" s="5">
        <v>6</v>
      </c>
      <c r="E1261" s="4" t="str">
        <f t="shared" si="57"/>
        <v>REORDER NOW</v>
      </c>
      <c r="F1261" s="4"/>
      <c r="G1261" s="4"/>
      <c r="H1261" s="5">
        <f t="shared" si="58"/>
        <v>3</v>
      </c>
      <c r="I1261" s="5">
        <f t="shared" si="59"/>
        <v>1</v>
      </c>
    </row>
    <row r="1262" spans="1:9" ht="18" customHeight="1" x14ac:dyDescent="0.25">
      <c r="A1262" s="2" t="s">
        <v>2466</v>
      </c>
      <c r="B1262" s="2" t="s">
        <v>2467</v>
      </c>
      <c r="C1262" s="3">
        <v>1</v>
      </c>
      <c r="D1262" s="3">
        <v>6</v>
      </c>
      <c r="E1262" s="2" t="str">
        <f t="shared" si="57"/>
        <v>REORDER NOW</v>
      </c>
      <c r="F1262" s="2"/>
      <c r="G1262" s="2"/>
      <c r="H1262" s="3">
        <f t="shared" si="58"/>
        <v>3</v>
      </c>
      <c r="I1262" s="3">
        <f t="shared" si="59"/>
        <v>0.3</v>
      </c>
    </row>
    <row r="1263" spans="1:9" ht="18" customHeight="1" x14ac:dyDescent="0.25">
      <c r="A1263" s="4" t="s">
        <v>2468</v>
      </c>
      <c r="B1263" s="4" t="s">
        <v>2469</v>
      </c>
      <c r="C1263" s="5">
        <v>3</v>
      </c>
      <c r="D1263" s="5">
        <v>6</v>
      </c>
      <c r="E1263" s="4" t="str">
        <f t="shared" si="57"/>
        <v>REORDER NOW</v>
      </c>
      <c r="F1263" s="4"/>
      <c r="G1263" s="4"/>
      <c r="H1263" s="5">
        <f t="shared" si="58"/>
        <v>3</v>
      </c>
      <c r="I1263" s="5">
        <f t="shared" si="59"/>
        <v>1</v>
      </c>
    </row>
    <row r="1264" spans="1:9" ht="18" customHeight="1" x14ac:dyDescent="0.25">
      <c r="A1264" s="2" t="s">
        <v>2470</v>
      </c>
      <c r="B1264" s="2" t="s">
        <v>2471</v>
      </c>
      <c r="C1264" s="3">
        <v>3</v>
      </c>
      <c r="D1264" s="3">
        <v>6</v>
      </c>
      <c r="E1264" s="2" t="str">
        <f t="shared" si="57"/>
        <v>REORDER NOW</v>
      </c>
      <c r="F1264" s="2"/>
      <c r="G1264" s="2"/>
      <c r="H1264" s="3">
        <f t="shared" si="58"/>
        <v>3</v>
      </c>
      <c r="I1264" s="3">
        <f t="shared" si="59"/>
        <v>1</v>
      </c>
    </row>
    <row r="1265" spans="1:9" ht="18" customHeight="1" x14ac:dyDescent="0.25">
      <c r="A1265" s="4" t="s">
        <v>2472</v>
      </c>
      <c r="B1265" s="4" t="s">
        <v>1107</v>
      </c>
      <c r="C1265" s="5">
        <v>0</v>
      </c>
      <c r="D1265" s="5">
        <v>6</v>
      </c>
      <c r="E1265" s="4" t="str">
        <f t="shared" si="57"/>
        <v>REORDER NOW</v>
      </c>
      <c r="F1265" s="4"/>
      <c r="G1265" s="4"/>
      <c r="H1265" s="5">
        <f t="shared" si="58"/>
        <v>3</v>
      </c>
      <c r="I1265" s="5">
        <f t="shared" si="59"/>
        <v>0</v>
      </c>
    </row>
    <row r="1266" spans="1:9" ht="18" customHeight="1" x14ac:dyDescent="0.25">
      <c r="A1266" s="2" t="s">
        <v>2473</v>
      </c>
      <c r="B1266" s="2" t="s">
        <v>1115</v>
      </c>
      <c r="C1266" s="3">
        <v>0</v>
      </c>
      <c r="D1266" s="3">
        <v>6</v>
      </c>
      <c r="E1266" s="2" t="str">
        <f t="shared" si="57"/>
        <v>REORDER NOW</v>
      </c>
      <c r="F1266" s="2"/>
      <c r="G1266" s="2"/>
      <c r="H1266" s="3">
        <f t="shared" si="58"/>
        <v>3</v>
      </c>
      <c r="I1266" s="3">
        <f t="shared" si="59"/>
        <v>0</v>
      </c>
    </row>
    <row r="1267" spans="1:9" ht="18" customHeight="1" x14ac:dyDescent="0.25">
      <c r="A1267" s="4" t="s">
        <v>2474</v>
      </c>
      <c r="B1267" s="4" t="s">
        <v>1117</v>
      </c>
      <c r="C1267" s="5">
        <v>3</v>
      </c>
      <c r="D1267" s="5">
        <v>6</v>
      </c>
      <c r="E1267" s="4" t="str">
        <f t="shared" si="57"/>
        <v>REORDER NOW</v>
      </c>
      <c r="F1267" s="4"/>
      <c r="G1267" s="4"/>
      <c r="H1267" s="5">
        <f t="shared" si="58"/>
        <v>3</v>
      </c>
      <c r="I1267" s="5">
        <f t="shared" si="59"/>
        <v>1</v>
      </c>
    </row>
    <row r="1268" spans="1:9" ht="18" customHeight="1" x14ac:dyDescent="0.25">
      <c r="A1268" s="2" t="s">
        <v>2475</v>
      </c>
      <c r="B1268" s="2" t="s">
        <v>2476</v>
      </c>
      <c r="C1268" s="3">
        <v>1</v>
      </c>
      <c r="D1268" s="3">
        <v>6</v>
      </c>
      <c r="E1268" s="2" t="str">
        <f t="shared" si="57"/>
        <v>REORDER NOW</v>
      </c>
      <c r="F1268" s="2"/>
      <c r="G1268" s="2"/>
      <c r="H1268" s="3">
        <f t="shared" si="58"/>
        <v>3</v>
      </c>
      <c r="I1268" s="3">
        <f t="shared" si="59"/>
        <v>0.3</v>
      </c>
    </row>
    <row r="1269" spans="1:9" ht="18" customHeight="1" x14ac:dyDescent="0.25">
      <c r="A1269" s="4" t="s">
        <v>2477</v>
      </c>
      <c r="B1269" s="4" t="s">
        <v>1069</v>
      </c>
      <c r="C1269" s="5">
        <v>0</v>
      </c>
      <c r="D1269" s="5">
        <v>6</v>
      </c>
      <c r="E1269" s="4" t="str">
        <f t="shared" si="57"/>
        <v>REORDER NOW</v>
      </c>
      <c r="F1269" s="4"/>
      <c r="G1269" s="4"/>
      <c r="H1269" s="5">
        <f t="shared" si="58"/>
        <v>3</v>
      </c>
      <c r="I1269" s="5">
        <f t="shared" si="59"/>
        <v>0</v>
      </c>
    </row>
    <row r="1270" spans="1:9" ht="18" customHeight="1" x14ac:dyDescent="0.25">
      <c r="A1270" s="2" t="s">
        <v>2478</v>
      </c>
      <c r="B1270" s="2" t="s">
        <v>2479</v>
      </c>
      <c r="C1270" s="3">
        <v>0</v>
      </c>
      <c r="D1270" s="3">
        <v>6</v>
      </c>
      <c r="E1270" s="2" t="str">
        <f t="shared" si="57"/>
        <v>REORDER NOW</v>
      </c>
      <c r="F1270" s="2"/>
      <c r="G1270" s="2"/>
      <c r="H1270" s="3">
        <f t="shared" si="58"/>
        <v>3</v>
      </c>
      <c r="I1270" s="3">
        <f t="shared" si="59"/>
        <v>0</v>
      </c>
    </row>
    <row r="1271" spans="1:9" ht="18" customHeight="1" x14ac:dyDescent="0.25">
      <c r="A1271" s="4" t="s">
        <v>2480</v>
      </c>
      <c r="B1271" s="4" t="s">
        <v>2481</v>
      </c>
      <c r="C1271" s="5">
        <v>1</v>
      </c>
      <c r="D1271" s="5">
        <v>6</v>
      </c>
      <c r="E1271" s="4" t="str">
        <f t="shared" si="57"/>
        <v>REORDER NOW</v>
      </c>
      <c r="F1271" s="4"/>
      <c r="G1271" s="4"/>
      <c r="H1271" s="5">
        <f t="shared" si="58"/>
        <v>3</v>
      </c>
      <c r="I1271" s="5">
        <f t="shared" si="59"/>
        <v>0.3</v>
      </c>
    </row>
    <row r="1272" spans="1:9" ht="18" customHeight="1" x14ac:dyDescent="0.25">
      <c r="A1272" s="2" t="s">
        <v>2482</v>
      </c>
      <c r="B1272" s="2" t="s">
        <v>1049</v>
      </c>
      <c r="C1272" s="3">
        <v>0</v>
      </c>
      <c r="D1272" s="3">
        <v>6</v>
      </c>
      <c r="E1272" s="2" t="str">
        <f t="shared" si="57"/>
        <v>REORDER NOW</v>
      </c>
      <c r="F1272" s="2"/>
      <c r="G1272" s="2"/>
      <c r="H1272" s="3">
        <f t="shared" si="58"/>
        <v>3</v>
      </c>
      <c r="I1272" s="3">
        <f t="shared" si="59"/>
        <v>0</v>
      </c>
    </row>
    <row r="1273" spans="1:9" ht="18" customHeight="1" x14ac:dyDescent="0.25">
      <c r="A1273" s="4" t="s">
        <v>2483</v>
      </c>
      <c r="B1273" s="4" t="s">
        <v>2484</v>
      </c>
      <c r="C1273" s="5">
        <v>0</v>
      </c>
      <c r="D1273" s="5">
        <v>6</v>
      </c>
      <c r="E1273" s="4" t="str">
        <f t="shared" si="57"/>
        <v>REORDER NOW</v>
      </c>
      <c r="F1273" s="4"/>
      <c r="G1273" s="4"/>
      <c r="H1273" s="5">
        <f t="shared" si="58"/>
        <v>3</v>
      </c>
      <c r="I1273" s="5">
        <f t="shared" si="59"/>
        <v>0</v>
      </c>
    </row>
    <row r="1274" spans="1:9" ht="18" customHeight="1" x14ac:dyDescent="0.25">
      <c r="A1274" s="2" t="s">
        <v>2485</v>
      </c>
      <c r="B1274" s="2" t="s">
        <v>2486</v>
      </c>
      <c r="C1274" s="3">
        <v>0</v>
      </c>
      <c r="D1274" s="3">
        <v>6</v>
      </c>
      <c r="E1274" s="2" t="str">
        <f t="shared" si="57"/>
        <v>REORDER NOW</v>
      </c>
      <c r="F1274" s="2"/>
      <c r="G1274" s="2"/>
      <c r="H1274" s="3">
        <f t="shared" si="58"/>
        <v>3</v>
      </c>
      <c r="I1274" s="3">
        <f t="shared" si="59"/>
        <v>0</v>
      </c>
    </row>
    <row r="1275" spans="1:9" ht="18" customHeight="1" x14ac:dyDescent="0.25">
      <c r="A1275" s="4" t="s">
        <v>2487</v>
      </c>
      <c r="B1275" s="4" t="s">
        <v>2488</v>
      </c>
      <c r="C1275" s="5">
        <v>0</v>
      </c>
      <c r="D1275" s="5">
        <v>6</v>
      </c>
      <c r="E1275" s="4" t="str">
        <f t="shared" si="57"/>
        <v>REORDER NOW</v>
      </c>
      <c r="F1275" s="4"/>
      <c r="G1275" s="4"/>
      <c r="H1275" s="5">
        <f t="shared" si="58"/>
        <v>3</v>
      </c>
      <c r="I1275" s="5">
        <f t="shared" si="59"/>
        <v>0</v>
      </c>
    </row>
    <row r="1276" spans="1:9" ht="18" customHeight="1" x14ac:dyDescent="0.25">
      <c r="A1276" s="2" t="s">
        <v>2489</v>
      </c>
      <c r="B1276" s="2" t="s">
        <v>2490</v>
      </c>
      <c r="C1276" s="3">
        <v>0</v>
      </c>
      <c r="D1276" s="3">
        <v>6</v>
      </c>
      <c r="E1276" s="2" t="str">
        <f t="shared" si="57"/>
        <v>REORDER NOW</v>
      </c>
      <c r="F1276" s="2"/>
      <c r="G1276" s="2"/>
      <c r="H1276" s="3">
        <f t="shared" si="58"/>
        <v>3</v>
      </c>
      <c r="I1276" s="3">
        <f t="shared" si="59"/>
        <v>0</v>
      </c>
    </row>
    <row r="1277" spans="1:9" ht="18" customHeight="1" x14ac:dyDescent="0.25">
      <c r="A1277" s="4" t="s">
        <v>2491</v>
      </c>
      <c r="B1277" s="4" t="s">
        <v>2492</v>
      </c>
      <c r="C1277" s="5">
        <v>0</v>
      </c>
      <c r="D1277" s="5">
        <v>6</v>
      </c>
      <c r="E1277" s="4" t="str">
        <f t="shared" si="57"/>
        <v>REORDER NOW</v>
      </c>
      <c r="F1277" s="4"/>
      <c r="G1277" s="4"/>
      <c r="H1277" s="5">
        <f t="shared" si="58"/>
        <v>3</v>
      </c>
      <c r="I1277" s="5">
        <f t="shared" si="59"/>
        <v>0</v>
      </c>
    </row>
    <row r="1278" spans="1:9" ht="18" customHeight="1" x14ac:dyDescent="0.25">
      <c r="A1278" s="2" t="s">
        <v>2493</v>
      </c>
      <c r="B1278" s="2" t="s">
        <v>2494</v>
      </c>
      <c r="C1278" s="3">
        <v>0</v>
      </c>
      <c r="D1278" s="3">
        <v>6</v>
      </c>
      <c r="E1278" s="2" t="str">
        <f t="shared" si="57"/>
        <v>REORDER NOW</v>
      </c>
      <c r="F1278" s="2"/>
      <c r="G1278" s="2"/>
      <c r="H1278" s="3">
        <f t="shared" si="58"/>
        <v>3</v>
      </c>
      <c r="I1278" s="3">
        <f t="shared" si="59"/>
        <v>0</v>
      </c>
    </row>
    <row r="1279" spans="1:9" ht="18" customHeight="1" x14ac:dyDescent="0.25">
      <c r="A1279" s="4" t="s">
        <v>2495</v>
      </c>
      <c r="B1279" s="4" t="s">
        <v>2496</v>
      </c>
      <c r="C1279" s="5">
        <v>0</v>
      </c>
      <c r="D1279" s="5">
        <v>6</v>
      </c>
      <c r="E1279" s="4" t="str">
        <f t="shared" si="57"/>
        <v>REORDER NOW</v>
      </c>
      <c r="F1279" s="4"/>
      <c r="G1279" s="4"/>
      <c r="H1279" s="5">
        <f t="shared" si="58"/>
        <v>3</v>
      </c>
      <c r="I1279" s="5">
        <f t="shared" si="59"/>
        <v>0</v>
      </c>
    </row>
    <row r="1280" spans="1:9" ht="18" customHeight="1" x14ac:dyDescent="0.25">
      <c r="A1280" s="2" t="s">
        <v>2497</v>
      </c>
      <c r="B1280" s="2" t="s">
        <v>2498</v>
      </c>
      <c r="C1280" s="3">
        <v>0</v>
      </c>
      <c r="D1280" s="3">
        <v>6</v>
      </c>
      <c r="E1280" s="2" t="str">
        <f t="shared" si="57"/>
        <v>REORDER NOW</v>
      </c>
      <c r="F1280" s="2"/>
      <c r="G1280" s="2"/>
      <c r="H1280" s="3">
        <f t="shared" si="58"/>
        <v>3</v>
      </c>
      <c r="I1280" s="3">
        <f t="shared" si="59"/>
        <v>0</v>
      </c>
    </row>
    <row r="1281" spans="1:9" ht="18" customHeight="1" x14ac:dyDescent="0.25">
      <c r="A1281" s="4" t="s">
        <v>2499</v>
      </c>
      <c r="B1281" s="4" t="s">
        <v>2500</v>
      </c>
      <c r="C1281" s="5">
        <v>0</v>
      </c>
      <c r="D1281" s="5">
        <v>6</v>
      </c>
      <c r="E1281" s="4" t="str">
        <f t="shared" si="57"/>
        <v>REORDER NOW</v>
      </c>
      <c r="F1281" s="4"/>
      <c r="G1281" s="4"/>
      <c r="H1281" s="5">
        <f t="shared" si="58"/>
        <v>3</v>
      </c>
      <c r="I1281" s="5">
        <f t="shared" si="59"/>
        <v>0</v>
      </c>
    </row>
    <row r="1282" spans="1:9" ht="18" customHeight="1" x14ac:dyDescent="0.25">
      <c r="A1282" s="2" t="s">
        <v>2501</v>
      </c>
      <c r="B1282" s="2" t="s">
        <v>2502</v>
      </c>
      <c r="C1282" s="3">
        <v>0</v>
      </c>
      <c r="D1282" s="3">
        <v>6</v>
      </c>
      <c r="E1282" s="2" t="str">
        <f t="shared" si="57"/>
        <v>REORDER NOW</v>
      </c>
      <c r="F1282" s="2"/>
      <c r="G1282" s="2"/>
      <c r="H1282" s="3">
        <f t="shared" si="58"/>
        <v>3</v>
      </c>
      <c r="I1282" s="3">
        <f t="shared" si="59"/>
        <v>0</v>
      </c>
    </row>
    <row r="1283" spans="1:9" ht="18" customHeight="1" x14ac:dyDescent="0.25">
      <c r="A1283" s="4" t="s">
        <v>2503</v>
      </c>
      <c r="B1283" s="4" t="s">
        <v>2504</v>
      </c>
      <c r="C1283" s="5">
        <v>12</v>
      </c>
      <c r="D1283" s="5">
        <v>10</v>
      </c>
      <c r="E1283" s="4" t="str">
        <f t="shared" si="57"/>
        <v>OK</v>
      </c>
      <c r="F1283" s="4"/>
      <c r="G1283" s="4"/>
      <c r="H1283" s="5">
        <f t="shared" si="58"/>
        <v>5</v>
      </c>
      <c r="I1283" s="5">
        <f t="shared" si="59"/>
        <v>2.4</v>
      </c>
    </row>
    <row r="1284" spans="1:9" ht="18" customHeight="1" x14ac:dyDescent="0.25">
      <c r="A1284" s="2" t="s">
        <v>2505</v>
      </c>
      <c r="B1284" s="2" t="s">
        <v>2506</v>
      </c>
      <c r="C1284" s="3">
        <v>0</v>
      </c>
      <c r="D1284" s="3">
        <v>6</v>
      </c>
      <c r="E1284" s="2" t="str">
        <f t="shared" ref="E1284:E1347" si="60">IF(C1284&lt;=D1284,"REORDER NOW","OK")</f>
        <v>REORDER NOW</v>
      </c>
      <c r="F1284" s="2"/>
      <c r="G1284" s="2"/>
      <c r="H1284" s="3">
        <f t="shared" ref="H1284:H1347" si="61">D1284/2</f>
        <v>3</v>
      </c>
      <c r="I1284" s="3">
        <f t="shared" ref="I1284:I1347" si="62">IF(H1284=0,"N/A",ROUND(C1284/H1284,1))</f>
        <v>0</v>
      </c>
    </row>
    <row r="1285" spans="1:9" ht="18" customHeight="1" x14ac:dyDescent="0.25">
      <c r="A1285" s="4" t="s">
        <v>2507</v>
      </c>
      <c r="B1285" s="4" t="s">
        <v>2508</v>
      </c>
      <c r="C1285" s="5">
        <v>0</v>
      </c>
      <c r="D1285" s="5">
        <v>6</v>
      </c>
      <c r="E1285" s="4" t="str">
        <f t="shared" si="60"/>
        <v>REORDER NOW</v>
      </c>
      <c r="F1285" s="4"/>
      <c r="G1285" s="4"/>
      <c r="H1285" s="5">
        <f t="shared" si="61"/>
        <v>3</v>
      </c>
      <c r="I1285" s="5">
        <f t="shared" si="62"/>
        <v>0</v>
      </c>
    </row>
    <row r="1286" spans="1:9" ht="18" customHeight="1" x14ac:dyDescent="0.25">
      <c r="A1286" s="2" t="s">
        <v>2509</v>
      </c>
      <c r="B1286" s="2" t="s">
        <v>2510</v>
      </c>
      <c r="C1286" s="3">
        <v>0</v>
      </c>
      <c r="D1286" s="3">
        <v>6</v>
      </c>
      <c r="E1286" s="2" t="str">
        <f t="shared" si="60"/>
        <v>REORDER NOW</v>
      </c>
      <c r="F1286" s="2"/>
      <c r="G1286" s="2"/>
      <c r="H1286" s="3">
        <f t="shared" si="61"/>
        <v>3</v>
      </c>
      <c r="I1286" s="3">
        <f t="shared" si="62"/>
        <v>0</v>
      </c>
    </row>
    <row r="1287" spans="1:9" ht="18" customHeight="1" x14ac:dyDescent="0.25">
      <c r="A1287" s="4" t="s">
        <v>2511</v>
      </c>
      <c r="B1287" s="4" t="s">
        <v>2512</v>
      </c>
      <c r="C1287" s="5">
        <v>2</v>
      </c>
      <c r="D1287" s="5">
        <v>6</v>
      </c>
      <c r="E1287" s="4" t="str">
        <f t="shared" si="60"/>
        <v>REORDER NOW</v>
      </c>
      <c r="F1287" s="4"/>
      <c r="G1287" s="4"/>
      <c r="H1287" s="5">
        <f t="shared" si="61"/>
        <v>3</v>
      </c>
      <c r="I1287" s="5">
        <f t="shared" si="62"/>
        <v>0.7</v>
      </c>
    </row>
    <row r="1288" spans="1:9" ht="18" customHeight="1" x14ac:dyDescent="0.25">
      <c r="A1288" s="2" t="s">
        <v>2513</v>
      </c>
      <c r="B1288" s="2" t="s">
        <v>2514</v>
      </c>
      <c r="C1288" s="3">
        <v>2</v>
      </c>
      <c r="D1288" s="3">
        <v>6</v>
      </c>
      <c r="E1288" s="2" t="str">
        <f t="shared" si="60"/>
        <v>REORDER NOW</v>
      </c>
      <c r="F1288" s="2"/>
      <c r="G1288" s="2"/>
      <c r="H1288" s="3">
        <f t="shared" si="61"/>
        <v>3</v>
      </c>
      <c r="I1288" s="3">
        <f t="shared" si="62"/>
        <v>0.7</v>
      </c>
    </row>
    <row r="1289" spans="1:9" ht="18" customHeight="1" x14ac:dyDescent="0.25">
      <c r="A1289" s="4" t="s">
        <v>2515</v>
      </c>
      <c r="B1289" s="4" t="s">
        <v>2516</v>
      </c>
      <c r="C1289" s="5">
        <v>2</v>
      </c>
      <c r="D1289" s="5">
        <v>6</v>
      </c>
      <c r="E1289" s="4" t="str">
        <f t="shared" si="60"/>
        <v>REORDER NOW</v>
      </c>
      <c r="F1289" s="4"/>
      <c r="G1289" s="4"/>
      <c r="H1289" s="5">
        <f t="shared" si="61"/>
        <v>3</v>
      </c>
      <c r="I1289" s="5">
        <f t="shared" si="62"/>
        <v>0.7</v>
      </c>
    </row>
    <row r="1290" spans="1:9" ht="18" customHeight="1" x14ac:dyDescent="0.25">
      <c r="A1290" s="2" t="s">
        <v>2517</v>
      </c>
      <c r="B1290" s="2" t="s">
        <v>2518</v>
      </c>
      <c r="C1290" s="3">
        <v>2</v>
      </c>
      <c r="D1290" s="3">
        <v>6</v>
      </c>
      <c r="E1290" s="2" t="str">
        <f t="shared" si="60"/>
        <v>REORDER NOW</v>
      </c>
      <c r="F1290" s="2"/>
      <c r="G1290" s="2"/>
      <c r="H1290" s="3">
        <f t="shared" si="61"/>
        <v>3</v>
      </c>
      <c r="I1290" s="3">
        <f t="shared" si="62"/>
        <v>0.7</v>
      </c>
    </row>
    <row r="1291" spans="1:9" ht="18" customHeight="1" x14ac:dyDescent="0.25">
      <c r="A1291" s="4" t="s">
        <v>2519</v>
      </c>
      <c r="B1291" s="4" t="s">
        <v>2520</v>
      </c>
      <c r="C1291" s="5">
        <v>0</v>
      </c>
      <c r="D1291" s="5">
        <v>6</v>
      </c>
      <c r="E1291" s="4" t="str">
        <f t="shared" si="60"/>
        <v>REORDER NOW</v>
      </c>
      <c r="F1291" s="4"/>
      <c r="G1291" s="4"/>
      <c r="H1291" s="5">
        <f t="shared" si="61"/>
        <v>3</v>
      </c>
      <c r="I1291" s="5">
        <f t="shared" si="62"/>
        <v>0</v>
      </c>
    </row>
    <row r="1292" spans="1:9" ht="18" customHeight="1" x14ac:dyDescent="0.25">
      <c r="A1292" s="2" t="s">
        <v>2521</v>
      </c>
      <c r="B1292" s="2" t="s">
        <v>2522</v>
      </c>
      <c r="C1292" s="3">
        <v>0</v>
      </c>
      <c r="D1292" s="3">
        <v>6</v>
      </c>
      <c r="E1292" s="2" t="str">
        <f t="shared" si="60"/>
        <v>REORDER NOW</v>
      </c>
      <c r="F1292" s="2"/>
      <c r="G1292" s="2"/>
      <c r="H1292" s="3">
        <f t="shared" si="61"/>
        <v>3</v>
      </c>
      <c r="I1292" s="3">
        <f t="shared" si="62"/>
        <v>0</v>
      </c>
    </row>
    <row r="1293" spans="1:9" ht="18" customHeight="1" x14ac:dyDescent="0.25">
      <c r="A1293" s="4" t="s">
        <v>2523</v>
      </c>
      <c r="B1293" s="4" t="s">
        <v>2524</v>
      </c>
      <c r="C1293" s="5">
        <v>0</v>
      </c>
      <c r="D1293" s="5">
        <v>6</v>
      </c>
      <c r="E1293" s="4" t="str">
        <f t="shared" si="60"/>
        <v>REORDER NOW</v>
      </c>
      <c r="F1293" s="4"/>
      <c r="G1293" s="4"/>
      <c r="H1293" s="5">
        <f t="shared" si="61"/>
        <v>3</v>
      </c>
      <c r="I1293" s="5">
        <f t="shared" si="62"/>
        <v>0</v>
      </c>
    </row>
    <row r="1294" spans="1:9" ht="18" customHeight="1" x14ac:dyDescent="0.25">
      <c r="A1294" s="2" t="s">
        <v>2525</v>
      </c>
      <c r="B1294" s="2" t="s">
        <v>2526</v>
      </c>
      <c r="C1294" s="3">
        <v>54</v>
      </c>
      <c r="D1294" s="3">
        <v>40</v>
      </c>
      <c r="E1294" s="2" t="str">
        <f t="shared" si="60"/>
        <v>OK</v>
      </c>
      <c r="F1294" s="2"/>
      <c r="G1294" s="2"/>
      <c r="H1294" s="3">
        <f t="shared" si="61"/>
        <v>20</v>
      </c>
      <c r="I1294" s="3">
        <f t="shared" si="62"/>
        <v>2.7</v>
      </c>
    </row>
    <row r="1295" spans="1:9" ht="18" customHeight="1" x14ac:dyDescent="0.25">
      <c r="A1295" s="4" t="s">
        <v>2527</v>
      </c>
      <c r="B1295" s="4" t="s">
        <v>2528</v>
      </c>
      <c r="C1295" s="5">
        <v>0</v>
      </c>
      <c r="D1295" s="5">
        <v>6</v>
      </c>
      <c r="E1295" s="4" t="str">
        <f t="shared" si="60"/>
        <v>REORDER NOW</v>
      </c>
      <c r="F1295" s="4"/>
      <c r="G1295" s="4"/>
      <c r="H1295" s="5">
        <f t="shared" si="61"/>
        <v>3</v>
      </c>
      <c r="I1295" s="5">
        <f t="shared" si="62"/>
        <v>0</v>
      </c>
    </row>
    <row r="1296" spans="1:9" ht="18" customHeight="1" x14ac:dyDescent="0.25">
      <c r="A1296" s="2" t="s">
        <v>2529</v>
      </c>
      <c r="B1296" s="2" t="s">
        <v>2530</v>
      </c>
      <c r="C1296" s="3">
        <v>0</v>
      </c>
      <c r="D1296" s="3">
        <v>6</v>
      </c>
      <c r="E1296" s="2" t="str">
        <f t="shared" si="60"/>
        <v>REORDER NOW</v>
      </c>
      <c r="F1296" s="2"/>
      <c r="G1296" s="2"/>
      <c r="H1296" s="3">
        <f t="shared" si="61"/>
        <v>3</v>
      </c>
      <c r="I1296" s="3">
        <f t="shared" si="62"/>
        <v>0</v>
      </c>
    </row>
    <row r="1297" spans="1:9" ht="18" customHeight="1" x14ac:dyDescent="0.25">
      <c r="A1297" s="4" t="s">
        <v>2531</v>
      </c>
      <c r="B1297" s="4" t="s">
        <v>2532</v>
      </c>
      <c r="C1297" s="5">
        <v>4</v>
      </c>
      <c r="D1297" s="5">
        <v>6</v>
      </c>
      <c r="E1297" s="4" t="str">
        <f t="shared" si="60"/>
        <v>REORDER NOW</v>
      </c>
      <c r="F1297" s="4"/>
      <c r="G1297" s="4"/>
      <c r="H1297" s="5">
        <f t="shared" si="61"/>
        <v>3</v>
      </c>
      <c r="I1297" s="5">
        <f t="shared" si="62"/>
        <v>1.3</v>
      </c>
    </row>
    <row r="1298" spans="1:9" ht="18" customHeight="1" x14ac:dyDescent="0.25">
      <c r="A1298" s="2" t="s">
        <v>2533</v>
      </c>
      <c r="B1298" s="2" t="s">
        <v>2534</v>
      </c>
      <c r="C1298" s="3">
        <v>1</v>
      </c>
      <c r="D1298" s="3">
        <v>6</v>
      </c>
      <c r="E1298" s="2" t="str">
        <f t="shared" si="60"/>
        <v>REORDER NOW</v>
      </c>
      <c r="F1298" s="2"/>
      <c r="G1298" s="2"/>
      <c r="H1298" s="3">
        <f t="shared" si="61"/>
        <v>3</v>
      </c>
      <c r="I1298" s="3">
        <f t="shared" si="62"/>
        <v>0.3</v>
      </c>
    </row>
    <row r="1299" spans="1:9" ht="18" customHeight="1" x14ac:dyDescent="0.25">
      <c r="A1299" s="4" t="s">
        <v>2535</v>
      </c>
      <c r="B1299" s="4" t="s">
        <v>2536</v>
      </c>
      <c r="C1299" s="5">
        <v>0</v>
      </c>
      <c r="D1299" s="5">
        <v>6</v>
      </c>
      <c r="E1299" s="4" t="str">
        <f t="shared" si="60"/>
        <v>REORDER NOW</v>
      </c>
      <c r="F1299" s="4"/>
      <c r="G1299" s="4"/>
      <c r="H1299" s="5">
        <f t="shared" si="61"/>
        <v>3</v>
      </c>
      <c r="I1299" s="5">
        <f t="shared" si="62"/>
        <v>0</v>
      </c>
    </row>
    <row r="1300" spans="1:9" ht="18" customHeight="1" x14ac:dyDescent="0.25">
      <c r="A1300" s="2" t="s">
        <v>2537</v>
      </c>
      <c r="B1300" s="2" t="s">
        <v>2538</v>
      </c>
      <c r="C1300" s="3">
        <v>0</v>
      </c>
      <c r="D1300" s="3">
        <v>6</v>
      </c>
      <c r="E1300" s="2" t="str">
        <f t="shared" si="60"/>
        <v>REORDER NOW</v>
      </c>
      <c r="F1300" s="2"/>
      <c r="G1300" s="2"/>
      <c r="H1300" s="3">
        <f t="shared" si="61"/>
        <v>3</v>
      </c>
      <c r="I1300" s="3">
        <f t="shared" si="62"/>
        <v>0</v>
      </c>
    </row>
    <row r="1301" spans="1:9" ht="18" customHeight="1" x14ac:dyDescent="0.25">
      <c r="A1301" s="4" t="s">
        <v>2539</v>
      </c>
      <c r="B1301" s="4" t="s">
        <v>2540</v>
      </c>
      <c r="C1301" s="5">
        <v>0</v>
      </c>
      <c r="D1301" s="5">
        <v>6</v>
      </c>
      <c r="E1301" s="4" t="str">
        <f t="shared" si="60"/>
        <v>REORDER NOW</v>
      </c>
      <c r="F1301" s="4"/>
      <c r="G1301" s="4"/>
      <c r="H1301" s="5">
        <f t="shared" si="61"/>
        <v>3</v>
      </c>
      <c r="I1301" s="5">
        <f t="shared" si="62"/>
        <v>0</v>
      </c>
    </row>
    <row r="1302" spans="1:9" ht="18" customHeight="1" x14ac:dyDescent="0.25">
      <c r="A1302" s="2" t="s">
        <v>2541</v>
      </c>
      <c r="B1302" s="2" t="s">
        <v>2542</v>
      </c>
      <c r="C1302" s="3">
        <v>1</v>
      </c>
      <c r="D1302" s="3">
        <v>6</v>
      </c>
      <c r="E1302" s="2" t="str">
        <f t="shared" si="60"/>
        <v>REORDER NOW</v>
      </c>
      <c r="F1302" s="2"/>
      <c r="G1302" s="2"/>
      <c r="H1302" s="3">
        <f t="shared" si="61"/>
        <v>3</v>
      </c>
      <c r="I1302" s="3">
        <f t="shared" si="62"/>
        <v>0.3</v>
      </c>
    </row>
    <row r="1303" spans="1:9" ht="18" customHeight="1" x14ac:dyDescent="0.25">
      <c r="A1303" s="4" t="s">
        <v>2543</v>
      </c>
      <c r="B1303" s="4" t="s">
        <v>2544</v>
      </c>
      <c r="C1303" s="5">
        <v>0</v>
      </c>
      <c r="D1303" s="5">
        <v>6</v>
      </c>
      <c r="E1303" s="4" t="str">
        <f t="shared" si="60"/>
        <v>REORDER NOW</v>
      </c>
      <c r="F1303" s="4"/>
      <c r="G1303" s="4"/>
      <c r="H1303" s="5">
        <f t="shared" si="61"/>
        <v>3</v>
      </c>
      <c r="I1303" s="5">
        <f t="shared" si="62"/>
        <v>0</v>
      </c>
    </row>
    <row r="1304" spans="1:9" ht="18" customHeight="1" x14ac:dyDescent="0.25">
      <c r="A1304" s="2" t="s">
        <v>2545</v>
      </c>
      <c r="B1304" s="2" t="s">
        <v>2546</v>
      </c>
      <c r="C1304" s="3">
        <v>0</v>
      </c>
      <c r="D1304" s="3">
        <v>6</v>
      </c>
      <c r="E1304" s="2" t="str">
        <f t="shared" si="60"/>
        <v>REORDER NOW</v>
      </c>
      <c r="F1304" s="2"/>
      <c r="G1304" s="2"/>
      <c r="H1304" s="3">
        <f t="shared" si="61"/>
        <v>3</v>
      </c>
      <c r="I1304" s="3">
        <f t="shared" si="62"/>
        <v>0</v>
      </c>
    </row>
    <row r="1305" spans="1:9" ht="18" customHeight="1" x14ac:dyDescent="0.25">
      <c r="A1305" s="4" t="s">
        <v>2547</v>
      </c>
      <c r="B1305" s="4" t="s">
        <v>2548</v>
      </c>
      <c r="C1305" s="5">
        <v>12</v>
      </c>
      <c r="D1305" s="5">
        <v>10</v>
      </c>
      <c r="E1305" s="4" t="str">
        <f t="shared" si="60"/>
        <v>OK</v>
      </c>
      <c r="F1305" s="4"/>
      <c r="G1305" s="4"/>
      <c r="H1305" s="5">
        <f t="shared" si="61"/>
        <v>5</v>
      </c>
      <c r="I1305" s="5">
        <f t="shared" si="62"/>
        <v>2.4</v>
      </c>
    </row>
    <row r="1306" spans="1:9" ht="18" customHeight="1" x14ac:dyDescent="0.25">
      <c r="A1306" s="2" t="s">
        <v>2549</v>
      </c>
      <c r="B1306" s="2" t="s">
        <v>2550</v>
      </c>
      <c r="C1306" s="3">
        <v>1</v>
      </c>
      <c r="D1306" s="3">
        <v>6</v>
      </c>
      <c r="E1306" s="2" t="str">
        <f t="shared" si="60"/>
        <v>REORDER NOW</v>
      </c>
      <c r="F1306" s="2"/>
      <c r="G1306" s="2"/>
      <c r="H1306" s="3">
        <f t="shared" si="61"/>
        <v>3</v>
      </c>
      <c r="I1306" s="3">
        <f t="shared" si="62"/>
        <v>0.3</v>
      </c>
    </row>
    <row r="1307" spans="1:9" ht="18" customHeight="1" x14ac:dyDescent="0.25">
      <c r="A1307" s="4" t="s">
        <v>2551</v>
      </c>
      <c r="B1307" s="4" t="s">
        <v>2552</v>
      </c>
      <c r="C1307" s="5">
        <v>2</v>
      </c>
      <c r="D1307" s="5">
        <v>6</v>
      </c>
      <c r="E1307" s="4" t="str">
        <f t="shared" si="60"/>
        <v>REORDER NOW</v>
      </c>
      <c r="F1307" s="4"/>
      <c r="G1307" s="4"/>
      <c r="H1307" s="5">
        <f t="shared" si="61"/>
        <v>3</v>
      </c>
      <c r="I1307" s="5">
        <f t="shared" si="62"/>
        <v>0.7</v>
      </c>
    </row>
    <row r="1308" spans="1:9" ht="18" customHeight="1" x14ac:dyDescent="0.25">
      <c r="A1308" s="2" t="s">
        <v>2553</v>
      </c>
      <c r="B1308" s="2" t="s">
        <v>2554</v>
      </c>
      <c r="C1308" s="3">
        <v>0</v>
      </c>
      <c r="D1308" s="3">
        <v>6</v>
      </c>
      <c r="E1308" s="2" t="str">
        <f t="shared" si="60"/>
        <v>REORDER NOW</v>
      </c>
      <c r="F1308" s="2"/>
      <c r="G1308" s="2"/>
      <c r="H1308" s="3">
        <f t="shared" si="61"/>
        <v>3</v>
      </c>
      <c r="I1308" s="3">
        <f t="shared" si="62"/>
        <v>0</v>
      </c>
    </row>
    <row r="1309" spans="1:9" ht="18" customHeight="1" x14ac:dyDescent="0.25">
      <c r="A1309" s="4" t="s">
        <v>2555</v>
      </c>
      <c r="B1309" s="4" t="s">
        <v>2556</v>
      </c>
      <c r="C1309" s="5">
        <v>4</v>
      </c>
      <c r="D1309" s="5">
        <v>6</v>
      </c>
      <c r="E1309" s="4" t="str">
        <f t="shared" si="60"/>
        <v>REORDER NOW</v>
      </c>
      <c r="F1309" s="4"/>
      <c r="G1309" s="4"/>
      <c r="H1309" s="5">
        <f t="shared" si="61"/>
        <v>3</v>
      </c>
      <c r="I1309" s="5">
        <f t="shared" si="62"/>
        <v>1.3</v>
      </c>
    </row>
    <row r="1310" spans="1:9" ht="18" customHeight="1" x14ac:dyDescent="0.25">
      <c r="A1310" s="2" t="s">
        <v>2557</v>
      </c>
      <c r="B1310" s="2" t="s">
        <v>2558</v>
      </c>
      <c r="C1310" s="3">
        <v>4</v>
      </c>
      <c r="D1310" s="3">
        <v>6</v>
      </c>
      <c r="E1310" s="2" t="str">
        <f t="shared" si="60"/>
        <v>REORDER NOW</v>
      </c>
      <c r="F1310" s="2"/>
      <c r="G1310" s="2"/>
      <c r="H1310" s="3">
        <f t="shared" si="61"/>
        <v>3</v>
      </c>
      <c r="I1310" s="3">
        <f t="shared" si="62"/>
        <v>1.3</v>
      </c>
    </row>
    <row r="1311" spans="1:9" ht="18" customHeight="1" x14ac:dyDescent="0.25">
      <c r="A1311" s="4" t="s">
        <v>2559</v>
      </c>
      <c r="B1311" s="4" t="s">
        <v>2560</v>
      </c>
      <c r="C1311" s="5">
        <v>0</v>
      </c>
      <c r="D1311" s="5">
        <v>6</v>
      </c>
      <c r="E1311" s="4" t="str">
        <f t="shared" si="60"/>
        <v>REORDER NOW</v>
      </c>
      <c r="F1311" s="4"/>
      <c r="G1311" s="4"/>
      <c r="H1311" s="5">
        <f t="shared" si="61"/>
        <v>3</v>
      </c>
      <c r="I1311" s="5">
        <f t="shared" si="62"/>
        <v>0</v>
      </c>
    </row>
    <row r="1312" spans="1:9" ht="18" customHeight="1" x14ac:dyDescent="0.25">
      <c r="A1312" s="2" t="s">
        <v>2561</v>
      </c>
      <c r="B1312" s="2" t="s">
        <v>2562</v>
      </c>
      <c r="C1312" s="3">
        <v>0</v>
      </c>
      <c r="D1312" s="3">
        <v>6</v>
      </c>
      <c r="E1312" s="2" t="str">
        <f t="shared" si="60"/>
        <v>REORDER NOW</v>
      </c>
      <c r="F1312" s="2"/>
      <c r="G1312" s="2"/>
      <c r="H1312" s="3">
        <f t="shared" si="61"/>
        <v>3</v>
      </c>
      <c r="I1312" s="3">
        <f t="shared" si="62"/>
        <v>0</v>
      </c>
    </row>
    <row r="1313" spans="1:9" ht="18" customHeight="1" x14ac:dyDescent="0.25">
      <c r="A1313" s="4" t="s">
        <v>2563</v>
      </c>
      <c r="B1313" s="4" t="s">
        <v>2564</v>
      </c>
      <c r="C1313" s="5">
        <v>0</v>
      </c>
      <c r="D1313" s="5">
        <v>6</v>
      </c>
      <c r="E1313" s="4" t="str">
        <f t="shared" si="60"/>
        <v>REORDER NOW</v>
      </c>
      <c r="F1313" s="4"/>
      <c r="G1313" s="4"/>
      <c r="H1313" s="5">
        <f t="shared" si="61"/>
        <v>3</v>
      </c>
      <c r="I1313" s="5">
        <f t="shared" si="62"/>
        <v>0</v>
      </c>
    </row>
    <row r="1314" spans="1:9" ht="18" customHeight="1" x14ac:dyDescent="0.25">
      <c r="A1314" s="2" t="s">
        <v>2565</v>
      </c>
      <c r="B1314" s="2" t="s">
        <v>2566</v>
      </c>
      <c r="C1314" s="3">
        <v>0</v>
      </c>
      <c r="D1314" s="3">
        <v>6</v>
      </c>
      <c r="E1314" s="2" t="str">
        <f t="shared" si="60"/>
        <v>REORDER NOW</v>
      </c>
      <c r="F1314" s="2"/>
      <c r="G1314" s="2"/>
      <c r="H1314" s="3">
        <f t="shared" si="61"/>
        <v>3</v>
      </c>
      <c r="I1314" s="3">
        <f t="shared" si="62"/>
        <v>0</v>
      </c>
    </row>
    <row r="1315" spans="1:9" ht="18" customHeight="1" x14ac:dyDescent="0.25">
      <c r="A1315" s="4" t="s">
        <v>2567</v>
      </c>
      <c r="B1315" s="4" t="s">
        <v>2568</v>
      </c>
      <c r="C1315" s="5">
        <v>0</v>
      </c>
      <c r="D1315" s="5">
        <v>6</v>
      </c>
      <c r="E1315" s="4" t="str">
        <f t="shared" si="60"/>
        <v>REORDER NOW</v>
      </c>
      <c r="F1315" s="4"/>
      <c r="G1315" s="4"/>
      <c r="H1315" s="5">
        <f t="shared" si="61"/>
        <v>3</v>
      </c>
      <c r="I1315" s="5">
        <f t="shared" si="62"/>
        <v>0</v>
      </c>
    </row>
    <row r="1316" spans="1:9" ht="18" customHeight="1" x14ac:dyDescent="0.25">
      <c r="A1316" s="2" t="s">
        <v>2569</v>
      </c>
      <c r="B1316" s="2" t="s">
        <v>2570</v>
      </c>
      <c r="C1316" s="3">
        <v>0</v>
      </c>
      <c r="D1316" s="3">
        <v>6</v>
      </c>
      <c r="E1316" s="2" t="str">
        <f t="shared" si="60"/>
        <v>REORDER NOW</v>
      </c>
      <c r="F1316" s="2"/>
      <c r="G1316" s="2"/>
      <c r="H1316" s="3">
        <f t="shared" si="61"/>
        <v>3</v>
      </c>
      <c r="I1316" s="3">
        <f t="shared" si="62"/>
        <v>0</v>
      </c>
    </row>
    <row r="1317" spans="1:9" ht="18" customHeight="1" x14ac:dyDescent="0.25">
      <c r="A1317" s="4" t="s">
        <v>2571</v>
      </c>
      <c r="B1317" s="4" t="s">
        <v>2572</v>
      </c>
      <c r="C1317" s="5">
        <v>0</v>
      </c>
      <c r="D1317" s="5">
        <v>6</v>
      </c>
      <c r="E1317" s="4" t="str">
        <f t="shared" si="60"/>
        <v>REORDER NOW</v>
      </c>
      <c r="F1317" s="4"/>
      <c r="G1317" s="4"/>
      <c r="H1317" s="5">
        <f t="shared" si="61"/>
        <v>3</v>
      </c>
      <c r="I1317" s="5">
        <f t="shared" si="62"/>
        <v>0</v>
      </c>
    </row>
    <row r="1318" spans="1:9" ht="18" customHeight="1" x14ac:dyDescent="0.25">
      <c r="A1318" s="2" t="s">
        <v>2573</v>
      </c>
      <c r="B1318" s="2" t="s">
        <v>2574</v>
      </c>
      <c r="C1318" s="3">
        <v>2</v>
      </c>
      <c r="D1318" s="3">
        <v>6</v>
      </c>
      <c r="E1318" s="2" t="str">
        <f t="shared" si="60"/>
        <v>REORDER NOW</v>
      </c>
      <c r="F1318" s="2"/>
      <c r="G1318" s="2"/>
      <c r="H1318" s="3">
        <f t="shared" si="61"/>
        <v>3</v>
      </c>
      <c r="I1318" s="3">
        <f t="shared" si="62"/>
        <v>0.7</v>
      </c>
    </row>
    <row r="1319" spans="1:9" ht="18" customHeight="1" x14ac:dyDescent="0.25">
      <c r="A1319" s="4" t="s">
        <v>2575</v>
      </c>
      <c r="B1319" s="4" t="s">
        <v>2576</v>
      </c>
      <c r="C1319" s="5">
        <v>1</v>
      </c>
      <c r="D1319" s="5">
        <v>6</v>
      </c>
      <c r="E1319" s="4" t="str">
        <f t="shared" si="60"/>
        <v>REORDER NOW</v>
      </c>
      <c r="F1319" s="4"/>
      <c r="G1319" s="4"/>
      <c r="H1319" s="5">
        <f t="shared" si="61"/>
        <v>3</v>
      </c>
      <c r="I1319" s="5">
        <f t="shared" si="62"/>
        <v>0.3</v>
      </c>
    </row>
    <row r="1320" spans="1:9" ht="18" customHeight="1" x14ac:dyDescent="0.25">
      <c r="A1320" s="2" t="s">
        <v>2577</v>
      </c>
      <c r="B1320" s="2" t="s">
        <v>2578</v>
      </c>
      <c r="C1320" s="3">
        <v>0</v>
      </c>
      <c r="D1320" s="3">
        <v>6</v>
      </c>
      <c r="E1320" s="2" t="str">
        <f t="shared" si="60"/>
        <v>REORDER NOW</v>
      </c>
      <c r="F1320" s="2"/>
      <c r="G1320" s="2"/>
      <c r="H1320" s="3">
        <f t="shared" si="61"/>
        <v>3</v>
      </c>
      <c r="I1320" s="3">
        <f t="shared" si="62"/>
        <v>0</v>
      </c>
    </row>
    <row r="1321" spans="1:9" ht="18" customHeight="1" x14ac:dyDescent="0.25">
      <c r="A1321" s="4" t="s">
        <v>2579</v>
      </c>
      <c r="B1321" s="4" t="s">
        <v>2580</v>
      </c>
      <c r="C1321" s="5">
        <v>10</v>
      </c>
      <c r="D1321" s="5">
        <v>10</v>
      </c>
      <c r="E1321" s="4" t="str">
        <f t="shared" si="60"/>
        <v>REORDER NOW</v>
      </c>
      <c r="F1321" s="4"/>
      <c r="G1321" s="4"/>
      <c r="H1321" s="5">
        <f t="shared" si="61"/>
        <v>5</v>
      </c>
      <c r="I1321" s="5">
        <f t="shared" si="62"/>
        <v>2</v>
      </c>
    </row>
    <row r="1322" spans="1:9" ht="18" customHeight="1" x14ac:dyDescent="0.25">
      <c r="A1322" s="2" t="s">
        <v>2581</v>
      </c>
      <c r="B1322" s="2" t="s">
        <v>2582</v>
      </c>
      <c r="C1322" s="3">
        <v>0</v>
      </c>
      <c r="D1322" s="3">
        <v>6</v>
      </c>
      <c r="E1322" s="2" t="str">
        <f t="shared" si="60"/>
        <v>REORDER NOW</v>
      </c>
      <c r="F1322" s="2"/>
      <c r="G1322" s="2"/>
      <c r="H1322" s="3">
        <f t="shared" si="61"/>
        <v>3</v>
      </c>
      <c r="I1322" s="3">
        <f t="shared" si="62"/>
        <v>0</v>
      </c>
    </row>
    <row r="1323" spans="1:9" ht="18" customHeight="1" x14ac:dyDescent="0.25">
      <c r="A1323" s="4" t="s">
        <v>2583</v>
      </c>
      <c r="B1323" s="4" t="s">
        <v>2584</v>
      </c>
      <c r="C1323" s="5">
        <v>0</v>
      </c>
      <c r="D1323" s="5">
        <v>6</v>
      </c>
      <c r="E1323" s="4" t="str">
        <f t="shared" si="60"/>
        <v>REORDER NOW</v>
      </c>
      <c r="F1323" s="4"/>
      <c r="G1323" s="4"/>
      <c r="H1323" s="5">
        <f t="shared" si="61"/>
        <v>3</v>
      </c>
      <c r="I1323" s="5">
        <f t="shared" si="62"/>
        <v>0</v>
      </c>
    </row>
    <row r="1324" spans="1:9" ht="18" customHeight="1" x14ac:dyDescent="0.25">
      <c r="A1324" s="2" t="s">
        <v>2585</v>
      </c>
      <c r="B1324" s="2" t="s">
        <v>2586</v>
      </c>
      <c r="C1324" s="3">
        <v>0</v>
      </c>
      <c r="D1324" s="3">
        <v>6</v>
      </c>
      <c r="E1324" s="2" t="str">
        <f t="shared" si="60"/>
        <v>REORDER NOW</v>
      </c>
      <c r="F1324" s="2"/>
      <c r="G1324" s="2"/>
      <c r="H1324" s="3">
        <f t="shared" si="61"/>
        <v>3</v>
      </c>
      <c r="I1324" s="3">
        <f t="shared" si="62"/>
        <v>0</v>
      </c>
    </row>
    <row r="1325" spans="1:9" ht="18" customHeight="1" x14ac:dyDescent="0.25">
      <c r="A1325" s="4" t="s">
        <v>2587</v>
      </c>
      <c r="B1325" s="4" t="s">
        <v>2588</v>
      </c>
      <c r="C1325" s="5">
        <v>0</v>
      </c>
      <c r="D1325" s="5">
        <v>6</v>
      </c>
      <c r="E1325" s="4" t="str">
        <f t="shared" si="60"/>
        <v>REORDER NOW</v>
      </c>
      <c r="F1325" s="4"/>
      <c r="G1325" s="4"/>
      <c r="H1325" s="5">
        <f t="shared" si="61"/>
        <v>3</v>
      </c>
      <c r="I1325" s="5">
        <f t="shared" si="62"/>
        <v>0</v>
      </c>
    </row>
    <row r="1326" spans="1:9" ht="18" customHeight="1" x14ac:dyDescent="0.25">
      <c r="A1326" s="2" t="s">
        <v>2589</v>
      </c>
      <c r="B1326" s="2" t="s">
        <v>2590</v>
      </c>
      <c r="C1326" s="3">
        <v>0</v>
      </c>
      <c r="D1326" s="3">
        <v>6</v>
      </c>
      <c r="E1326" s="2" t="str">
        <f t="shared" si="60"/>
        <v>REORDER NOW</v>
      </c>
      <c r="F1326" s="2"/>
      <c r="G1326" s="2"/>
      <c r="H1326" s="3">
        <f t="shared" si="61"/>
        <v>3</v>
      </c>
      <c r="I1326" s="3">
        <f t="shared" si="62"/>
        <v>0</v>
      </c>
    </row>
    <row r="1327" spans="1:9" ht="18" customHeight="1" x14ac:dyDescent="0.25">
      <c r="A1327" s="4" t="s">
        <v>2591</v>
      </c>
      <c r="B1327" s="4" t="s">
        <v>2592</v>
      </c>
      <c r="C1327" s="5">
        <v>2</v>
      </c>
      <c r="D1327" s="5">
        <v>6</v>
      </c>
      <c r="E1327" s="4" t="str">
        <f t="shared" si="60"/>
        <v>REORDER NOW</v>
      </c>
      <c r="F1327" s="4"/>
      <c r="G1327" s="4"/>
      <c r="H1327" s="5">
        <f t="shared" si="61"/>
        <v>3</v>
      </c>
      <c r="I1327" s="5">
        <f t="shared" si="62"/>
        <v>0.7</v>
      </c>
    </row>
    <row r="1328" spans="1:9" ht="18" customHeight="1" x14ac:dyDescent="0.25">
      <c r="A1328" s="2" t="s">
        <v>2593</v>
      </c>
      <c r="B1328" s="2" t="s">
        <v>2594</v>
      </c>
      <c r="C1328" s="3">
        <v>6</v>
      </c>
      <c r="D1328" s="3">
        <v>10</v>
      </c>
      <c r="E1328" s="2" t="str">
        <f t="shared" si="60"/>
        <v>REORDER NOW</v>
      </c>
      <c r="F1328" s="2"/>
      <c r="G1328" s="2"/>
      <c r="H1328" s="3">
        <f t="shared" si="61"/>
        <v>5</v>
      </c>
      <c r="I1328" s="3">
        <f t="shared" si="62"/>
        <v>1.2</v>
      </c>
    </row>
    <row r="1329" spans="1:9" ht="18" customHeight="1" x14ac:dyDescent="0.25">
      <c r="A1329" s="4" t="s">
        <v>2595</v>
      </c>
      <c r="B1329" s="4" t="s">
        <v>2596</v>
      </c>
      <c r="C1329" s="5">
        <v>1</v>
      </c>
      <c r="D1329" s="5">
        <v>6</v>
      </c>
      <c r="E1329" s="4" t="str">
        <f t="shared" si="60"/>
        <v>REORDER NOW</v>
      </c>
      <c r="F1329" s="4"/>
      <c r="G1329" s="4"/>
      <c r="H1329" s="5">
        <f t="shared" si="61"/>
        <v>3</v>
      </c>
      <c r="I1329" s="5">
        <f t="shared" si="62"/>
        <v>0.3</v>
      </c>
    </row>
    <row r="1330" spans="1:9" ht="18" customHeight="1" x14ac:dyDescent="0.25">
      <c r="A1330" s="2" t="s">
        <v>2597</v>
      </c>
      <c r="B1330" s="2" t="s">
        <v>2598</v>
      </c>
      <c r="C1330" s="3">
        <v>4</v>
      </c>
      <c r="D1330" s="3">
        <v>6</v>
      </c>
      <c r="E1330" s="2" t="str">
        <f t="shared" si="60"/>
        <v>REORDER NOW</v>
      </c>
      <c r="F1330" s="2"/>
      <c r="G1330" s="2"/>
      <c r="H1330" s="3">
        <f t="shared" si="61"/>
        <v>3</v>
      </c>
      <c r="I1330" s="3">
        <f t="shared" si="62"/>
        <v>1.3</v>
      </c>
    </row>
    <row r="1331" spans="1:9" ht="18" customHeight="1" x14ac:dyDescent="0.25">
      <c r="A1331" s="4" t="s">
        <v>2599</v>
      </c>
      <c r="B1331" s="4" t="s">
        <v>2600</v>
      </c>
      <c r="C1331" s="5">
        <v>0</v>
      </c>
      <c r="D1331" s="5">
        <v>6</v>
      </c>
      <c r="E1331" s="4" t="str">
        <f t="shared" si="60"/>
        <v>REORDER NOW</v>
      </c>
      <c r="F1331" s="4"/>
      <c r="G1331" s="4"/>
      <c r="H1331" s="5">
        <f t="shared" si="61"/>
        <v>3</v>
      </c>
      <c r="I1331" s="5">
        <f t="shared" si="62"/>
        <v>0</v>
      </c>
    </row>
    <row r="1332" spans="1:9" ht="18" customHeight="1" x14ac:dyDescent="0.25">
      <c r="A1332" s="2" t="s">
        <v>2601</v>
      </c>
      <c r="B1332" s="2" t="s">
        <v>2602</v>
      </c>
      <c r="C1332" s="3">
        <v>0</v>
      </c>
      <c r="D1332" s="3">
        <v>6</v>
      </c>
      <c r="E1332" s="2" t="str">
        <f t="shared" si="60"/>
        <v>REORDER NOW</v>
      </c>
      <c r="F1332" s="2"/>
      <c r="G1332" s="2"/>
      <c r="H1332" s="3">
        <f t="shared" si="61"/>
        <v>3</v>
      </c>
      <c r="I1332" s="3">
        <f t="shared" si="62"/>
        <v>0</v>
      </c>
    </row>
    <row r="1333" spans="1:9" ht="18" customHeight="1" x14ac:dyDescent="0.25">
      <c r="A1333" s="4" t="s">
        <v>2603</v>
      </c>
      <c r="B1333" s="4" t="s">
        <v>2604</v>
      </c>
      <c r="C1333" s="5">
        <v>0</v>
      </c>
      <c r="D1333" s="5">
        <v>6</v>
      </c>
      <c r="E1333" s="4" t="str">
        <f t="shared" si="60"/>
        <v>REORDER NOW</v>
      </c>
      <c r="F1333" s="4"/>
      <c r="G1333" s="4"/>
      <c r="H1333" s="5">
        <f t="shared" si="61"/>
        <v>3</v>
      </c>
      <c r="I1333" s="5">
        <f t="shared" si="62"/>
        <v>0</v>
      </c>
    </row>
    <row r="1334" spans="1:9" ht="18" customHeight="1" x14ac:dyDescent="0.25">
      <c r="A1334" s="2" t="s">
        <v>2605</v>
      </c>
      <c r="B1334" s="2" t="s">
        <v>2606</v>
      </c>
      <c r="C1334" s="3">
        <v>2</v>
      </c>
      <c r="D1334" s="3">
        <v>6</v>
      </c>
      <c r="E1334" s="2" t="str">
        <f t="shared" si="60"/>
        <v>REORDER NOW</v>
      </c>
      <c r="F1334" s="2"/>
      <c r="G1334" s="2"/>
      <c r="H1334" s="3">
        <f t="shared" si="61"/>
        <v>3</v>
      </c>
      <c r="I1334" s="3">
        <f t="shared" si="62"/>
        <v>0.7</v>
      </c>
    </row>
    <row r="1335" spans="1:9" ht="18" customHeight="1" x14ac:dyDescent="0.25">
      <c r="A1335" s="4" t="s">
        <v>2607</v>
      </c>
      <c r="B1335" s="4" t="s">
        <v>2608</v>
      </c>
      <c r="C1335" s="5">
        <v>1</v>
      </c>
      <c r="D1335" s="5">
        <v>6</v>
      </c>
      <c r="E1335" s="4" t="str">
        <f t="shared" si="60"/>
        <v>REORDER NOW</v>
      </c>
      <c r="F1335" s="4"/>
      <c r="G1335" s="4"/>
      <c r="H1335" s="5">
        <f t="shared" si="61"/>
        <v>3</v>
      </c>
      <c r="I1335" s="5">
        <f t="shared" si="62"/>
        <v>0.3</v>
      </c>
    </row>
    <row r="1336" spans="1:9" ht="18" customHeight="1" x14ac:dyDescent="0.25">
      <c r="A1336" s="2" t="s">
        <v>2609</v>
      </c>
      <c r="B1336" s="2" t="s">
        <v>2610</v>
      </c>
      <c r="C1336" s="3">
        <v>0</v>
      </c>
      <c r="D1336" s="3">
        <v>6</v>
      </c>
      <c r="E1336" s="2" t="str">
        <f t="shared" si="60"/>
        <v>REORDER NOW</v>
      </c>
      <c r="F1336" s="2"/>
      <c r="G1336" s="2"/>
      <c r="H1336" s="3">
        <f t="shared" si="61"/>
        <v>3</v>
      </c>
      <c r="I1336" s="3">
        <f t="shared" si="62"/>
        <v>0</v>
      </c>
    </row>
    <row r="1337" spans="1:9" ht="18" customHeight="1" x14ac:dyDescent="0.25">
      <c r="A1337" s="4" t="s">
        <v>2611</v>
      </c>
      <c r="B1337" s="4" t="s">
        <v>2612</v>
      </c>
      <c r="C1337" s="5">
        <v>0</v>
      </c>
      <c r="D1337" s="5">
        <v>6</v>
      </c>
      <c r="E1337" s="4" t="str">
        <f t="shared" si="60"/>
        <v>REORDER NOW</v>
      </c>
      <c r="F1337" s="4"/>
      <c r="G1337" s="4"/>
      <c r="H1337" s="5">
        <f t="shared" si="61"/>
        <v>3</v>
      </c>
      <c r="I1337" s="5">
        <f t="shared" si="62"/>
        <v>0</v>
      </c>
    </row>
    <row r="1338" spans="1:9" ht="18" customHeight="1" x14ac:dyDescent="0.25">
      <c r="A1338" s="2" t="s">
        <v>2613</v>
      </c>
      <c r="B1338" s="2" t="s">
        <v>2614</v>
      </c>
      <c r="C1338" s="3">
        <v>0</v>
      </c>
      <c r="D1338" s="3">
        <v>6</v>
      </c>
      <c r="E1338" s="2" t="str">
        <f t="shared" si="60"/>
        <v>REORDER NOW</v>
      </c>
      <c r="F1338" s="2"/>
      <c r="G1338" s="2"/>
      <c r="H1338" s="3">
        <f t="shared" si="61"/>
        <v>3</v>
      </c>
      <c r="I1338" s="3">
        <f t="shared" si="62"/>
        <v>0</v>
      </c>
    </row>
    <row r="1339" spans="1:9" ht="18" customHeight="1" x14ac:dyDescent="0.25">
      <c r="A1339" s="4" t="s">
        <v>2615</v>
      </c>
      <c r="B1339" s="4" t="s">
        <v>2616</v>
      </c>
      <c r="C1339" s="5">
        <v>0</v>
      </c>
      <c r="D1339" s="5">
        <v>6</v>
      </c>
      <c r="E1339" s="4" t="str">
        <f t="shared" si="60"/>
        <v>REORDER NOW</v>
      </c>
      <c r="F1339" s="4"/>
      <c r="G1339" s="4"/>
      <c r="H1339" s="5">
        <f t="shared" si="61"/>
        <v>3</v>
      </c>
      <c r="I1339" s="5">
        <f t="shared" si="62"/>
        <v>0</v>
      </c>
    </row>
    <row r="1340" spans="1:9" ht="18" customHeight="1" x14ac:dyDescent="0.25">
      <c r="A1340" s="2" t="s">
        <v>2617</v>
      </c>
      <c r="B1340" s="2" t="s">
        <v>2270</v>
      </c>
      <c r="C1340" s="3">
        <v>0</v>
      </c>
      <c r="D1340" s="3">
        <v>6</v>
      </c>
      <c r="E1340" s="2" t="str">
        <f t="shared" si="60"/>
        <v>REORDER NOW</v>
      </c>
      <c r="F1340" s="2"/>
      <c r="G1340" s="2"/>
      <c r="H1340" s="3">
        <f t="shared" si="61"/>
        <v>3</v>
      </c>
      <c r="I1340" s="3">
        <f t="shared" si="62"/>
        <v>0</v>
      </c>
    </row>
    <row r="1341" spans="1:9" ht="18" customHeight="1" x14ac:dyDescent="0.25">
      <c r="A1341" s="4" t="s">
        <v>2618</v>
      </c>
      <c r="B1341" s="4" t="s">
        <v>2619</v>
      </c>
      <c r="C1341" s="5">
        <v>0</v>
      </c>
      <c r="D1341" s="5">
        <v>6</v>
      </c>
      <c r="E1341" s="4" t="str">
        <f t="shared" si="60"/>
        <v>REORDER NOW</v>
      </c>
      <c r="F1341" s="4"/>
      <c r="G1341" s="4"/>
      <c r="H1341" s="5">
        <f t="shared" si="61"/>
        <v>3</v>
      </c>
      <c r="I1341" s="5">
        <f t="shared" si="62"/>
        <v>0</v>
      </c>
    </row>
    <row r="1342" spans="1:9" ht="18" customHeight="1" x14ac:dyDescent="0.25">
      <c r="A1342" s="2" t="s">
        <v>2620</v>
      </c>
      <c r="B1342" s="2" t="s">
        <v>2621</v>
      </c>
      <c r="C1342" s="3">
        <v>3</v>
      </c>
      <c r="D1342" s="3">
        <v>6</v>
      </c>
      <c r="E1342" s="2" t="str">
        <f t="shared" si="60"/>
        <v>REORDER NOW</v>
      </c>
      <c r="F1342" s="2"/>
      <c r="G1342" s="2"/>
      <c r="H1342" s="3">
        <f t="shared" si="61"/>
        <v>3</v>
      </c>
      <c r="I1342" s="3">
        <f t="shared" si="62"/>
        <v>1</v>
      </c>
    </row>
    <row r="1343" spans="1:9" ht="18" customHeight="1" x14ac:dyDescent="0.25">
      <c r="A1343" s="4" t="s">
        <v>2622</v>
      </c>
      <c r="B1343" s="4" t="s">
        <v>2623</v>
      </c>
      <c r="C1343" s="5">
        <v>0</v>
      </c>
      <c r="D1343" s="5">
        <v>6</v>
      </c>
      <c r="E1343" s="4" t="str">
        <f t="shared" si="60"/>
        <v>REORDER NOW</v>
      </c>
      <c r="F1343" s="4"/>
      <c r="G1343" s="4"/>
      <c r="H1343" s="5">
        <f t="shared" si="61"/>
        <v>3</v>
      </c>
      <c r="I1343" s="5">
        <f t="shared" si="62"/>
        <v>0</v>
      </c>
    </row>
    <row r="1344" spans="1:9" ht="18" customHeight="1" x14ac:dyDescent="0.25">
      <c r="A1344" s="2" t="s">
        <v>2624</v>
      </c>
      <c r="B1344" s="2" t="s">
        <v>2625</v>
      </c>
      <c r="C1344" s="3">
        <v>0</v>
      </c>
      <c r="D1344" s="3">
        <v>6</v>
      </c>
      <c r="E1344" s="2" t="str">
        <f t="shared" si="60"/>
        <v>REORDER NOW</v>
      </c>
      <c r="F1344" s="2"/>
      <c r="G1344" s="2"/>
      <c r="H1344" s="3">
        <f t="shared" si="61"/>
        <v>3</v>
      </c>
      <c r="I1344" s="3">
        <f t="shared" si="62"/>
        <v>0</v>
      </c>
    </row>
    <row r="1345" spans="1:9" ht="18" customHeight="1" x14ac:dyDescent="0.25">
      <c r="A1345" s="4" t="s">
        <v>2626</v>
      </c>
      <c r="B1345" s="4" t="s">
        <v>2627</v>
      </c>
      <c r="C1345" s="5">
        <v>2</v>
      </c>
      <c r="D1345" s="5">
        <v>6</v>
      </c>
      <c r="E1345" s="4" t="str">
        <f t="shared" si="60"/>
        <v>REORDER NOW</v>
      </c>
      <c r="F1345" s="4"/>
      <c r="G1345" s="4"/>
      <c r="H1345" s="5">
        <f t="shared" si="61"/>
        <v>3</v>
      </c>
      <c r="I1345" s="5">
        <f t="shared" si="62"/>
        <v>0.7</v>
      </c>
    </row>
    <row r="1346" spans="1:9" ht="18" customHeight="1" x14ac:dyDescent="0.25">
      <c r="A1346" s="2" t="s">
        <v>2628</v>
      </c>
      <c r="B1346" s="2" t="s">
        <v>2629</v>
      </c>
      <c r="C1346" s="3">
        <v>3</v>
      </c>
      <c r="D1346" s="3">
        <v>6</v>
      </c>
      <c r="E1346" s="2" t="str">
        <f t="shared" si="60"/>
        <v>REORDER NOW</v>
      </c>
      <c r="F1346" s="2"/>
      <c r="G1346" s="2"/>
      <c r="H1346" s="3">
        <f t="shared" si="61"/>
        <v>3</v>
      </c>
      <c r="I1346" s="3">
        <f t="shared" si="62"/>
        <v>1</v>
      </c>
    </row>
    <row r="1347" spans="1:9" ht="18" customHeight="1" x14ac:dyDescent="0.25">
      <c r="A1347" s="4" t="s">
        <v>2630</v>
      </c>
      <c r="B1347" s="4" t="s">
        <v>2631</v>
      </c>
      <c r="C1347" s="5">
        <v>6</v>
      </c>
      <c r="D1347" s="5">
        <v>10</v>
      </c>
      <c r="E1347" s="4" t="str">
        <f t="shared" si="60"/>
        <v>REORDER NOW</v>
      </c>
      <c r="F1347" s="4"/>
      <c r="G1347" s="4"/>
      <c r="H1347" s="5">
        <f t="shared" si="61"/>
        <v>5</v>
      </c>
      <c r="I1347" s="5">
        <f t="shared" si="62"/>
        <v>1.2</v>
      </c>
    </row>
    <row r="1348" spans="1:9" ht="18" customHeight="1" x14ac:dyDescent="0.25">
      <c r="A1348" s="2" t="s">
        <v>2632</v>
      </c>
      <c r="B1348" s="2" t="s">
        <v>2633</v>
      </c>
      <c r="C1348" s="3">
        <v>4</v>
      </c>
      <c r="D1348" s="3">
        <v>6</v>
      </c>
      <c r="E1348" s="2" t="str">
        <f t="shared" ref="E1348:E1411" si="63">IF(C1348&lt;=D1348,"REORDER NOW","OK")</f>
        <v>REORDER NOW</v>
      </c>
      <c r="F1348" s="2"/>
      <c r="G1348" s="2"/>
      <c r="H1348" s="3">
        <f t="shared" ref="H1348:H1411" si="64">D1348/2</f>
        <v>3</v>
      </c>
      <c r="I1348" s="3">
        <f t="shared" ref="I1348:I1411" si="65">IF(H1348=0,"N/A",ROUND(C1348/H1348,1))</f>
        <v>1.3</v>
      </c>
    </row>
    <row r="1349" spans="1:9" ht="18" customHeight="1" x14ac:dyDescent="0.25">
      <c r="A1349" s="4" t="s">
        <v>2634</v>
      </c>
      <c r="B1349" s="4" t="s">
        <v>2635</v>
      </c>
      <c r="C1349" s="5">
        <v>5</v>
      </c>
      <c r="D1349" s="5">
        <v>6</v>
      </c>
      <c r="E1349" s="4" t="str">
        <f t="shared" si="63"/>
        <v>REORDER NOW</v>
      </c>
      <c r="F1349" s="4"/>
      <c r="G1349" s="4"/>
      <c r="H1349" s="5">
        <f t="shared" si="64"/>
        <v>3</v>
      </c>
      <c r="I1349" s="5">
        <f t="shared" si="65"/>
        <v>1.7</v>
      </c>
    </row>
    <row r="1350" spans="1:9" ht="18" customHeight="1" x14ac:dyDescent="0.25">
      <c r="A1350" s="2" t="s">
        <v>2636</v>
      </c>
      <c r="B1350" s="2" t="s">
        <v>1091</v>
      </c>
      <c r="C1350" s="3">
        <v>1</v>
      </c>
      <c r="D1350" s="3">
        <v>6</v>
      </c>
      <c r="E1350" s="2" t="str">
        <f t="shared" si="63"/>
        <v>REORDER NOW</v>
      </c>
      <c r="F1350" s="2"/>
      <c r="G1350" s="2"/>
      <c r="H1350" s="3">
        <f t="shared" si="64"/>
        <v>3</v>
      </c>
      <c r="I1350" s="3">
        <f t="shared" si="65"/>
        <v>0.3</v>
      </c>
    </row>
    <row r="1351" spans="1:9" ht="18" customHeight="1" x14ac:dyDescent="0.25">
      <c r="A1351" s="4" t="s">
        <v>2637</v>
      </c>
      <c r="B1351" s="4" t="s">
        <v>2638</v>
      </c>
      <c r="C1351" s="5">
        <v>0</v>
      </c>
      <c r="D1351" s="5">
        <v>6</v>
      </c>
      <c r="E1351" s="4" t="str">
        <f t="shared" si="63"/>
        <v>REORDER NOW</v>
      </c>
      <c r="F1351" s="4"/>
      <c r="G1351" s="4"/>
      <c r="H1351" s="5">
        <f t="shared" si="64"/>
        <v>3</v>
      </c>
      <c r="I1351" s="5">
        <f t="shared" si="65"/>
        <v>0</v>
      </c>
    </row>
    <row r="1352" spans="1:9" ht="18" customHeight="1" x14ac:dyDescent="0.25">
      <c r="A1352" s="2" t="s">
        <v>2639</v>
      </c>
      <c r="B1352" s="2" t="s">
        <v>2640</v>
      </c>
      <c r="C1352" s="3">
        <v>0</v>
      </c>
      <c r="D1352" s="3">
        <v>6</v>
      </c>
      <c r="E1352" s="2" t="str">
        <f t="shared" si="63"/>
        <v>REORDER NOW</v>
      </c>
      <c r="F1352" s="2"/>
      <c r="G1352" s="2"/>
      <c r="H1352" s="3">
        <f t="shared" si="64"/>
        <v>3</v>
      </c>
      <c r="I1352" s="3">
        <f t="shared" si="65"/>
        <v>0</v>
      </c>
    </row>
    <row r="1353" spans="1:9" ht="18" customHeight="1" x14ac:dyDescent="0.25">
      <c r="A1353" s="4" t="s">
        <v>2641</v>
      </c>
      <c r="B1353" s="4" t="s">
        <v>2642</v>
      </c>
      <c r="C1353" s="5">
        <v>0</v>
      </c>
      <c r="D1353" s="5">
        <v>6</v>
      </c>
      <c r="E1353" s="4" t="str">
        <f t="shared" si="63"/>
        <v>REORDER NOW</v>
      </c>
      <c r="F1353" s="4"/>
      <c r="G1353" s="4"/>
      <c r="H1353" s="5">
        <f t="shared" si="64"/>
        <v>3</v>
      </c>
      <c r="I1353" s="5">
        <f t="shared" si="65"/>
        <v>0</v>
      </c>
    </row>
    <row r="1354" spans="1:9" ht="18" customHeight="1" x14ac:dyDescent="0.25">
      <c r="A1354" s="2" t="s">
        <v>2643</v>
      </c>
      <c r="B1354" s="2" t="s">
        <v>2644</v>
      </c>
      <c r="C1354" s="3">
        <v>16</v>
      </c>
      <c r="D1354" s="3">
        <v>10</v>
      </c>
      <c r="E1354" s="2" t="str">
        <f t="shared" si="63"/>
        <v>OK</v>
      </c>
      <c r="F1354" s="2"/>
      <c r="G1354" s="2"/>
      <c r="H1354" s="3">
        <f t="shared" si="64"/>
        <v>5</v>
      </c>
      <c r="I1354" s="3">
        <f t="shared" si="65"/>
        <v>3.2</v>
      </c>
    </row>
    <row r="1355" spans="1:9" ht="18" customHeight="1" x14ac:dyDescent="0.25">
      <c r="A1355" s="4" t="s">
        <v>2645</v>
      </c>
      <c r="B1355" s="4" t="s">
        <v>2646</v>
      </c>
      <c r="C1355" s="5">
        <v>2</v>
      </c>
      <c r="D1355" s="5">
        <v>6</v>
      </c>
      <c r="E1355" s="4" t="str">
        <f t="shared" si="63"/>
        <v>REORDER NOW</v>
      </c>
      <c r="F1355" s="4"/>
      <c r="G1355" s="4"/>
      <c r="H1355" s="5">
        <f t="shared" si="64"/>
        <v>3</v>
      </c>
      <c r="I1355" s="5">
        <f t="shared" si="65"/>
        <v>0.7</v>
      </c>
    </row>
    <row r="1356" spans="1:9" ht="18" customHeight="1" x14ac:dyDescent="0.25">
      <c r="A1356" s="2" t="s">
        <v>2647</v>
      </c>
      <c r="B1356" s="2" t="s">
        <v>2648</v>
      </c>
      <c r="C1356" s="3">
        <v>0</v>
      </c>
      <c r="D1356" s="3">
        <v>6</v>
      </c>
      <c r="E1356" s="2" t="str">
        <f t="shared" si="63"/>
        <v>REORDER NOW</v>
      </c>
      <c r="F1356" s="2"/>
      <c r="G1356" s="2"/>
      <c r="H1356" s="3">
        <f t="shared" si="64"/>
        <v>3</v>
      </c>
      <c r="I1356" s="3">
        <f t="shared" si="65"/>
        <v>0</v>
      </c>
    </row>
    <row r="1357" spans="1:9" ht="18" customHeight="1" x14ac:dyDescent="0.25">
      <c r="A1357" s="4" t="s">
        <v>2649</v>
      </c>
      <c r="B1357" s="4" t="s">
        <v>2650</v>
      </c>
      <c r="C1357" s="5">
        <v>0</v>
      </c>
      <c r="D1357" s="5">
        <v>6</v>
      </c>
      <c r="E1357" s="4" t="str">
        <f t="shared" si="63"/>
        <v>REORDER NOW</v>
      </c>
      <c r="F1357" s="4"/>
      <c r="G1357" s="4"/>
      <c r="H1357" s="5">
        <f t="shared" si="64"/>
        <v>3</v>
      </c>
      <c r="I1357" s="5">
        <f t="shared" si="65"/>
        <v>0</v>
      </c>
    </row>
    <row r="1358" spans="1:9" ht="18" customHeight="1" x14ac:dyDescent="0.25">
      <c r="A1358" s="2" t="s">
        <v>2651</v>
      </c>
      <c r="B1358" s="2" t="s">
        <v>2652</v>
      </c>
      <c r="C1358" s="3">
        <v>0</v>
      </c>
      <c r="D1358" s="3">
        <v>6</v>
      </c>
      <c r="E1358" s="2" t="str">
        <f t="shared" si="63"/>
        <v>REORDER NOW</v>
      </c>
      <c r="F1358" s="2"/>
      <c r="G1358" s="2"/>
      <c r="H1358" s="3">
        <f t="shared" si="64"/>
        <v>3</v>
      </c>
      <c r="I1358" s="3">
        <f t="shared" si="65"/>
        <v>0</v>
      </c>
    </row>
    <row r="1359" spans="1:9" ht="18" customHeight="1" x14ac:dyDescent="0.25">
      <c r="A1359" s="4" t="s">
        <v>2653</v>
      </c>
      <c r="B1359" s="4" t="s">
        <v>2654</v>
      </c>
      <c r="C1359" s="5">
        <v>0</v>
      </c>
      <c r="D1359" s="5">
        <v>6</v>
      </c>
      <c r="E1359" s="4" t="str">
        <f t="shared" si="63"/>
        <v>REORDER NOW</v>
      </c>
      <c r="F1359" s="4"/>
      <c r="G1359" s="4"/>
      <c r="H1359" s="5">
        <f t="shared" si="64"/>
        <v>3</v>
      </c>
      <c r="I1359" s="5">
        <f t="shared" si="65"/>
        <v>0</v>
      </c>
    </row>
    <row r="1360" spans="1:9" ht="18" customHeight="1" x14ac:dyDescent="0.25">
      <c r="A1360" s="2" t="s">
        <v>2655</v>
      </c>
      <c r="B1360" s="2" t="s">
        <v>2656</v>
      </c>
      <c r="C1360" s="3">
        <v>0</v>
      </c>
      <c r="D1360" s="3">
        <v>6</v>
      </c>
      <c r="E1360" s="2" t="str">
        <f t="shared" si="63"/>
        <v>REORDER NOW</v>
      </c>
      <c r="F1360" s="2"/>
      <c r="G1360" s="2"/>
      <c r="H1360" s="3">
        <f t="shared" si="64"/>
        <v>3</v>
      </c>
      <c r="I1360" s="3">
        <f t="shared" si="65"/>
        <v>0</v>
      </c>
    </row>
    <row r="1361" spans="1:9" ht="18" customHeight="1" x14ac:dyDescent="0.25">
      <c r="A1361" s="4" t="s">
        <v>2657</v>
      </c>
      <c r="B1361" s="4" t="s">
        <v>2658</v>
      </c>
      <c r="C1361" s="5">
        <v>24</v>
      </c>
      <c r="D1361" s="5">
        <v>20</v>
      </c>
      <c r="E1361" s="4" t="str">
        <f t="shared" si="63"/>
        <v>OK</v>
      </c>
      <c r="F1361" s="4"/>
      <c r="G1361" s="4"/>
      <c r="H1361" s="5">
        <f t="shared" si="64"/>
        <v>10</v>
      </c>
      <c r="I1361" s="5">
        <f t="shared" si="65"/>
        <v>2.4</v>
      </c>
    </row>
    <row r="1362" spans="1:9" ht="18" customHeight="1" x14ac:dyDescent="0.25">
      <c r="A1362" s="2" t="s">
        <v>2659</v>
      </c>
      <c r="B1362" s="2" t="s">
        <v>2660</v>
      </c>
      <c r="C1362" s="3">
        <v>0</v>
      </c>
      <c r="D1362" s="3">
        <v>6</v>
      </c>
      <c r="E1362" s="2" t="str">
        <f t="shared" si="63"/>
        <v>REORDER NOW</v>
      </c>
      <c r="F1362" s="2"/>
      <c r="G1362" s="2"/>
      <c r="H1362" s="3">
        <f t="shared" si="64"/>
        <v>3</v>
      </c>
      <c r="I1362" s="3">
        <f t="shared" si="65"/>
        <v>0</v>
      </c>
    </row>
    <row r="1363" spans="1:9" ht="18" customHeight="1" x14ac:dyDescent="0.25">
      <c r="A1363" s="4" t="s">
        <v>2661</v>
      </c>
      <c r="B1363" s="4" t="s">
        <v>2662</v>
      </c>
      <c r="C1363" s="5">
        <v>0</v>
      </c>
      <c r="D1363" s="5">
        <v>6</v>
      </c>
      <c r="E1363" s="4" t="str">
        <f t="shared" si="63"/>
        <v>REORDER NOW</v>
      </c>
      <c r="F1363" s="4"/>
      <c r="G1363" s="4"/>
      <c r="H1363" s="5">
        <f t="shared" si="64"/>
        <v>3</v>
      </c>
      <c r="I1363" s="5">
        <f t="shared" si="65"/>
        <v>0</v>
      </c>
    </row>
    <row r="1364" spans="1:9" ht="18" customHeight="1" x14ac:dyDescent="0.25">
      <c r="A1364" s="2" t="s">
        <v>2663</v>
      </c>
      <c r="B1364" s="2" t="s">
        <v>2664</v>
      </c>
      <c r="C1364" s="3">
        <v>0</v>
      </c>
      <c r="D1364" s="3">
        <v>6</v>
      </c>
      <c r="E1364" s="2" t="str">
        <f t="shared" si="63"/>
        <v>REORDER NOW</v>
      </c>
      <c r="F1364" s="2"/>
      <c r="G1364" s="2"/>
      <c r="H1364" s="3">
        <f t="shared" si="64"/>
        <v>3</v>
      </c>
      <c r="I1364" s="3">
        <f t="shared" si="65"/>
        <v>0</v>
      </c>
    </row>
    <row r="1365" spans="1:9" ht="18" customHeight="1" x14ac:dyDescent="0.25">
      <c r="A1365" s="4" t="s">
        <v>2665</v>
      </c>
      <c r="B1365" s="4" t="s">
        <v>2666</v>
      </c>
      <c r="C1365" s="5">
        <v>0</v>
      </c>
      <c r="D1365" s="5">
        <v>6</v>
      </c>
      <c r="E1365" s="4" t="str">
        <f t="shared" si="63"/>
        <v>REORDER NOW</v>
      </c>
      <c r="F1365" s="4"/>
      <c r="G1365" s="4"/>
      <c r="H1365" s="5">
        <f t="shared" si="64"/>
        <v>3</v>
      </c>
      <c r="I1365" s="5">
        <f t="shared" si="65"/>
        <v>0</v>
      </c>
    </row>
    <row r="1366" spans="1:9" ht="18" customHeight="1" x14ac:dyDescent="0.25">
      <c r="A1366" s="2" t="s">
        <v>2667</v>
      </c>
      <c r="B1366" s="2" t="s">
        <v>2668</v>
      </c>
      <c r="C1366" s="3">
        <v>0</v>
      </c>
      <c r="D1366" s="3">
        <v>6</v>
      </c>
      <c r="E1366" s="2" t="str">
        <f t="shared" si="63"/>
        <v>REORDER NOW</v>
      </c>
      <c r="F1366" s="2"/>
      <c r="G1366" s="2"/>
      <c r="H1366" s="3">
        <f t="shared" si="64"/>
        <v>3</v>
      </c>
      <c r="I1366" s="3">
        <f t="shared" si="65"/>
        <v>0</v>
      </c>
    </row>
    <row r="1367" spans="1:9" ht="18" customHeight="1" x14ac:dyDescent="0.25">
      <c r="A1367" s="4" t="s">
        <v>2669</v>
      </c>
      <c r="B1367" s="4" t="s">
        <v>2670</v>
      </c>
      <c r="C1367" s="5">
        <v>0</v>
      </c>
      <c r="D1367" s="5">
        <v>6</v>
      </c>
      <c r="E1367" s="4" t="str">
        <f t="shared" si="63"/>
        <v>REORDER NOW</v>
      </c>
      <c r="F1367" s="4"/>
      <c r="G1367" s="4"/>
      <c r="H1367" s="5">
        <f t="shared" si="64"/>
        <v>3</v>
      </c>
      <c r="I1367" s="5">
        <f t="shared" si="65"/>
        <v>0</v>
      </c>
    </row>
    <row r="1368" spans="1:9" ht="18" customHeight="1" x14ac:dyDescent="0.25">
      <c r="A1368" s="2" t="s">
        <v>2671</v>
      </c>
      <c r="B1368" s="2" t="s">
        <v>2672</v>
      </c>
      <c r="C1368" s="3">
        <v>0</v>
      </c>
      <c r="D1368" s="3">
        <v>6</v>
      </c>
      <c r="E1368" s="2" t="str">
        <f t="shared" si="63"/>
        <v>REORDER NOW</v>
      </c>
      <c r="F1368" s="2"/>
      <c r="G1368" s="2"/>
      <c r="H1368" s="3">
        <f t="shared" si="64"/>
        <v>3</v>
      </c>
      <c r="I1368" s="3">
        <f t="shared" si="65"/>
        <v>0</v>
      </c>
    </row>
    <row r="1369" spans="1:9" ht="18" customHeight="1" x14ac:dyDescent="0.25">
      <c r="A1369" s="4" t="s">
        <v>2673</v>
      </c>
      <c r="B1369" s="4" t="s">
        <v>2674</v>
      </c>
      <c r="C1369" s="5">
        <v>0</v>
      </c>
      <c r="D1369" s="5">
        <v>6</v>
      </c>
      <c r="E1369" s="4" t="str">
        <f t="shared" si="63"/>
        <v>REORDER NOW</v>
      </c>
      <c r="F1369" s="4"/>
      <c r="G1369" s="4"/>
      <c r="H1369" s="5">
        <f t="shared" si="64"/>
        <v>3</v>
      </c>
      <c r="I1369" s="5">
        <f t="shared" si="65"/>
        <v>0</v>
      </c>
    </row>
    <row r="1370" spans="1:9" ht="18" customHeight="1" x14ac:dyDescent="0.25">
      <c r="A1370" s="2" t="s">
        <v>2675</v>
      </c>
      <c r="B1370" s="2" t="s">
        <v>2676</v>
      </c>
      <c r="C1370" s="3">
        <v>0</v>
      </c>
      <c r="D1370" s="3">
        <v>6</v>
      </c>
      <c r="E1370" s="2" t="str">
        <f t="shared" si="63"/>
        <v>REORDER NOW</v>
      </c>
      <c r="F1370" s="2"/>
      <c r="G1370" s="2"/>
      <c r="H1370" s="3">
        <f t="shared" si="64"/>
        <v>3</v>
      </c>
      <c r="I1370" s="3">
        <f t="shared" si="65"/>
        <v>0</v>
      </c>
    </row>
    <row r="1371" spans="1:9" ht="18" customHeight="1" x14ac:dyDescent="0.25">
      <c r="A1371" s="4" t="s">
        <v>2677</v>
      </c>
      <c r="B1371" s="4" t="s">
        <v>2678</v>
      </c>
      <c r="C1371" s="5">
        <v>0</v>
      </c>
      <c r="D1371" s="5">
        <v>6</v>
      </c>
      <c r="E1371" s="4" t="str">
        <f t="shared" si="63"/>
        <v>REORDER NOW</v>
      </c>
      <c r="F1371" s="4"/>
      <c r="G1371" s="4"/>
      <c r="H1371" s="5">
        <f t="shared" si="64"/>
        <v>3</v>
      </c>
      <c r="I1371" s="5">
        <f t="shared" si="65"/>
        <v>0</v>
      </c>
    </row>
    <row r="1372" spans="1:9" ht="18" customHeight="1" x14ac:dyDescent="0.25">
      <c r="A1372" s="2" t="s">
        <v>2679</v>
      </c>
      <c r="B1372" s="2" t="s">
        <v>2680</v>
      </c>
      <c r="C1372" s="3">
        <v>0</v>
      </c>
      <c r="D1372" s="3">
        <v>6</v>
      </c>
      <c r="E1372" s="2" t="str">
        <f t="shared" si="63"/>
        <v>REORDER NOW</v>
      </c>
      <c r="F1372" s="2"/>
      <c r="G1372" s="2"/>
      <c r="H1372" s="3">
        <f t="shared" si="64"/>
        <v>3</v>
      </c>
      <c r="I1372" s="3">
        <f t="shared" si="65"/>
        <v>0</v>
      </c>
    </row>
    <row r="1373" spans="1:9" ht="18" customHeight="1" x14ac:dyDescent="0.25">
      <c r="A1373" s="4" t="s">
        <v>2681</v>
      </c>
      <c r="B1373" s="4" t="s">
        <v>2682</v>
      </c>
      <c r="C1373" s="5">
        <v>0</v>
      </c>
      <c r="D1373" s="5">
        <v>6</v>
      </c>
      <c r="E1373" s="4" t="str">
        <f t="shared" si="63"/>
        <v>REORDER NOW</v>
      </c>
      <c r="F1373" s="4"/>
      <c r="G1373" s="4"/>
      <c r="H1373" s="5">
        <f t="shared" si="64"/>
        <v>3</v>
      </c>
      <c r="I1373" s="5">
        <f t="shared" si="65"/>
        <v>0</v>
      </c>
    </row>
    <row r="1374" spans="1:9" ht="18" customHeight="1" x14ac:dyDescent="0.25">
      <c r="A1374" s="2" t="s">
        <v>2683</v>
      </c>
      <c r="B1374" s="2" t="s">
        <v>2684</v>
      </c>
      <c r="C1374" s="3">
        <v>0</v>
      </c>
      <c r="D1374" s="3">
        <v>6</v>
      </c>
      <c r="E1374" s="2" t="str">
        <f t="shared" si="63"/>
        <v>REORDER NOW</v>
      </c>
      <c r="F1374" s="2"/>
      <c r="G1374" s="2"/>
      <c r="H1374" s="3">
        <f t="shared" si="64"/>
        <v>3</v>
      </c>
      <c r="I1374" s="3">
        <f t="shared" si="65"/>
        <v>0</v>
      </c>
    </row>
    <row r="1375" spans="1:9" ht="18" customHeight="1" x14ac:dyDescent="0.25">
      <c r="A1375" s="4" t="s">
        <v>2685</v>
      </c>
      <c r="B1375" s="4" t="s">
        <v>2686</v>
      </c>
      <c r="C1375" s="5">
        <v>0</v>
      </c>
      <c r="D1375" s="5">
        <v>6</v>
      </c>
      <c r="E1375" s="4" t="str">
        <f t="shared" si="63"/>
        <v>REORDER NOW</v>
      </c>
      <c r="F1375" s="4"/>
      <c r="G1375" s="4"/>
      <c r="H1375" s="5">
        <f t="shared" si="64"/>
        <v>3</v>
      </c>
      <c r="I1375" s="5">
        <f t="shared" si="65"/>
        <v>0</v>
      </c>
    </row>
    <row r="1376" spans="1:9" ht="18" customHeight="1" x14ac:dyDescent="0.25">
      <c r="A1376" s="2" t="s">
        <v>2687</v>
      </c>
      <c r="B1376" s="2" t="s">
        <v>2688</v>
      </c>
      <c r="C1376" s="3">
        <v>8</v>
      </c>
      <c r="D1376" s="3">
        <v>10</v>
      </c>
      <c r="E1376" s="2" t="str">
        <f t="shared" si="63"/>
        <v>REORDER NOW</v>
      </c>
      <c r="F1376" s="2"/>
      <c r="G1376" s="2"/>
      <c r="H1376" s="3">
        <f t="shared" si="64"/>
        <v>5</v>
      </c>
      <c r="I1376" s="3">
        <f t="shared" si="65"/>
        <v>1.6</v>
      </c>
    </row>
    <row r="1377" spans="1:9" ht="18" customHeight="1" x14ac:dyDescent="0.25">
      <c r="A1377" s="4" t="s">
        <v>2689</v>
      </c>
      <c r="B1377" s="4" t="s">
        <v>2690</v>
      </c>
      <c r="C1377" s="5">
        <v>5</v>
      </c>
      <c r="D1377" s="5">
        <v>6</v>
      </c>
      <c r="E1377" s="4" t="str">
        <f t="shared" si="63"/>
        <v>REORDER NOW</v>
      </c>
      <c r="F1377" s="4"/>
      <c r="G1377" s="4"/>
      <c r="H1377" s="5">
        <f t="shared" si="64"/>
        <v>3</v>
      </c>
      <c r="I1377" s="5">
        <f t="shared" si="65"/>
        <v>1.7</v>
      </c>
    </row>
    <row r="1378" spans="1:9" ht="18" customHeight="1" x14ac:dyDescent="0.25">
      <c r="A1378" s="2" t="s">
        <v>2691</v>
      </c>
      <c r="B1378" s="2" t="s">
        <v>2692</v>
      </c>
      <c r="C1378" s="3">
        <v>4</v>
      </c>
      <c r="D1378" s="3">
        <v>6</v>
      </c>
      <c r="E1378" s="2" t="str">
        <f t="shared" si="63"/>
        <v>REORDER NOW</v>
      </c>
      <c r="F1378" s="2"/>
      <c r="G1378" s="2"/>
      <c r="H1378" s="3">
        <f t="shared" si="64"/>
        <v>3</v>
      </c>
      <c r="I1378" s="3">
        <f t="shared" si="65"/>
        <v>1.3</v>
      </c>
    </row>
    <row r="1379" spans="1:9" ht="18" customHeight="1" x14ac:dyDescent="0.25">
      <c r="A1379" s="4" t="s">
        <v>2693</v>
      </c>
      <c r="B1379" s="4" t="s">
        <v>2694</v>
      </c>
      <c r="C1379" s="5">
        <v>7</v>
      </c>
      <c r="D1379" s="5">
        <v>10</v>
      </c>
      <c r="E1379" s="4" t="str">
        <f t="shared" si="63"/>
        <v>REORDER NOW</v>
      </c>
      <c r="F1379" s="4"/>
      <c r="G1379" s="4"/>
      <c r="H1379" s="5">
        <f t="shared" si="64"/>
        <v>5</v>
      </c>
      <c r="I1379" s="5">
        <f t="shared" si="65"/>
        <v>1.4</v>
      </c>
    </row>
    <row r="1380" spans="1:9" ht="18" customHeight="1" x14ac:dyDescent="0.25">
      <c r="A1380" s="2" t="s">
        <v>2695</v>
      </c>
      <c r="B1380" s="2" t="s">
        <v>2696</v>
      </c>
      <c r="C1380" s="3">
        <v>0</v>
      </c>
      <c r="D1380" s="3">
        <v>6</v>
      </c>
      <c r="E1380" s="2" t="str">
        <f t="shared" si="63"/>
        <v>REORDER NOW</v>
      </c>
      <c r="F1380" s="2"/>
      <c r="G1380" s="2"/>
      <c r="H1380" s="3">
        <f t="shared" si="64"/>
        <v>3</v>
      </c>
      <c r="I1380" s="3">
        <f t="shared" si="65"/>
        <v>0</v>
      </c>
    </row>
    <row r="1381" spans="1:9" ht="18" customHeight="1" x14ac:dyDescent="0.25">
      <c r="A1381" s="4" t="s">
        <v>2697</v>
      </c>
      <c r="B1381" s="4" t="s">
        <v>42</v>
      </c>
      <c r="C1381" s="5">
        <v>0</v>
      </c>
      <c r="D1381" s="5">
        <v>6</v>
      </c>
      <c r="E1381" s="4" t="str">
        <f t="shared" si="63"/>
        <v>REORDER NOW</v>
      </c>
      <c r="F1381" s="4"/>
      <c r="G1381" s="4"/>
      <c r="H1381" s="5">
        <f t="shared" si="64"/>
        <v>3</v>
      </c>
      <c r="I1381" s="5">
        <f t="shared" si="65"/>
        <v>0</v>
      </c>
    </row>
    <row r="1382" spans="1:9" ht="18" customHeight="1" x14ac:dyDescent="0.25">
      <c r="A1382" s="2" t="s">
        <v>2698</v>
      </c>
      <c r="B1382" s="2" t="s">
        <v>2699</v>
      </c>
      <c r="C1382" s="3">
        <v>0</v>
      </c>
      <c r="D1382" s="3">
        <v>6</v>
      </c>
      <c r="E1382" s="2" t="str">
        <f t="shared" si="63"/>
        <v>REORDER NOW</v>
      </c>
      <c r="F1382" s="2"/>
      <c r="G1382" s="2"/>
      <c r="H1382" s="3">
        <f t="shared" si="64"/>
        <v>3</v>
      </c>
      <c r="I1382" s="3">
        <f t="shared" si="65"/>
        <v>0</v>
      </c>
    </row>
    <row r="1383" spans="1:9" ht="18" customHeight="1" x14ac:dyDescent="0.25">
      <c r="A1383" s="4" t="s">
        <v>2700</v>
      </c>
      <c r="B1383" s="4" t="s">
        <v>2701</v>
      </c>
      <c r="C1383" s="5">
        <v>0</v>
      </c>
      <c r="D1383" s="5">
        <v>6</v>
      </c>
      <c r="E1383" s="4" t="str">
        <f t="shared" si="63"/>
        <v>REORDER NOW</v>
      </c>
      <c r="F1383" s="4"/>
      <c r="G1383" s="4"/>
      <c r="H1383" s="5">
        <f t="shared" si="64"/>
        <v>3</v>
      </c>
      <c r="I1383" s="5">
        <f t="shared" si="65"/>
        <v>0</v>
      </c>
    </row>
    <row r="1384" spans="1:9" ht="18" customHeight="1" x14ac:dyDescent="0.25">
      <c r="A1384" s="2" t="s">
        <v>2702</v>
      </c>
      <c r="B1384" s="2" t="s">
        <v>2703</v>
      </c>
      <c r="C1384" s="3">
        <v>0</v>
      </c>
      <c r="D1384" s="3">
        <v>6</v>
      </c>
      <c r="E1384" s="2" t="str">
        <f t="shared" si="63"/>
        <v>REORDER NOW</v>
      </c>
      <c r="F1384" s="2"/>
      <c r="G1384" s="2"/>
      <c r="H1384" s="3">
        <f t="shared" si="64"/>
        <v>3</v>
      </c>
      <c r="I1384" s="3">
        <f t="shared" si="65"/>
        <v>0</v>
      </c>
    </row>
    <row r="1385" spans="1:9" ht="18" customHeight="1" x14ac:dyDescent="0.25">
      <c r="A1385" s="4" t="s">
        <v>2704</v>
      </c>
      <c r="B1385" s="4" t="s">
        <v>2705</v>
      </c>
      <c r="C1385" s="5">
        <v>0</v>
      </c>
      <c r="D1385" s="5">
        <v>6</v>
      </c>
      <c r="E1385" s="4" t="str">
        <f t="shared" si="63"/>
        <v>REORDER NOW</v>
      </c>
      <c r="F1385" s="4"/>
      <c r="G1385" s="4"/>
      <c r="H1385" s="5">
        <f t="shared" si="64"/>
        <v>3</v>
      </c>
      <c r="I1385" s="5">
        <f t="shared" si="65"/>
        <v>0</v>
      </c>
    </row>
    <row r="1386" spans="1:9" ht="18" customHeight="1" x14ac:dyDescent="0.25">
      <c r="A1386" s="2" t="s">
        <v>2706</v>
      </c>
      <c r="B1386" s="2" t="s">
        <v>2707</v>
      </c>
      <c r="C1386" s="3">
        <v>0</v>
      </c>
      <c r="D1386" s="3">
        <v>6</v>
      </c>
      <c r="E1386" s="2" t="str">
        <f t="shared" si="63"/>
        <v>REORDER NOW</v>
      </c>
      <c r="F1386" s="2"/>
      <c r="G1386" s="2"/>
      <c r="H1386" s="3">
        <f t="shared" si="64"/>
        <v>3</v>
      </c>
      <c r="I1386" s="3">
        <f t="shared" si="65"/>
        <v>0</v>
      </c>
    </row>
    <row r="1387" spans="1:9" ht="18" customHeight="1" x14ac:dyDescent="0.25">
      <c r="A1387" s="4" t="s">
        <v>2708</v>
      </c>
      <c r="B1387" s="4" t="s">
        <v>2709</v>
      </c>
      <c r="C1387" s="5">
        <v>0</v>
      </c>
      <c r="D1387" s="5">
        <v>6</v>
      </c>
      <c r="E1387" s="4" t="str">
        <f t="shared" si="63"/>
        <v>REORDER NOW</v>
      </c>
      <c r="F1387" s="4"/>
      <c r="G1387" s="4"/>
      <c r="H1387" s="5">
        <f t="shared" si="64"/>
        <v>3</v>
      </c>
      <c r="I1387" s="5">
        <f t="shared" si="65"/>
        <v>0</v>
      </c>
    </row>
    <row r="1388" spans="1:9" ht="18" customHeight="1" x14ac:dyDescent="0.25">
      <c r="A1388" s="2" t="s">
        <v>2710</v>
      </c>
      <c r="B1388" s="2" t="s">
        <v>2711</v>
      </c>
      <c r="C1388" s="3">
        <v>0</v>
      </c>
      <c r="D1388" s="3">
        <v>6</v>
      </c>
      <c r="E1388" s="2" t="str">
        <f t="shared" si="63"/>
        <v>REORDER NOW</v>
      </c>
      <c r="F1388" s="2"/>
      <c r="G1388" s="2"/>
      <c r="H1388" s="3">
        <f t="shared" si="64"/>
        <v>3</v>
      </c>
      <c r="I1388" s="3">
        <f t="shared" si="65"/>
        <v>0</v>
      </c>
    </row>
    <row r="1389" spans="1:9" ht="18" customHeight="1" x14ac:dyDescent="0.25">
      <c r="A1389" s="4" t="s">
        <v>2712</v>
      </c>
      <c r="B1389" s="4" t="s">
        <v>2713</v>
      </c>
      <c r="C1389" s="5">
        <v>0</v>
      </c>
      <c r="D1389" s="5">
        <v>6</v>
      </c>
      <c r="E1389" s="4" t="str">
        <f t="shared" si="63"/>
        <v>REORDER NOW</v>
      </c>
      <c r="F1389" s="4"/>
      <c r="G1389" s="4"/>
      <c r="H1389" s="5">
        <f t="shared" si="64"/>
        <v>3</v>
      </c>
      <c r="I1389" s="5">
        <f t="shared" si="65"/>
        <v>0</v>
      </c>
    </row>
    <row r="1390" spans="1:9" ht="18" customHeight="1" x14ac:dyDescent="0.25">
      <c r="A1390" s="2" t="s">
        <v>2714</v>
      </c>
      <c r="B1390" s="2" t="s">
        <v>2715</v>
      </c>
      <c r="C1390" s="3">
        <v>0</v>
      </c>
      <c r="D1390" s="3">
        <v>6</v>
      </c>
      <c r="E1390" s="2" t="str">
        <f t="shared" si="63"/>
        <v>REORDER NOW</v>
      </c>
      <c r="F1390" s="2"/>
      <c r="G1390" s="2"/>
      <c r="H1390" s="3">
        <f t="shared" si="64"/>
        <v>3</v>
      </c>
      <c r="I1390" s="3">
        <f t="shared" si="65"/>
        <v>0</v>
      </c>
    </row>
    <row r="1391" spans="1:9" ht="18" customHeight="1" x14ac:dyDescent="0.25">
      <c r="A1391" s="4" t="s">
        <v>2716</v>
      </c>
      <c r="B1391" s="4" t="s">
        <v>2717</v>
      </c>
      <c r="C1391" s="5">
        <v>0</v>
      </c>
      <c r="D1391" s="5">
        <v>6</v>
      </c>
      <c r="E1391" s="4" t="str">
        <f t="shared" si="63"/>
        <v>REORDER NOW</v>
      </c>
      <c r="F1391" s="4"/>
      <c r="G1391" s="4"/>
      <c r="H1391" s="5">
        <f t="shared" si="64"/>
        <v>3</v>
      </c>
      <c r="I1391" s="5">
        <f t="shared" si="65"/>
        <v>0</v>
      </c>
    </row>
    <row r="1392" spans="1:9" ht="18" customHeight="1" x14ac:dyDescent="0.25">
      <c r="A1392" s="2" t="s">
        <v>2718</v>
      </c>
      <c r="B1392" s="2" t="s">
        <v>2719</v>
      </c>
      <c r="C1392" s="3">
        <v>0</v>
      </c>
      <c r="D1392" s="3">
        <v>6</v>
      </c>
      <c r="E1392" s="2" t="str">
        <f t="shared" si="63"/>
        <v>REORDER NOW</v>
      </c>
      <c r="F1392" s="2"/>
      <c r="G1392" s="2"/>
      <c r="H1392" s="3">
        <f t="shared" si="64"/>
        <v>3</v>
      </c>
      <c r="I1392" s="3">
        <f t="shared" si="65"/>
        <v>0</v>
      </c>
    </row>
    <row r="1393" spans="1:9" ht="18" customHeight="1" x14ac:dyDescent="0.25">
      <c r="A1393" s="4" t="s">
        <v>2720</v>
      </c>
      <c r="B1393" s="4" t="s">
        <v>2721</v>
      </c>
      <c r="C1393" s="5">
        <v>0</v>
      </c>
      <c r="D1393" s="5">
        <v>6</v>
      </c>
      <c r="E1393" s="4" t="str">
        <f t="shared" si="63"/>
        <v>REORDER NOW</v>
      </c>
      <c r="F1393" s="4"/>
      <c r="G1393" s="4"/>
      <c r="H1393" s="5">
        <f t="shared" si="64"/>
        <v>3</v>
      </c>
      <c r="I1393" s="5">
        <f t="shared" si="65"/>
        <v>0</v>
      </c>
    </row>
    <row r="1394" spans="1:9" ht="18" customHeight="1" x14ac:dyDescent="0.25">
      <c r="A1394" s="2" t="s">
        <v>2722</v>
      </c>
      <c r="B1394" s="2" t="s">
        <v>2723</v>
      </c>
      <c r="C1394" s="3">
        <v>0</v>
      </c>
      <c r="D1394" s="3">
        <v>6</v>
      </c>
      <c r="E1394" s="2" t="str">
        <f t="shared" si="63"/>
        <v>REORDER NOW</v>
      </c>
      <c r="F1394" s="2"/>
      <c r="G1394" s="2"/>
      <c r="H1394" s="3">
        <f t="shared" si="64"/>
        <v>3</v>
      </c>
      <c r="I1394" s="3">
        <f t="shared" si="65"/>
        <v>0</v>
      </c>
    </row>
    <row r="1395" spans="1:9" ht="18" customHeight="1" x14ac:dyDescent="0.25">
      <c r="A1395" s="4" t="s">
        <v>2724</v>
      </c>
      <c r="B1395" s="4" t="s">
        <v>2725</v>
      </c>
      <c r="C1395" s="5">
        <v>0</v>
      </c>
      <c r="D1395" s="5">
        <v>6</v>
      </c>
      <c r="E1395" s="4" t="str">
        <f t="shared" si="63"/>
        <v>REORDER NOW</v>
      </c>
      <c r="F1395" s="4"/>
      <c r="G1395" s="4"/>
      <c r="H1395" s="5">
        <f t="shared" si="64"/>
        <v>3</v>
      </c>
      <c r="I1395" s="5">
        <f t="shared" si="65"/>
        <v>0</v>
      </c>
    </row>
    <row r="1396" spans="1:9" ht="18" customHeight="1" x14ac:dyDescent="0.25">
      <c r="A1396" s="2" t="s">
        <v>2726</v>
      </c>
      <c r="B1396" s="2" t="s">
        <v>2727</v>
      </c>
      <c r="C1396" s="3">
        <v>0</v>
      </c>
      <c r="D1396" s="3">
        <v>6</v>
      </c>
      <c r="E1396" s="2" t="str">
        <f t="shared" si="63"/>
        <v>REORDER NOW</v>
      </c>
      <c r="F1396" s="2"/>
      <c r="G1396" s="2"/>
      <c r="H1396" s="3">
        <f t="shared" si="64"/>
        <v>3</v>
      </c>
      <c r="I1396" s="3">
        <f t="shared" si="65"/>
        <v>0</v>
      </c>
    </row>
    <row r="1397" spans="1:9" ht="18" customHeight="1" x14ac:dyDescent="0.25">
      <c r="A1397" s="4" t="s">
        <v>2728</v>
      </c>
      <c r="B1397" s="4" t="s">
        <v>2729</v>
      </c>
      <c r="C1397" s="5">
        <v>0</v>
      </c>
      <c r="D1397" s="5">
        <v>6</v>
      </c>
      <c r="E1397" s="4" t="str">
        <f t="shared" si="63"/>
        <v>REORDER NOW</v>
      </c>
      <c r="F1397" s="4"/>
      <c r="G1397" s="4"/>
      <c r="H1397" s="5">
        <f t="shared" si="64"/>
        <v>3</v>
      </c>
      <c r="I1397" s="5">
        <f t="shared" si="65"/>
        <v>0</v>
      </c>
    </row>
    <row r="1398" spans="1:9" ht="18" customHeight="1" x14ac:dyDescent="0.25">
      <c r="A1398" s="2" t="s">
        <v>2730</v>
      </c>
      <c r="B1398" s="2" t="s">
        <v>2731</v>
      </c>
      <c r="C1398" s="3">
        <v>1</v>
      </c>
      <c r="D1398" s="3">
        <v>6</v>
      </c>
      <c r="E1398" s="2" t="str">
        <f t="shared" si="63"/>
        <v>REORDER NOW</v>
      </c>
      <c r="F1398" s="2"/>
      <c r="G1398" s="2"/>
      <c r="H1398" s="3">
        <f t="shared" si="64"/>
        <v>3</v>
      </c>
      <c r="I1398" s="3">
        <f t="shared" si="65"/>
        <v>0.3</v>
      </c>
    </row>
    <row r="1399" spans="1:9" ht="18" customHeight="1" x14ac:dyDescent="0.25">
      <c r="A1399" s="4" t="s">
        <v>2732</v>
      </c>
      <c r="B1399" s="4" t="s">
        <v>2733</v>
      </c>
      <c r="C1399" s="5">
        <v>1</v>
      </c>
      <c r="D1399" s="5">
        <v>6</v>
      </c>
      <c r="E1399" s="4" t="str">
        <f t="shared" si="63"/>
        <v>REORDER NOW</v>
      </c>
      <c r="F1399" s="4"/>
      <c r="G1399" s="4"/>
      <c r="H1399" s="5">
        <f t="shared" si="64"/>
        <v>3</v>
      </c>
      <c r="I1399" s="5">
        <f t="shared" si="65"/>
        <v>0.3</v>
      </c>
    </row>
    <row r="1400" spans="1:9" ht="18" customHeight="1" x14ac:dyDescent="0.25">
      <c r="A1400" s="2" t="s">
        <v>2734</v>
      </c>
      <c r="B1400" s="2" t="s">
        <v>2735</v>
      </c>
      <c r="C1400" s="3">
        <v>0</v>
      </c>
      <c r="D1400" s="3">
        <v>6</v>
      </c>
      <c r="E1400" s="2" t="str">
        <f t="shared" si="63"/>
        <v>REORDER NOW</v>
      </c>
      <c r="F1400" s="2"/>
      <c r="G1400" s="2"/>
      <c r="H1400" s="3">
        <f t="shared" si="64"/>
        <v>3</v>
      </c>
      <c r="I1400" s="3">
        <f t="shared" si="65"/>
        <v>0</v>
      </c>
    </row>
    <row r="1401" spans="1:9" ht="18" customHeight="1" x14ac:dyDescent="0.25">
      <c r="A1401" s="4" t="s">
        <v>2736</v>
      </c>
      <c r="B1401" s="4" t="s">
        <v>2737</v>
      </c>
      <c r="C1401" s="5">
        <v>10</v>
      </c>
      <c r="D1401" s="5">
        <v>10</v>
      </c>
      <c r="E1401" s="4" t="str">
        <f t="shared" si="63"/>
        <v>REORDER NOW</v>
      </c>
      <c r="F1401" s="4"/>
      <c r="G1401" s="4"/>
      <c r="H1401" s="5">
        <f t="shared" si="64"/>
        <v>5</v>
      </c>
      <c r="I1401" s="5">
        <f t="shared" si="65"/>
        <v>2</v>
      </c>
    </row>
    <row r="1402" spans="1:9" ht="18" customHeight="1" x14ac:dyDescent="0.25">
      <c r="A1402" s="2" t="s">
        <v>2738</v>
      </c>
      <c r="B1402" s="2" t="s">
        <v>2739</v>
      </c>
      <c r="C1402" s="3">
        <v>0</v>
      </c>
      <c r="D1402" s="3">
        <v>6</v>
      </c>
      <c r="E1402" s="2" t="str">
        <f t="shared" si="63"/>
        <v>REORDER NOW</v>
      </c>
      <c r="F1402" s="2"/>
      <c r="G1402" s="2"/>
      <c r="H1402" s="3">
        <f t="shared" si="64"/>
        <v>3</v>
      </c>
      <c r="I1402" s="3">
        <f t="shared" si="65"/>
        <v>0</v>
      </c>
    </row>
    <row r="1403" spans="1:9" ht="18" customHeight="1" x14ac:dyDescent="0.25">
      <c r="A1403" s="4" t="s">
        <v>2740</v>
      </c>
      <c r="B1403" s="4" t="s">
        <v>2741</v>
      </c>
      <c r="C1403" s="5">
        <v>0</v>
      </c>
      <c r="D1403" s="5">
        <v>6</v>
      </c>
      <c r="E1403" s="4" t="str">
        <f t="shared" si="63"/>
        <v>REORDER NOW</v>
      </c>
      <c r="F1403" s="4"/>
      <c r="G1403" s="4"/>
      <c r="H1403" s="5">
        <f t="shared" si="64"/>
        <v>3</v>
      </c>
      <c r="I1403" s="5">
        <f t="shared" si="65"/>
        <v>0</v>
      </c>
    </row>
    <row r="1404" spans="1:9" ht="18" customHeight="1" x14ac:dyDescent="0.25">
      <c r="A1404" s="2" t="s">
        <v>2742</v>
      </c>
      <c r="B1404" s="2" t="s">
        <v>2743</v>
      </c>
      <c r="C1404" s="3">
        <v>0</v>
      </c>
      <c r="D1404" s="3">
        <v>6</v>
      </c>
      <c r="E1404" s="2" t="str">
        <f t="shared" si="63"/>
        <v>REORDER NOW</v>
      </c>
      <c r="F1404" s="2"/>
      <c r="G1404" s="2"/>
      <c r="H1404" s="3">
        <f t="shared" si="64"/>
        <v>3</v>
      </c>
      <c r="I1404" s="3">
        <f t="shared" si="65"/>
        <v>0</v>
      </c>
    </row>
    <row r="1405" spans="1:9" ht="18" customHeight="1" x14ac:dyDescent="0.25">
      <c r="A1405" s="4" t="s">
        <v>2744</v>
      </c>
      <c r="B1405" s="4" t="s">
        <v>2745</v>
      </c>
      <c r="C1405" s="5">
        <v>0</v>
      </c>
      <c r="D1405" s="5">
        <v>6</v>
      </c>
      <c r="E1405" s="4" t="str">
        <f t="shared" si="63"/>
        <v>REORDER NOW</v>
      </c>
      <c r="F1405" s="4"/>
      <c r="G1405" s="4"/>
      <c r="H1405" s="5">
        <f t="shared" si="64"/>
        <v>3</v>
      </c>
      <c r="I1405" s="5">
        <f t="shared" si="65"/>
        <v>0</v>
      </c>
    </row>
    <row r="1406" spans="1:9" ht="18" customHeight="1" x14ac:dyDescent="0.25">
      <c r="A1406" s="2" t="s">
        <v>2746</v>
      </c>
      <c r="B1406" s="2" t="s">
        <v>2747</v>
      </c>
      <c r="C1406" s="3">
        <v>4</v>
      </c>
      <c r="D1406" s="3">
        <v>6</v>
      </c>
      <c r="E1406" s="2" t="str">
        <f t="shared" si="63"/>
        <v>REORDER NOW</v>
      </c>
      <c r="F1406" s="2"/>
      <c r="G1406" s="2"/>
      <c r="H1406" s="3">
        <f t="shared" si="64"/>
        <v>3</v>
      </c>
      <c r="I1406" s="3">
        <f t="shared" si="65"/>
        <v>1.3</v>
      </c>
    </row>
    <row r="1407" spans="1:9" ht="18" customHeight="1" x14ac:dyDescent="0.25">
      <c r="A1407" s="4" t="s">
        <v>2748</v>
      </c>
      <c r="B1407" s="4" t="s">
        <v>2749</v>
      </c>
      <c r="C1407" s="5">
        <v>0</v>
      </c>
      <c r="D1407" s="5">
        <v>6</v>
      </c>
      <c r="E1407" s="4" t="str">
        <f t="shared" si="63"/>
        <v>REORDER NOW</v>
      </c>
      <c r="F1407" s="4"/>
      <c r="G1407" s="4"/>
      <c r="H1407" s="5">
        <f t="shared" si="64"/>
        <v>3</v>
      </c>
      <c r="I1407" s="5">
        <f t="shared" si="65"/>
        <v>0</v>
      </c>
    </row>
    <row r="1408" spans="1:9" ht="18" customHeight="1" x14ac:dyDescent="0.25">
      <c r="A1408" s="2" t="s">
        <v>2750</v>
      </c>
      <c r="B1408" s="2" t="s">
        <v>2751</v>
      </c>
      <c r="C1408" s="3">
        <v>0</v>
      </c>
      <c r="D1408" s="3">
        <v>6</v>
      </c>
      <c r="E1408" s="2" t="str">
        <f t="shared" si="63"/>
        <v>REORDER NOW</v>
      </c>
      <c r="F1408" s="2"/>
      <c r="G1408" s="2"/>
      <c r="H1408" s="3">
        <f t="shared" si="64"/>
        <v>3</v>
      </c>
      <c r="I1408" s="3">
        <f t="shared" si="65"/>
        <v>0</v>
      </c>
    </row>
    <row r="1409" spans="1:9" ht="18" customHeight="1" x14ac:dyDescent="0.25">
      <c r="A1409" s="4" t="s">
        <v>2752</v>
      </c>
      <c r="B1409" s="4" t="s">
        <v>2753</v>
      </c>
      <c r="C1409" s="5">
        <v>0</v>
      </c>
      <c r="D1409" s="5">
        <v>6</v>
      </c>
      <c r="E1409" s="4" t="str">
        <f t="shared" si="63"/>
        <v>REORDER NOW</v>
      </c>
      <c r="F1409" s="4"/>
      <c r="G1409" s="4"/>
      <c r="H1409" s="5">
        <f t="shared" si="64"/>
        <v>3</v>
      </c>
      <c r="I1409" s="5">
        <f t="shared" si="65"/>
        <v>0</v>
      </c>
    </row>
    <row r="1410" spans="1:9" ht="18" customHeight="1" x14ac:dyDescent="0.25">
      <c r="A1410" s="2" t="s">
        <v>2754</v>
      </c>
      <c r="B1410" s="2" t="s">
        <v>2755</v>
      </c>
      <c r="C1410" s="3">
        <v>0</v>
      </c>
      <c r="D1410" s="3">
        <v>6</v>
      </c>
      <c r="E1410" s="2" t="str">
        <f t="shared" si="63"/>
        <v>REORDER NOW</v>
      </c>
      <c r="F1410" s="2"/>
      <c r="G1410" s="2"/>
      <c r="H1410" s="3">
        <f t="shared" si="64"/>
        <v>3</v>
      </c>
      <c r="I1410" s="3">
        <f t="shared" si="65"/>
        <v>0</v>
      </c>
    </row>
    <row r="1411" spans="1:9" ht="18" customHeight="1" x14ac:dyDescent="0.25">
      <c r="A1411" s="4" t="s">
        <v>2756</v>
      </c>
      <c r="B1411" s="4" t="s">
        <v>2757</v>
      </c>
      <c r="C1411" s="5">
        <v>0</v>
      </c>
      <c r="D1411" s="5">
        <v>6</v>
      </c>
      <c r="E1411" s="4" t="str">
        <f t="shared" si="63"/>
        <v>REORDER NOW</v>
      </c>
      <c r="F1411" s="4"/>
      <c r="G1411" s="4"/>
      <c r="H1411" s="5">
        <f t="shared" si="64"/>
        <v>3</v>
      </c>
      <c r="I1411" s="5">
        <f t="shared" si="65"/>
        <v>0</v>
      </c>
    </row>
    <row r="1412" spans="1:9" ht="18" customHeight="1" x14ac:dyDescent="0.25">
      <c r="A1412" s="2" t="s">
        <v>2758</v>
      </c>
      <c r="B1412" s="2" t="s">
        <v>2759</v>
      </c>
      <c r="C1412" s="3">
        <v>2</v>
      </c>
      <c r="D1412" s="3">
        <v>6</v>
      </c>
      <c r="E1412" s="2" t="str">
        <f t="shared" ref="E1412:E1475" si="66">IF(C1412&lt;=D1412,"REORDER NOW","OK")</f>
        <v>REORDER NOW</v>
      </c>
      <c r="F1412" s="2"/>
      <c r="G1412" s="2"/>
      <c r="H1412" s="3">
        <f t="shared" ref="H1412:H1475" si="67">D1412/2</f>
        <v>3</v>
      </c>
      <c r="I1412" s="3">
        <f t="shared" ref="I1412:I1475" si="68">IF(H1412=0,"N/A",ROUND(C1412/H1412,1))</f>
        <v>0.7</v>
      </c>
    </row>
    <row r="1413" spans="1:9" ht="18" customHeight="1" x14ac:dyDescent="0.25">
      <c r="A1413" s="4" t="s">
        <v>2760</v>
      </c>
      <c r="B1413" s="4" t="s">
        <v>2761</v>
      </c>
      <c r="C1413" s="5">
        <v>0</v>
      </c>
      <c r="D1413" s="5">
        <v>6</v>
      </c>
      <c r="E1413" s="4" t="str">
        <f t="shared" si="66"/>
        <v>REORDER NOW</v>
      </c>
      <c r="F1413" s="4"/>
      <c r="G1413" s="4"/>
      <c r="H1413" s="5">
        <f t="shared" si="67"/>
        <v>3</v>
      </c>
      <c r="I1413" s="5">
        <f t="shared" si="68"/>
        <v>0</v>
      </c>
    </row>
    <row r="1414" spans="1:9" ht="18" customHeight="1" x14ac:dyDescent="0.25">
      <c r="A1414" s="2" t="s">
        <v>2762</v>
      </c>
      <c r="B1414" s="2" t="s">
        <v>2763</v>
      </c>
      <c r="C1414" s="3">
        <v>0</v>
      </c>
      <c r="D1414" s="3">
        <v>6</v>
      </c>
      <c r="E1414" s="2" t="str">
        <f t="shared" si="66"/>
        <v>REORDER NOW</v>
      </c>
      <c r="F1414" s="2"/>
      <c r="G1414" s="2"/>
      <c r="H1414" s="3">
        <f t="shared" si="67"/>
        <v>3</v>
      </c>
      <c r="I1414" s="3">
        <f t="shared" si="68"/>
        <v>0</v>
      </c>
    </row>
    <row r="1415" spans="1:9" ht="18" customHeight="1" x14ac:dyDescent="0.25">
      <c r="A1415" s="4" t="s">
        <v>2764</v>
      </c>
      <c r="B1415" s="4" t="s">
        <v>2765</v>
      </c>
      <c r="C1415" s="5">
        <v>0</v>
      </c>
      <c r="D1415" s="5">
        <v>6</v>
      </c>
      <c r="E1415" s="4" t="str">
        <f t="shared" si="66"/>
        <v>REORDER NOW</v>
      </c>
      <c r="F1415" s="4"/>
      <c r="G1415" s="4"/>
      <c r="H1415" s="5">
        <f t="shared" si="67"/>
        <v>3</v>
      </c>
      <c r="I1415" s="5">
        <f t="shared" si="68"/>
        <v>0</v>
      </c>
    </row>
    <row r="1416" spans="1:9" ht="18" customHeight="1" x14ac:dyDescent="0.25">
      <c r="A1416" s="2" t="s">
        <v>2766</v>
      </c>
      <c r="B1416" s="2" t="s">
        <v>2767</v>
      </c>
      <c r="C1416" s="3">
        <v>0</v>
      </c>
      <c r="D1416" s="3">
        <v>6</v>
      </c>
      <c r="E1416" s="2" t="str">
        <f t="shared" si="66"/>
        <v>REORDER NOW</v>
      </c>
      <c r="F1416" s="2"/>
      <c r="G1416" s="2"/>
      <c r="H1416" s="3">
        <f t="shared" si="67"/>
        <v>3</v>
      </c>
      <c r="I1416" s="3">
        <f t="shared" si="68"/>
        <v>0</v>
      </c>
    </row>
    <row r="1417" spans="1:9" ht="18" customHeight="1" x14ac:dyDescent="0.25">
      <c r="A1417" s="4" t="s">
        <v>2768</v>
      </c>
      <c r="B1417" s="4" t="s">
        <v>2769</v>
      </c>
      <c r="C1417" s="5">
        <v>0</v>
      </c>
      <c r="D1417" s="5">
        <v>6</v>
      </c>
      <c r="E1417" s="4" t="str">
        <f t="shared" si="66"/>
        <v>REORDER NOW</v>
      </c>
      <c r="F1417" s="4"/>
      <c r="G1417" s="4"/>
      <c r="H1417" s="5">
        <f t="shared" si="67"/>
        <v>3</v>
      </c>
      <c r="I1417" s="5">
        <f t="shared" si="68"/>
        <v>0</v>
      </c>
    </row>
    <row r="1418" spans="1:9" ht="18" customHeight="1" x14ac:dyDescent="0.25">
      <c r="A1418" s="2" t="s">
        <v>2770</v>
      </c>
      <c r="B1418" s="2" t="s">
        <v>2771</v>
      </c>
      <c r="C1418" s="3">
        <v>0</v>
      </c>
      <c r="D1418" s="3">
        <v>6</v>
      </c>
      <c r="E1418" s="2" t="str">
        <f t="shared" si="66"/>
        <v>REORDER NOW</v>
      </c>
      <c r="F1418" s="2"/>
      <c r="G1418" s="2"/>
      <c r="H1418" s="3">
        <f t="shared" si="67"/>
        <v>3</v>
      </c>
      <c r="I1418" s="3">
        <f t="shared" si="68"/>
        <v>0</v>
      </c>
    </row>
    <row r="1419" spans="1:9" ht="18" customHeight="1" x14ac:dyDescent="0.25">
      <c r="A1419" s="4" t="s">
        <v>2772</v>
      </c>
      <c r="B1419" s="4" t="s">
        <v>2773</v>
      </c>
      <c r="C1419" s="5">
        <v>0</v>
      </c>
      <c r="D1419" s="5">
        <v>6</v>
      </c>
      <c r="E1419" s="4" t="str">
        <f t="shared" si="66"/>
        <v>REORDER NOW</v>
      </c>
      <c r="F1419" s="4"/>
      <c r="G1419" s="4"/>
      <c r="H1419" s="5">
        <f t="shared" si="67"/>
        <v>3</v>
      </c>
      <c r="I1419" s="5">
        <f t="shared" si="68"/>
        <v>0</v>
      </c>
    </row>
    <row r="1420" spans="1:9" ht="18" customHeight="1" x14ac:dyDescent="0.25">
      <c r="A1420" s="2" t="s">
        <v>2774</v>
      </c>
      <c r="B1420" s="2" t="s">
        <v>2775</v>
      </c>
      <c r="C1420" s="3">
        <v>574</v>
      </c>
      <c r="D1420" s="3">
        <v>200</v>
      </c>
      <c r="E1420" s="2" t="str">
        <f t="shared" si="66"/>
        <v>OK</v>
      </c>
      <c r="F1420" s="2"/>
      <c r="G1420" s="2"/>
      <c r="H1420" s="3">
        <f t="shared" si="67"/>
        <v>100</v>
      </c>
      <c r="I1420" s="3">
        <f t="shared" si="68"/>
        <v>5.7</v>
      </c>
    </row>
    <row r="1421" spans="1:9" ht="18" customHeight="1" x14ac:dyDescent="0.25">
      <c r="A1421" s="4" t="s">
        <v>2776</v>
      </c>
      <c r="B1421" s="4" t="s">
        <v>2777</v>
      </c>
      <c r="C1421" s="5">
        <v>0</v>
      </c>
      <c r="D1421" s="5">
        <v>6</v>
      </c>
      <c r="E1421" s="4" t="str">
        <f t="shared" si="66"/>
        <v>REORDER NOW</v>
      </c>
      <c r="F1421" s="4"/>
      <c r="G1421" s="4"/>
      <c r="H1421" s="5">
        <f t="shared" si="67"/>
        <v>3</v>
      </c>
      <c r="I1421" s="5">
        <f t="shared" si="68"/>
        <v>0</v>
      </c>
    </row>
    <row r="1422" spans="1:9" ht="18" customHeight="1" x14ac:dyDescent="0.25">
      <c r="A1422" s="2" t="s">
        <v>2778</v>
      </c>
      <c r="B1422" s="2" t="s">
        <v>2779</v>
      </c>
      <c r="C1422" s="3">
        <v>0</v>
      </c>
      <c r="D1422" s="3">
        <v>6</v>
      </c>
      <c r="E1422" s="2" t="str">
        <f t="shared" si="66"/>
        <v>REORDER NOW</v>
      </c>
      <c r="F1422" s="2"/>
      <c r="G1422" s="2"/>
      <c r="H1422" s="3">
        <f t="shared" si="67"/>
        <v>3</v>
      </c>
      <c r="I1422" s="3">
        <f t="shared" si="68"/>
        <v>0</v>
      </c>
    </row>
    <row r="1423" spans="1:9" ht="18" customHeight="1" x14ac:dyDescent="0.25">
      <c r="A1423" s="4" t="s">
        <v>2780</v>
      </c>
      <c r="B1423" s="4" t="s">
        <v>2781</v>
      </c>
      <c r="C1423" s="5">
        <v>0</v>
      </c>
      <c r="D1423" s="5">
        <v>6</v>
      </c>
      <c r="E1423" s="4" t="str">
        <f t="shared" si="66"/>
        <v>REORDER NOW</v>
      </c>
      <c r="F1423" s="4"/>
      <c r="G1423" s="4"/>
      <c r="H1423" s="5">
        <f t="shared" si="67"/>
        <v>3</v>
      </c>
      <c r="I1423" s="5">
        <f t="shared" si="68"/>
        <v>0</v>
      </c>
    </row>
    <row r="1424" spans="1:9" ht="18" customHeight="1" x14ac:dyDescent="0.25">
      <c r="A1424" s="2" t="s">
        <v>2782</v>
      </c>
      <c r="B1424" s="2" t="s">
        <v>2783</v>
      </c>
      <c r="C1424" s="3">
        <v>0</v>
      </c>
      <c r="D1424" s="3">
        <v>6</v>
      </c>
      <c r="E1424" s="2" t="str">
        <f t="shared" si="66"/>
        <v>REORDER NOW</v>
      </c>
      <c r="F1424" s="2"/>
      <c r="G1424" s="2"/>
      <c r="H1424" s="3">
        <f t="shared" si="67"/>
        <v>3</v>
      </c>
      <c r="I1424" s="3">
        <f t="shared" si="68"/>
        <v>0</v>
      </c>
    </row>
    <row r="1425" spans="1:9" ht="18" customHeight="1" x14ac:dyDescent="0.25">
      <c r="A1425" s="4" t="s">
        <v>2784</v>
      </c>
      <c r="B1425" s="4" t="s">
        <v>2785</v>
      </c>
      <c r="C1425" s="5">
        <v>0</v>
      </c>
      <c r="D1425" s="5">
        <v>6</v>
      </c>
      <c r="E1425" s="4" t="str">
        <f t="shared" si="66"/>
        <v>REORDER NOW</v>
      </c>
      <c r="F1425" s="4"/>
      <c r="G1425" s="4"/>
      <c r="H1425" s="5">
        <f t="shared" si="67"/>
        <v>3</v>
      </c>
      <c r="I1425" s="5">
        <f t="shared" si="68"/>
        <v>0</v>
      </c>
    </row>
    <row r="1426" spans="1:9" ht="18" customHeight="1" x14ac:dyDescent="0.25">
      <c r="A1426" s="2" t="s">
        <v>2786</v>
      </c>
      <c r="B1426" s="2" t="s">
        <v>2787</v>
      </c>
      <c r="C1426" s="3">
        <v>0</v>
      </c>
      <c r="D1426" s="3">
        <v>6</v>
      </c>
      <c r="E1426" s="2" t="str">
        <f t="shared" si="66"/>
        <v>REORDER NOW</v>
      </c>
      <c r="F1426" s="2"/>
      <c r="G1426" s="2"/>
      <c r="H1426" s="3">
        <f t="shared" si="67"/>
        <v>3</v>
      </c>
      <c r="I1426" s="3">
        <f t="shared" si="68"/>
        <v>0</v>
      </c>
    </row>
    <row r="1427" spans="1:9" ht="18" customHeight="1" x14ac:dyDescent="0.25">
      <c r="A1427" s="4" t="s">
        <v>2788</v>
      </c>
      <c r="B1427" s="4" t="s">
        <v>2789</v>
      </c>
      <c r="C1427" s="5">
        <v>0</v>
      </c>
      <c r="D1427" s="5">
        <v>6</v>
      </c>
      <c r="E1427" s="4" t="str">
        <f t="shared" si="66"/>
        <v>REORDER NOW</v>
      </c>
      <c r="F1427" s="4"/>
      <c r="G1427" s="4"/>
      <c r="H1427" s="5">
        <f t="shared" si="67"/>
        <v>3</v>
      </c>
      <c r="I1427" s="5">
        <f t="shared" si="68"/>
        <v>0</v>
      </c>
    </row>
    <row r="1428" spans="1:9" ht="18" customHeight="1" x14ac:dyDescent="0.25">
      <c r="A1428" s="2" t="s">
        <v>2790</v>
      </c>
      <c r="B1428" s="2" t="s">
        <v>2791</v>
      </c>
      <c r="C1428" s="3">
        <v>0</v>
      </c>
      <c r="D1428" s="3">
        <v>6</v>
      </c>
      <c r="E1428" s="2" t="str">
        <f t="shared" si="66"/>
        <v>REORDER NOW</v>
      </c>
      <c r="F1428" s="2"/>
      <c r="G1428" s="2"/>
      <c r="H1428" s="3">
        <f t="shared" si="67"/>
        <v>3</v>
      </c>
      <c r="I1428" s="3">
        <f t="shared" si="68"/>
        <v>0</v>
      </c>
    </row>
    <row r="1429" spans="1:9" ht="18" customHeight="1" x14ac:dyDescent="0.25">
      <c r="A1429" s="4" t="s">
        <v>2792</v>
      </c>
      <c r="B1429" s="4" t="s">
        <v>1143</v>
      </c>
      <c r="C1429" s="5">
        <v>0</v>
      </c>
      <c r="D1429" s="5">
        <v>6</v>
      </c>
      <c r="E1429" s="4" t="str">
        <f t="shared" si="66"/>
        <v>REORDER NOW</v>
      </c>
      <c r="F1429" s="4"/>
      <c r="G1429" s="4"/>
      <c r="H1429" s="5">
        <f t="shared" si="67"/>
        <v>3</v>
      </c>
      <c r="I1429" s="5">
        <f t="shared" si="68"/>
        <v>0</v>
      </c>
    </row>
    <row r="1430" spans="1:9" ht="18" customHeight="1" x14ac:dyDescent="0.25">
      <c r="A1430" s="2" t="s">
        <v>2793</v>
      </c>
      <c r="B1430" s="2" t="s">
        <v>2794</v>
      </c>
      <c r="C1430" s="3">
        <v>0</v>
      </c>
      <c r="D1430" s="3">
        <v>6</v>
      </c>
      <c r="E1430" s="2" t="str">
        <f t="shared" si="66"/>
        <v>REORDER NOW</v>
      </c>
      <c r="F1430" s="2"/>
      <c r="G1430" s="2"/>
      <c r="H1430" s="3">
        <f t="shared" si="67"/>
        <v>3</v>
      </c>
      <c r="I1430" s="3">
        <f t="shared" si="68"/>
        <v>0</v>
      </c>
    </row>
    <row r="1431" spans="1:9" ht="18" customHeight="1" x14ac:dyDescent="0.25">
      <c r="A1431" s="4" t="s">
        <v>2795</v>
      </c>
      <c r="B1431" s="4" t="s">
        <v>2796</v>
      </c>
      <c r="C1431" s="5">
        <v>0</v>
      </c>
      <c r="D1431" s="5">
        <v>6</v>
      </c>
      <c r="E1431" s="4" t="str">
        <f t="shared" si="66"/>
        <v>REORDER NOW</v>
      </c>
      <c r="F1431" s="4"/>
      <c r="G1431" s="4"/>
      <c r="H1431" s="5">
        <f t="shared" si="67"/>
        <v>3</v>
      </c>
      <c r="I1431" s="5">
        <f t="shared" si="68"/>
        <v>0</v>
      </c>
    </row>
    <row r="1432" spans="1:9" ht="18" customHeight="1" x14ac:dyDescent="0.25">
      <c r="A1432" s="2" t="s">
        <v>2797</v>
      </c>
      <c r="B1432" s="2" t="s">
        <v>2798</v>
      </c>
      <c r="C1432" s="3">
        <v>0</v>
      </c>
      <c r="D1432" s="3">
        <v>6</v>
      </c>
      <c r="E1432" s="2" t="str">
        <f t="shared" si="66"/>
        <v>REORDER NOW</v>
      </c>
      <c r="F1432" s="2"/>
      <c r="G1432" s="2"/>
      <c r="H1432" s="3">
        <f t="shared" si="67"/>
        <v>3</v>
      </c>
      <c r="I1432" s="3">
        <f t="shared" si="68"/>
        <v>0</v>
      </c>
    </row>
    <row r="1433" spans="1:9" ht="18" customHeight="1" x14ac:dyDescent="0.25">
      <c r="A1433" s="4" t="s">
        <v>2799</v>
      </c>
      <c r="B1433" s="4" t="s">
        <v>2800</v>
      </c>
      <c r="C1433" s="5">
        <v>0</v>
      </c>
      <c r="D1433" s="5">
        <v>6</v>
      </c>
      <c r="E1433" s="4" t="str">
        <f t="shared" si="66"/>
        <v>REORDER NOW</v>
      </c>
      <c r="F1433" s="4"/>
      <c r="G1433" s="4"/>
      <c r="H1433" s="5">
        <f t="shared" si="67"/>
        <v>3</v>
      </c>
      <c r="I1433" s="5">
        <f t="shared" si="68"/>
        <v>0</v>
      </c>
    </row>
    <row r="1434" spans="1:9" ht="18" customHeight="1" x14ac:dyDescent="0.25">
      <c r="A1434" s="2" t="s">
        <v>2801</v>
      </c>
      <c r="B1434" s="2" t="s">
        <v>2802</v>
      </c>
      <c r="C1434" s="3">
        <v>0</v>
      </c>
      <c r="D1434" s="3">
        <v>6</v>
      </c>
      <c r="E1434" s="2" t="str">
        <f t="shared" si="66"/>
        <v>REORDER NOW</v>
      </c>
      <c r="F1434" s="2"/>
      <c r="G1434" s="2"/>
      <c r="H1434" s="3">
        <f t="shared" si="67"/>
        <v>3</v>
      </c>
      <c r="I1434" s="3">
        <f t="shared" si="68"/>
        <v>0</v>
      </c>
    </row>
    <row r="1435" spans="1:9" ht="18" customHeight="1" x14ac:dyDescent="0.25">
      <c r="A1435" s="4" t="s">
        <v>2803</v>
      </c>
      <c r="B1435" s="4" t="s">
        <v>2804</v>
      </c>
      <c r="C1435" s="5">
        <v>0</v>
      </c>
      <c r="D1435" s="5">
        <v>6</v>
      </c>
      <c r="E1435" s="4" t="str">
        <f t="shared" si="66"/>
        <v>REORDER NOW</v>
      </c>
      <c r="F1435" s="4"/>
      <c r="G1435" s="4"/>
      <c r="H1435" s="5">
        <f t="shared" si="67"/>
        <v>3</v>
      </c>
      <c r="I1435" s="5">
        <f t="shared" si="68"/>
        <v>0</v>
      </c>
    </row>
    <row r="1436" spans="1:9" ht="18" customHeight="1" x14ac:dyDescent="0.25">
      <c r="A1436" s="2" t="s">
        <v>2805</v>
      </c>
      <c r="B1436" s="2" t="s">
        <v>2806</v>
      </c>
      <c r="C1436" s="3">
        <v>0</v>
      </c>
      <c r="D1436" s="3">
        <v>6</v>
      </c>
      <c r="E1436" s="2" t="str">
        <f t="shared" si="66"/>
        <v>REORDER NOW</v>
      </c>
      <c r="F1436" s="2"/>
      <c r="G1436" s="2"/>
      <c r="H1436" s="3">
        <f t="shared" si="67"/>
        <v>3</v>
      </c>
      <c r="I1436" s="3">
        <f t="shared" si="68"/>
        <v>0</v>
      </c>
    </row>
    <row r="1437" spans="1:9" ht="18" customHeight="1" x14ac:dyDescent="0.25">
      <c r="A1437" s="4" t="s">
        <v>2807</v>
      </c>
      <c r="B1437" s="4" t="s">
        <v>2808</v>
      </c>
      <c r="C1437" s="5">
        <v>0</v>
      </c>
      <c r="D1437" s="5">
        <v>6</v>
      </c>
      <c r="E1437" s="4" t="str">
        <f t="shared" si="66"/>
        <v>REORDER NOW</v>
      </c>
      <c r="F1437" s="4"/>
      <c r="G1437" s="4"/>
      <c r="H1437" s="5">
        <f t="shared" si="67"/>
        <v>3</v>
      </c>
      <c r="I1437" s="5">
        <f t="shared" si="68"/>
        <v>0</v>
      </c>
    </row>
    <row r="1438" spans="1:9" ht="18" customHeight="1" x14ac:dyDescent="0.25">
      <c r="A1438" s="2" t="s">
        <v>2809</v>
      </c>
      <c r="B1438" s="2" t="s">
        <v>2810</v>
      </c>
      <c r="C1438" s="3">
        <v>0</v>
      </c>
      <c r="D1438" s="3">
        <v>6</v>
      </c>
      <c r="E1438" s="2" t="str">
        <f t="shared" si="66"/>
        <v>REORDER NOW</v>
      </c>
      <c r="F1438" s="2"/>
      <c r="G1438" s="2"/>
      <c r="H1438" s="3">
        <f t="shared" si="67"/>
        <v>3</v>
      </c>
      <c r="I1438" s="3">
        <f t="shared" si="68"/>
        <v>0</v>
      </c>
    </row>
    <row r="1439" spans="1:9" ht="18" customHeight="1" x14ac:dyDescent="0.25">
      <c r="A1439" s="4" t="s">
        <v>2811</v>
      </c>
      <c r="B1439" s="4" t="s">
        <v>2812</v>
      </c>
      <c r="C1439" s="5">
        <v>0</v>
      </c>
      <c r="D1439" s="5">
        <v>6</v>
      </c>
      <c r="E1439" s="4" t="str">
        <f t="shared" si="66"/>
        <v>REORDER NOW</v>
      </c>
      <c r="F1439" s="4"/>
      <c r="G1439" s="4"/>
      <c r="H1439" s="5">
        <f t="shared" si="67"/>
        <v>3</v>
      </c>
      <c r="I1439" s="5">
        <f t="shared" si="68"/>
        <v>0</v>
      </c>
    </row>
    <row r="1440" spans="1:9" ht="18" customHeight="1" x14ac:dyDescent="0.25">
      <c r="A1440" s="2" t="s">
        <v>2813</v>
      </c>
      <c r="B1440" s="2" t="s">
        <v>2814</v>
      </c>
      <c r="C1440" s="3">
        <v>0</v>
      </c>
      <c r="D1440" s="3">
        <v>6</v>
      </c>
      <c r="E1440" s="2" t="str">
        <f t="shared" si="66"/>
        <v>REORDER NOW</v>
      </c>
      <c r="F1440" s="2"/>
      <c r="G1440" s="2"/>
      <c r="H1440" s="3">
        <f t="shared" si="67"/>
        <v>3</v>
      </c>
      <c r="I1440" s="3">
        <f t="shared" si="68"/>
        <v>0</v>
      </c>
    </row>
    <row r="1441" spans="1:9" ht="18" customHeight="1" x14ac:dyDescent="0.25">
      <c r="A1441" s="4" t="s">
        <v>2815</v>
      </c>
      <c r="B1441" s="4" t="s">
        <v>2816</v>
      </c>
      <c r="C1441" s="5">
        <v>0</v>
      </c>
      <c r="D1441" s="5">
        <v>6</v>
      </c>
      <c r="E1441" s="4" t="str">
        <f t="shared" si="66"/>
        <v>REORDER NOW</v>
      </c>
      <c r="F1441" s="4"/>
      <c r="G1441" s="4"/>
      <c r="H1441" s="5">
        <f t="shared" si="67"/>
        <v>3</v>
      </c>
      <c r="I1441" s="5">
        <f t="shared" si="68"/>
        <v>0</v>
      </c>
    </row>
    <row r="1442" spans="1:9" ht="18" customHeight="1" x14ac:dyDescent="0.25">
      <c r="A1442" s="2" t="s">
        <v>2817</v>
      </c>
      <c r="B1442" s="2" t="s">
        <v>2818</v>
      </c>
      <c r="C1442" s="3">
        <v>0</v>
      </c>
      <c r="D1442" s="3">
        <v>6</v>
      </c>
      <c r="E1442" s="2" t="str">
        <f t="shared" si="66"/>
        <v>REORDER NOW</v>
      </c>
      <c r="F1442" s="2"/>
      <c r="G1442" s="2"/>
      <c r="H1442" s="3">
        <f t="shared" si="67"/>
        <v>3</v>
      </c>
      <c r="I1442" s="3">
        <f t="shared" si="68"/>
        <v>0</v>
      </c>
    </row>
    <row r="1443" spans="1:9" ht="18" customHeight="1" x14ac:dyDescent="0.25">
      <c r="A1443" s="4" t="s">
        <v>2819</v>
      </c>
      <c r="B1443" s="4" t="s">
        <v>2820</v>
      </c>
      <c r="C1443" s="5">
        <v>100</v>
      </c>
      <c r="D1443" s="5">
        <v>40</v>
      </c>
      <c r="E1443" s="4" t="str">
        <f t="shared" si="66"/>
        <v>OK</v>
      </c>
      <c r="F1443" s="4"/>
      <c r="G1443" s="4"/>
      <c r="H1443" s="5">
        <f t="shared" si="67"/>
        <v>20</v>
      </c>
      <c r="I1443" s="5">
        <f t="shared" si="68"/>
        <v>5</v>
      </c>
    </row>
    <row r="1444" spans="1:9" ht="18" customHeight="1" x14ac:dyDescent="0.25">
      <c r="A1444" s="2" t="s">
        <v>2821</v>
      </c>
      <c r="B1444" s="2" t="s">
        <v>2822</v>
      </c>
      <c r="C1444" s="3">
        <v>2</v>
      </c>
      <c r="D1444" s="3">
        <v>6</v>
      </c>
      <c r="E1444" s="2" t="str">
        <f t="shared" si="66"/>
        <v>REORDER NOW</v>
      </c>
      <c r="F1444" s="2"/>
      <c r="G1444" s="2"/>
      <c r="H1444" s="3">
        <f t="shared" si="67"/>
        <v>3</v>
      </c>
      <c r="I1444" s="3">
        <f t="shared" si="68"/>
        <v>0.7</v>
      </c>
    </row>
    <row r="1445" spans="1:9" ht="18" customHeight="1" x14ac:dyDescent="0.25">
      <c r="A1445" s="4" t="s">
        <v>2823</v>
      </c>
      <c r="B1445" s="4" t="s">
        <v>2824</v>
      </c>
      <c r="C1445" s="5">
        <v>0</v>
      </c>
      <c r="D1445" s="5">
        <v>6</v>
      </c>
      <c r="E1445" s="4" t="str">
        <f t="shared" si="66"/>
        <v>REORDER NOW</v>
      </c>
      <c r="F1445" s="4"/>
      <c r="G1445" s="4"/>
      <c r="H1445" s="5">
        <f t="shared" si="67"/>
        <v>3</v>
      </c>
      <c r="I1445" s="5">
        <f t="shared" si="68"/>
        <v>0</v>
      </c>
    </row>
    <row r="1446" spans="1:9" ht="18" customHeight="1" x14ac:dyDescent="0.25">
      <c r="A1446" s="2" t="s">
        <v>2825</v>
      </c>
      <c r="B1446" s="2" t="s">
        <v>2826</v>
      </c>
      <c r="C1446" s="3">
        <v>0</v>
      </c>
      <c r="D1446" s="3">
        <v>6</v>
      </c>
      <c r="E1446" s="2" t="str">
        <f t="shared" si="66"/>
        <v>REORDER NOW</v>
      </c>
      <c r="F1446" s="2"/>
      <c r="G1446" s="2"/>
      <c r="H1446" s="3">
        <f t="shared" si="67"/>
        <v>3</v>
      </c>
      <c r="I1446" s="3">
        <f t="shared" si="68"/>
        <v>0</v>
      </c>
    </row>
    <row r="1447" spans="1:9" ht="18" customHeight="1" x14ac:dyDescent="0.25">
      <c r="A1447" s="4" t="s">
        <v>2827</v>
      </c>
      <c r="B1447" s="4" t="s">
        <v>2828</v>
      </c>
      <c r="C1447" s="5">
        <v>1</v>
      </c>
      <c r="D1447" s="5">
        <v>6</v>
      </c>
      <c r="E1447" s="4" t="str">
        <f t="shared" si="66"/>
        <v>REORDER NOW</v>
      </c>
      <c r="F1447" s="4"/>
      <c r="G1447" s="4"/>
      <c r="H1447" s="5">
        <f t="shared" si="67"/>
        <v>3</v>
      </c>
      <c r="I1447" s="5">
        <f t="shared" si="68"/>
        <v>0.3</v>
      </c>
    </row>
    <row r="1448" spans="1:9" ht="18" customHeight="1" x14ac:dyDescent="0.25">
      <c r="A1448" s="2" t="s">
        <v>2829</v>
      </c>
      <c r="B1448" s="2" t="s">
        <v>2830</v>
      </c>
      <c r="C1448" s="3">
        <v>0</v>
      </c>
      <c r="D1448" s="3">
        <v>6</v>
      </c>
      <c r="E1448" s="2" t="str">
        <f t="shared" si="66"/>
        <v>REORDER NOW</v>
      </c>
      <c r="F1448" s="2"/>
      <c r="G1448" s="2"/>
      <c r="H1448" s="3">
        <f t="shared" si="67"/>
        <v>3</v>
      </c>
      <c r="I1448" s="3">
        <f t="shared" si="68"/>
        <v>0</v>
      </c>
    </row>
    <row r="1449" spans="1:9" ht="18" customHeight="1" x14ac:dyDescent="0.25">
      <c r="A1449" s="4" t="s">
        <v>2831</v>
      </c>
      <c r="B1449" s="4" t="s">
        <v>2832</v>
      </c>
      <c r="C1449" s="5">
        <v>1</v>
      </c>
      <c r="D1449" s="5">
        <v>6</v>
      </c>
      <c r="E1449" s="4" t="str">
        <f t="shared" si="66"/>
        <v>REORDER NOW</v>
      </c>
      <c r="F1449" s="4"/>
      <c r="G1449" s="4"/>
      <c r="H1449" s="5">
        <f t="shared" si="67"/>
        <v>3</v>
      </c>
      <c r="I1449" s="5">
        <f t="shared" si="68"/>
        <v>0.3</v>
      </c>
    </row>
    <row r="1450" spans="1:9" ht="18" customHeight="1" x14ac:dyDescent="0.25">
      <c r="A1450" s="2" t="s">
        <v>2833</v>
      </c>
      <c r="B1450" s="2" t="s">
        <v>2834</v>
      </c>
      <c r="C1450" s="3">
        <v>1</v>
      </c>
      <c r="D1450" s="3">
        <v>6</v>
      </c>
      <c r="E1450" s="2" t="str">
        <f t="shared" si="66"/>
        <v>REORDER NOW</v>
      </c>
      <c r="F1450" s="2"/>
      <c r="G1450" s="2"/>
      <c r="H1450" s="3">
        <f t="shared" si="67"/>
        <v>3</v>
      </c>
      <c r="I1450" s="3">
        <f t="shared" si="68"/>
        <v>0.3</v>
      </c>
    </row>
    <row r="1451" spans="1:9" ht="18" customHeight="1" x14ac:dyDescent="0.25">
      <c r="A1451" s="4" t="s">
        <v>2835</v>
      </c>
      <c r="B1451" s="4" t="s">
        <v>2836</v>
      </c>
      <c r="C1451" s="5">
        <v>0</v>
      </c>
      <c r="D1451" s="5">
        <v>6</v>
      </c>
      <c r="E1451" s="4" t="str">
        <f t="shared" si="66"/>
        <v>REORDER NOW</v>
      </c>
      <c r="F1451" s="4"/>
      <c r="G1451" s="4"/>
      <c r="H1451" s="5">
        <f t="shared" si="67"/>
        <v>3</v>
      </c>
      <c r="I1451" s="5">
        <f t="shared" si="68"/>
        <v>0</v>
      </c>
    </row>
    <row r="1452" spans="1:9" ht="18" customHeight="1" x14ac:dyDescent="0.25">
      <c r="A1452" s="2" t="s">
        <v>2837</v>
      </c>
      <c r="B1452" s="2" t="s">
        <v>1143</v>
      </c>
      <c r="C1452" s="3">
        <v>0</v>
      </c>
      <c r="D1452" s="3">
        <v>6</v>
      </c>
      <c r="E1452" s="2" t="str">
        <f t="shared" si="66"/>
        <v>REORDER NOW</v>
      </c>
      <c r="F1452" s="2"/>
      <c r="G1452" s="2"/>
      <c r="H1452" s="3">
        <f t="shared" si="67"/>
        <v>3</v>
      </c>
      <c r="I1452" s="3">
        <f t="shared" si="68"/>
        <v>0</v>
      </c>
    </row>
    <row r="1453" spans="1:9" ht="18" customHeight="1" x14ac:dyDescent="0.25">
      <c r="A1453" s="4" t="s">
        <v>2838</v>
      </c>
      <c r="B1453" s="4" t="s">
        <v>2839</v>
      </c>
      <c r="C1453" s="5">
        <v>0</v>
      </c>
      <c r="D1453" s="5">
        <v>6</v>
      </c>
      <c r="E1453" s="4" t="str">
        <f t="shared" si="66"/>
        <v>REORDER NOW</v>
      </c>
      <c r="F1453" s="4"/>
      <c r="G1453" s="4"/>
      <c r="H1453" s="5">
        <f t="shared" si="67"/>
        <v>3</v>
      </c>
      <c r="I1453" s="5">
        <f t="shared" si="68"/>
        <v>0</v>
      </c>
    </row>
    <row r="1454" spans="1:9" ht="18" customHeight="1" x14ac:dyDescent="0.25">
      <c r="A1454" s="2" t="s">
        <v>2840</v>
      </c>
      <c r="B1454" s="2" t="s">
        <v>2841</v>
      </c>
      <c r="C1454" s="3">
        <v>0</v>
      </c>
      <c r="D1454" s="3">
        <v>6</v>
      </c>
      <c r="E1454" s="2" t="str">
        <f t="shared" si="66"/>
        <v>REORDER NOW</v>
      </c>
      <c r="F1454" s="2"/>
      <c r="G1454" s="2"/>
      <c r="H1454" s="3">
        <f t="shared" si="67"/>
        <v>3</v>
      </c>
      <c r="I1454" s="3">
        <f t="shared" si="68"/>
        <v>0</v>
      </c>
    </row>
    <row r="1455" spans="1:9" ht="18" customHeight="1" x14ac:dyDescent="0.25">
      <c r="A1455" s="4" t="s">
        <v>2842</v>
      </c>
      <c r="B1455" s="4" t="s">
        <v>2843</v>
      </c>
      <c r="C1455" s="5">
        <v>0</v>
      </c>
      <c r="D1455" s="5">
        <v>6</v>
      </c>
      <c r="E1455" s="4" t="str">
        <f t="shared" si="66"/>
        <v>REORDER NOW</v>
      </c>
      <c r="F1455" s="4"/>
      <c r="G1455" s="4"/>
      <c r="H1455" s="5">
        <f t="shared" si="67"/>
        <v>3</v>
      </c>
      <c r="I1455" s="5">
        <f t="shared" si="68"/>
        <v>0</v>
      </c>
    </row>
    <row r="1456" spans="1:9" ht="18" customHeight="1" x14ac:dyDescent="0.25">
      <c r="A1456" s="2" t="s">
        <v>2844</v>
      </c>
      <c r="B1456" s="2" t="s">
        <v>2845</v>
      </c>
      <c r="C1456" s="3">
        <v>0</v>
      </c>
      <c r="D1456" s="3">
        <v>6</v>
      </c>
      <c r="E1456" s="2" t="str">
        <f t="shared" si="66"/>
        <v>REORDER NOW</v>
      </c>
      <c r="F1456" s="2"/>
      <c r="G1456" s="2"/>
      <c r="H1456" s="3">
        <f t="shared" si="67"/>
        <v>3</v>
      </c>
      <c r="I1456" s="3">
        <f t="shared" si="68"/>
        <v>0</v>
      </c>
    </row>
    <row r="1457" spans="1:9" ht="18" customHeight="1" x14ac:dyDescent="0.25">
      <c r="A1457" s="4" t="s">
        <v>2846</v>
      </c>
      <c r="B1457" s="4" t="s">
        <v>2847</v>
      </c>
      <c r="C1457" s="5">
        <v>0</v>
      </c>
      <c r="D1457" s="5">
        <v>6</v>
      </c>
      <c r="E1457" s="4" t="str">
        <f t="shared" si="66"/>
        <v>REORDER NOW</v>
      </c>
      <c r="F1457" s="4"/>
      <c r="G1457" s="4"/>
      <c r="H1457" s="5">
        <f t="shared" si="67"/>
        <v>3</v>
      </c>
      <c r="I1457" s="5">
        <f t="shared" si="68"/>
        <v>0</v>
      </c>
    </row>
    <row r="1458" spans="1:9" ht="18" customHeight="1" x14ac:dyDescent="0.25">
      <c r="A1458" s="2" t="s">
        <v>2848</v>
      </c>
      <c r="B1458" s="2" t="s">
        <v>2144</v>
      </c>
      <c r="C1458" s="3">
        <v>0</v>
      </c>
      <c r="D1458" s="3">
        <v>6</v>
      </c>
      <c r="E1458" s="2" t="str">
        <f t="shared" si="66"/>
        <v>REORDER NOW</v>
      </c>
      <c r="F1458" s="2"/>
      <c r="G1458" s="2"/>
      <c r="H1458" s="3">
        <f t="shared" si="67"/>
        <v>3</v>
      </c>
      <c r="I1458" s="3">
        <f t="shared" si="68"/>
        <v>0</v>
      </c>
    </row>
    <row r="1459" spans="1:9" ht="18" customHeight="1" x14ac:dyDescent="0.25">
      <c r="A1459" s="4" t="s">
        <v>2849</v>
      </c>
      <c r="B1459" s="4" t="s">
        <v>2850</v>
      </c>
      <c r="C1459" s="5">
        <v>0</v>
      </c>
      <c r="D1459" s="5">
        <v>6</v>
      </c>
      <c r="E1459" s="4" t="str">
        <f t="shared" si="66"/>
        <v>REORDER NOW</v>
      </c>
      <c r="F1459" s="4"/>
      <c r="G1459" s="4"/>
      <c r="H1459" s="5">
        <f t="shared" si="67"/>
        <v>3</v>
      </c>
      <c r="I1459" s="5">
        <f t="shared" si="68"/>
        <v>0</v>
      </c>
    </row>
    <row r="1460" spans="1:9" ht="18" customHeight="1" x14ac:dyDescent="0.25">
      <c r="A1460" s="2" t="s">
        <v>2851</v>
      </c>
      <c r="B1460" s="2" t="s">
        <v>2852</v>
      </c>
      <c r="C1460" s="3">
        <v>0</v>
      </c>
      <c r="D1460" s="3">
        <v>6</v>
      </c>
      <c r="E1460" s="2" t="str">
        <f t="shared" si="66"/>
        <v>REORDER NOW</v>
      </c>
      <c r="F1460" s="2"/>
      <c r="G1460" s="2"/>
      <c r="H1460" s="3">
        <f t="shared" si="67"/>
        <v>3</v>
      </c>
      <c r="I1460" s="3">
        <f t="shared" si="68"/>
        <v>0</v>
      </c>
    </row>
    <row r="1461" spans="1:9" ht="18" customHeight="1" x14ac:dyDescent="0.25">
      <c r="A1461" s="4" t="s">
        <v>2853</v>
      </c>
      <c r="B1461" s="4" t="s">
        <v>2854</v>
      </c>
      <c r="C1461" s="5">
        <v>0</v>
      </c>
      <c r="D1461" s="5">
        <v>6</v>
      </c>
      <c r="E1461" s="4" t="str">
        <f t="shared" si="66"/>
        <v>REORDER NOW</v>
      </c>
      <c r="F1461" s="4"/>
      <c r="G1461" s="4"/>
      <c r="H1461" s="5">
        <f t="shared" si="67"/>
        <v>3</v>
      </c>
      <c r="I1461" s="5">
        <f t="shared" si="68"/>
        <v>0</v>
      </c>
    </row>
    <row r="1462" spans="1:9" ht="18" customHeight="1" x14ac:dyDescent="0.25">
      <c r="A1462" s="2" t="s">
        <v>2855</v>
      </c>
      <c r="B1462" s="2" t="s">
        <v>2856</v>
      </c>
      <c r="C1462" s="3">
        <v>1</v>
      </c>
      <c r="D1462" s="3">
        <v>6</v>
      </c>
      <c r="E1462" s="2" t="str">
        <f t="shared" si="66"/>
        <v>REORDER NOW</v>
      </c>
      <c r="F1462" s="2"/>
      <c r="G1462" s="2"/>
      <c r="H1462" s="3">
        <f t="shared" si="67"/>
        <v>3</v>
      </c>
      <c r="I1462" s="3">
        <f t="shared" si="68"/>
        <v>0.3</v>
      </c>
    </row>
    <row r="1463" spans="1:9" ht="18" customHeight="1" x14ac:dyDescent="0.25">
      <c r="A1463" s="4" t="s">
        <v>2857</v>
      </c>
      <c r="B1463" s="4" t="s">
        <v>2858</v>
      </c>
      <c r="C1463" s="5">
        <v>0</v>
      </c>
      <c r="D1463" s="5">
        <v>6</v>
      </c>
      <c r="E1463" s="4" t="str">
        <f t="shared" si="66"/>
        <v>REORDER NOW</v>
      </c>
      <c r="F1463" s="4"/>
      <c r="G1463" s="4"/>
      <c r="H1463" s="5">
        <f t="shared" si="67"/>
        <v>3</v>
      </c>
      <c r="I1463" s="5">
        <f t="shared" si="68"/>
        <v>0</v>
      </c>
    </row>
    <row r="1464" spans="1:9" ht="18" customHeight="1" x14ac:dyDescent="0.25">
      <c r="A1464" s="2" t="s">
        <v>2859</v>
      </c>
      <c r="B1464" s="2" t="s">
        <v>2860</v>
      </c>
      <c r="C1464" s="3">
        <v>0</v>
      </c>
      <c r="D1464" s="3">
        <v>6</v>
      </c>
      <c r="E1464" s="2" t="str">
        <f t="shared" si="66"/>
        <v>REORDER NOW</v>
      </c>
      <c r="F1464" s="2"/>
      <c r="G1464" s="2"/>
      <c r="H1464" s="3">
        <f t="shared" si="67"/>
        <v>3</v>
      </c>
      <c r="I1464" s="3">
        <f t="shared" si="68"/>
        <v>0</v>
      </c>
    </row>
    <row r="1465" spans="1:9" ht="18" customHeight="1" x14ac:dyDescent="0.25">
      <c r="A1465" s="4" t="s">
        <v>2861</v>
      </c>
      <c r="B1465" s="4" t="s">
        <v>2862</v>
      </c>
      <c r="C1465" s="5">
        <v>0</v>
      </c>
      <c r="D1465" s="5">
        <v>6</v>
      </c>
      <c r="E1465" s="4" t="str">
        <f t="shared" si="66"/>
        <v>REORDER NOW</v>
      </c>
      <c r="F1465" s="4"/>
      <c r="G1465" s="4"/>
      <c r="H1465" s="5">
        <f t="shared" si="67"/>
        <v>3</v>
      </c>
      <c r="I1465" s="5">
        <f t="shared" si="68"/>
        <v>0</v>
      </c>
    </row>
    <row r="1466" spans="1:9" ht="18" customHeight="1" x14ac:dyDescent="0.25">
      <c r="A1466" s="2" t="s">
        <v>2863</v>
      </c>
      <c r="B1466" s="2" t="s">
        <v>2864</v>
      </c>
      <c r="C1466" s="3">
        <v>0</v>
      </c>
      <c r="D1466" s="3">
        <v>6</v>
      </c>
      <c r="E1466" s="2" t="str">
        <f t="shared" si="66"/>
        <v>REORDER NOW</v>
      </c>
      <c r="F1466" s="2"/>
      <c r="G1466" s="2"/>
      <c r="H1466" s="3">
        <f t="shared" si="67"/>
        <v>3</v>
      </c>
      <c r="I1466" s="3">
        <f t="shared" si="68"/>
        <v>0</v>
      </c>
    </row>
    <row r="1467" spans="1:9" ht="18" customHeight="1" x14ac:dyDescent="0.25">
      <c r="A1467" s="4" t="s">
        <v>2865</v>
      </c>
      <c r="B1467" s="4" t="s">
        <v>2866</v>
      </c>
      <c r="C1467" s="5">
        <v>0</v>
      </c>
      <c r="D1467" s="5">
        <v>6</v>
      </c>
      <c r="E1467" s="4" t="str">
        <f t="shared" si="66"/>
        <v>REORDER NOW</v>
      </c>
      <c r="F1467" s="4"/>
      <c r="G1467" s="4"/>
      <c r="H1467" s="5">
        <f t="shared" si="67"/>
        <v>3</v>
      </c>
      <c r="I1467" s="5">
        <f t="shared" si="68"/>
        <v>0</v>
      </c>
    </row>
    <row r="1468" spans="1:9" ht="18" customHeight="1" x14ac:dyDescent="0.25">
      <c r="A1468" s="2" t="s">
        <v>2867</v>
      </c>
      <c r="B1468" s="2" t="s">
        <v>2868</v>
      </c>
      <c r="C1468" s="3">
        <v>0</v>
      </c>
      <c r="D1468" s="3">
        <v>6</v>
      </c>
      <c r="E1468" s="2" t="str">
        <f t="shared" si="66"/>
        <v>REORDER NOW</v>
      </c>
      <c r="F1468" s="2"/>
      <c r="G1468" s="2"/>
      <c r="H1468" s="3">
        <f t="shared" si="67"/>
        <v>3</v>
      </c>
      <c r="I1468" s="3">
        <f t="shared" si="68"/>
        <v>0</v>
      </c>
    </row>
    <row r="1469" spans="1:9" ht="18" customHeight="1" x14ac:dyDescent="0.25">
      <c r="A1469" s="4" t="s">
        <v>2869</v>
      </c>
      <c r="B1469" s="4" t="s">
        <v>2870</v>
      </c>
      <c r="C1469" s="5">
        <v>0</v>
      </c>
      <c r="D1469" s="5">
        <v>6</v>
      </c>
      <c r="E1469" s="4" t="str">
        <f t="shared" si="66"/>
        <v>REORDER NOW</v>
      </c>
      <c r="F1469" s="4"/>
      <c r="G1469" s="4"/>
      <c r="H1469" s="5">
        <f t="shared" si="67"/>
        <v>3</v>
      </c>
      <c r="I1469" s="5">
        <f t="shared" si="68"/>
        <v>0</v>
      </c>
    </row>
    <row r="1470" spans="1:9" ht="18" customHeight="1" x14ac:dyDescent="0.25">
      <c r="A1470" s="2" t="s">
        <v>2871</v>
      </c>
      <c r="B1470" s="2" t="s">
        <v>2872</v>
      </c>
      <c r="C1470" s="3">
        <v>0</v>
      </c>
      <c r="D1470" s="3">
        <v>6</v>
      </c>
      <c r="E1470" s="2" t="str">
        <f t="shared" si="66"/>
        <v>REORDER NOW</v>
      </c>
      <c r="F1470" s="2"/>
      <c r="G1470" s="2"/>
      <c r="H1470" s="3">
        <f t="shared" si="67"/>
        <v>3</v>
      </c>
      <c r="I1470" s="3">
        <f t="shared" si="68"/>
        <v>0</v>
      </c>
    </row>
    <row r="1471" spans="1:9" ht="18" customHeight="1" x14ac:dyDescent="0.25">
      <c r="A1471" s="4" t="s">
        <v>2873</v>
      </c>
      <c r="B1471" s="4" t="s">
        <v>2874</v>
      </c>
      <c r="C1471" s="5">
        <v>0</v>
      </c>
      <c r="D1471" s="5">
        <v>6</v>
      </c>
      <c r="E1471" s="4" t="str">
        <f t="shared" si="66"/>
        <v>REORDER NOW</v>
      </c>
      <c r="F1471" s="4"/>
      <c r="G1471" s="4"/>
      <c r="H1471" s="5">
        <f t="shared" si="67"/>
        <v>3</v>
      </c>
      <c r="I1471" s="5">
        <f t="shared" si="68"/>
        <v>0</v>
      </c>
    </row>
    <row r="1472" spans="1:9" ht="18" customHeight="1" x14ac:dyDescent="0.25">
      <c r="A1472" s="2" t="s">
        <v>2875</v>
      </c>
      <c r="B1472" s="2" t="s">
        <v>2876</v>
      </c>
      <c r="C1472" s="3">
        <v>0</v>
      </c>
      <c r="D1472" s="3">
        <v>6</v>
      </c>
      <c r="E1472" s="2" t="str">
        <f t="shared" si="66"/>
        <v>REORDER NOW</v>
      </c>
      <c r="F1472" s="2"/>
      <c r="G1472" s="2"/>
      <c r="H1472" s="3">
        <f t="shared" si="67"/>
        <v>3</v>
      </c>
      <c r="I1472" s="3">
        <f t="shared" si="68"/>
        <v>0</v>
      </c>
    </row>
    <row r="1473" spans="1:9" ht="18" customHeight="1" x14ac:dyDescent="0.25">
      <c r="A1473" s="4" t="s">
        <v>2877</v>
      </c>
      <c r="B1473" s="4" t="s">
        <v>2878</v>
      </c>
      <c r="C1473" s="5">
        <v>0</v>
      </c>
      <c r="D1473" s="5">
        <v>6</v>
      </c>
      <c r="E1473" s="4" t="str">
        <f t="shared" si="66"/>
        <v>REORDER NOW</v>
      </c>
      <c r="F1473" s="4"/>
      <c r="G1473" s="4"/>
      <c r="H1473" s="5">
        <f t="shared" si="67"/>
        <v>3</v>
      </c>
      <c r="I1473" s="5">
        <f t="shared" si="68"/>
        <v>0</v>
      </c>
    </row>
    <row r="1474" spans="1:9" ht="18" customHeight="1" x14ac:dyDescent="0.25">
      <c r="A1474" s="2" t="s">
        <v>2879</v>
      </c>
      <c r="B1474" s="2" t="s">
        <v>2880</v>
      </c>
      <c r="C1474" s="3">
        <v>0</v>
      </c>
      <c r="D1474" s="3">
        <v>6</v>
      </c>
      <c r="E1474" s="2" t="str">
        <f t="shared" si="66"/>
        <v>REORDER NOW</v>
      </c>
      <c r="F1474" s="2"/>
      <c r="G1474" s="2"/>
      <c r="H1474" s="3">
        <f t="shared" si="67"/>
        <v>3</v>
      </c>
      <c r="I1474" s="3">
        <f t="shared" si="68"/>
        <v>0</v>
      </c>
    </row>
    <row r="1475" spans="1:9" ht="18" customHeight="1" x14ac:dyDescent="0.25">
      <c r="A1475" s="4" t="s">
        <v>2881</v>
      </c>
      <c r="B1475" s="4" t="s">
        <v>2882</v>
      </c>
      <c r="C1475" s="5">
        <v>0</v>
      </c>
      <c r="D1475" s="5">
        <v>6</v>
      </c>
      <c r="E1475" s="4" t="str">
        <f t="shared" si="66"/>
        <v>REORDER NOW</v>
      </c>
      <c r="F1475" s="4"/>
      <c r="G1475" s="4"/>
      <c r="H1475" s="5">
        <f t="shared" si="67"/>
        <v>3</v>
      </c>
      <c r="I1475" s="5">
        <f t="shared" si="68"/>
        <v>0</v>
      </c>
    </row>
    <row r="1476" spans="1:9" ht="18" customHeight="1" x14ac:dyDescent="0.25">
      <c r="A1476" s="2" t="s">
        <v>2883</v>
      </c>
      <c r="B1476" s="2" t="s">
        <v>2884</v>
      </c>
      <c r="C1476" s="3">
        <v>1</v>
      </c>
      <c r="D1476" s="3">
        <v>6</v>
      </c>
      <c r="E1476" s="2" t="str">
        <f t="shared" ref="E1476:E1539" si="69">IF(C1476&lt;=D1476,"REORDER NOW","OK")</f>
        <v>REORDER NOW</v>
      </c>
      <c r="F1476" s="2"/>
      <c r="G1476" s="2"/>
      <c r="H1476" s="3">
        <f t="shared" ref="H1476:H1539" si="70">D1476/2</f>
        <v>3</v>
      </c>
      <c r="I1476" s="3">
        <f t="shared" ref="I1476:I1539" si="71">IF(H1476=0,"N/A",ROUND(C1476/H1476,1))</f>
        <v>0.3</v>
      </c>
    </row>
    <row r="1477" spans="1:9" ht="18" customHeight="1" x14ac:dyDescent="0.25">
      <c r="A1477" s="4" t="s">
        <v>2885</v>
      </c>
      <c r="B1477" s="4" t="s">
        <v>2886</v>
      </c>
      <c r="C1477" s="5">
        <v>1</v>
      </c>
      <c r="D1477" s="5">
        <v>6</v>
      </c>
      <c r="E1477" s="4" t="str">
        <f t="shared" si="69"/>
        <v>REORDER NOW</v>
      </c>
      <c r="F1477" s="4"/>
      <c r="G1477" s="4"/>
      <c r="H1477" s="5">
        <f t="shared" si="70"/>
        <v>3</v>
      </c>
      <c r="I1477" s="5">
        <f t="shared" si="71"/>
        <v>0.3</v>
      </c>
    </row>
    <row r="1478" spans="1:9" ht="18" customHeight="1" x14ac:dyDescent="0.25">
      <c r="A1478" s="2" t="s">
        <v>2887</v>
      </c>
      <c r="B1478" s="2" t="s">
        <v>2888</v>
      </c>
      <c r="C1478" s="3">
        <v>1</v>
      </c>
      <c r="D1478" s="3">
        <v>6</v>
      </c>
      <c r="E1478" s="2" t="str">
        <f t="shared" si="69"/>
        <v>REORDER NOW</v>
      </c>
      <c r="F1478" s="2"/>
      <c r="G1478" s="2"/>
      <c r="H1478" s="3">
        <f t="shared" si="70"/>
        <v>3</v>
      </c>
      <c r="I1478" s="3">
        <f t="shared" si="71"/>
        <v>0.3</v>
      </c>
    </row>
    <row r="1479" spans="1:9" ht="18" customHeight="1" x14ac:dyDescent="0.25">
      <c r="A1479" s="4" t="s">
        <v>2889</v>
      </c>
      <c r="B1479" s="4" t="s">
        <v>2890</v>
      </c>
      <c r="C1479" s="5">
        <v>1</v>
      </c>
      <c r="D1479" s="5">
        <v>6</v>
      </c>
      <c r="E1479" s="4" t="str">
        <f t="shared" si="69"/>
        <v>REORDER NOW</v>
      </c>
      <c r="F1479" s="4"/>
      <c r="G1479" s="4"/>
      <c r="H1479" s="5">
        <f t="shared" si="70"/>
        <v>3</v>
      </c>
      <c r="I1479" s="5">
        <f t="shared" si="71"/>
        <v>0.3</v>
      </c>
    </row>
    <row r="1480" spans="1:9" ht="18" customHeight="1" x14ac:dyDescent="0.25">
      <c r="A1480" s="2" t="s">
        <v>2891</v>
      </c>
      <c r="B1480" s="2" t="s">
        <v>2892</v>
      </c>
      <c r="C1480" s="3">
        <v>0</v>
      </c>
      <c r="D1480" s="3">
        <v>6</v>
      </c>
      <c r="E1480" s="2" t="str">
        <f t="shared" si="69"/>
        <v>REORDER NOW</v>
      </c>
      <c r="F1480" s="2"/>
      <c r="G1480" s="2"/>
      <c r="H1480" s="3">
        <f t="shared" si="70"/>
        <v>3</v>
      </c>
      <c r="I1480" s="3">
        <f t="shared" si="71"/>
        <v>0</v>
      </c>
    </row>
    <row r="1481" spans="1:9" ht="18" customHeight="1" x14ac:dyDescent="0.25">
      <c r="A1481" s="4" t="s">
        <v>2893</v>
      </c>
      <c r="B1481" s="4" t="s">
        <v>2894</v>
      </c>
      <c r="C1481" s="5">
        <v>0</v>
      </c>
      <c r="D1481" s="5">
        <v>6</v>
      </c>
      <c r="E1481" s="4" t="str">
        <f t="shared" si="69"/>
        <v>REORDER NOW</v>
      </c>
      <c r="F1481" s="4"/>
      <c r="G1481" s="4"/>
      <c r="H1481" s="5">
        <f t="shared" si="70"/>
        <v>3</v>
      </c>
      <c r="I1481" s="5">
        <f t="shared" si="71"/>
        <v>0</v>
      </c>
    </row>
    <row r="1482" spans="1:9" ht="18" customHeight="1" x14ac:dyDescent="0.25">
      <c r="A1482" s="2" t="s">
        <v>2895</v>
      </c>
      <c r="B1482" s="2" t="s">
        <v>2896</v>
      </c>
      <c r="C1482" s="3">
        <v>0</v>
      </c>
      <c r="D1482" s="3">
        <v>6</v>
      </c>
      <c r="E1482" s="2" t="str">
        <f t="shared" si="69"/>
        <v>REORDER NOW</v>
      </c>
      <c r="F1482" s="2"/>
      <c r="G1482" s="2"/>
      <c r="H1482" s="3">
        <f t="shared" si="70"/>
        <v>3</v>
      </c>
      <c r="I1482" s="3">
        <f t="shared" si="71"/>
        <v>0</v>
      </c>
    </row>
    <row r="1483" spans="1:9" ht="18" customHeight="1" x14ac:dyDescent="0.25">
      <c r="A1483" s="4" t="s">
        <v>2897</v>
      </c>
      <c r="B1483" s="4" t="s">
        <v>2898</v>
      </c>
      <c r="C1483" s="5">
        <v>0</v>
      </c>
      <c r="D1483" s="5">
        <v>6</v>
      </c>
      <c r="E1483" s="4" t="str">
        <f t="shared" si="69"/>
        <v>REORDER NOW</v>
      </c>
      <c r="F1483" s="4"/>
      <c r="G1483" s="4"/>
      <c r="H1483" s="5">
        <f t="shared" si="70"/>
        <v>3</v>
      </c>
      <c r="I1483" s="5">
        <f t="shared" si="71"/>
        <v>0</v>
      </c>
    </row>
    <row r="1484" spans="1:9" ht="18" customHeight="1" x14ac:dyDescent="0.25">
      <c r="A1484" s="2" t="s">
        <v>2899</v>
      </c>
      <c r="B1484" s="2" t="s">
        <v>2900</v>
      </c>
      <c r="C1484" s="3">
        <v>0</v>
      </c>
      <c r="D1484" s="3">
        <v>6</v>
      </c>
      <c r="E1484" s="2" t="str">
        <f t="shared" si="69"/>
        <v>REORDER NOW</v>
      </c>
      <c r="F1484" s="2"/>
      <c r="G1484" s="2"/>
      <c r="H1484" s="3">
        <f t="shared" si="70"/>
        <v>3</v>
      </c>
      <c r="I1484" s="3">
        <f t="shared" si="71"/>
        <v>0</v>
      </c>
    </row>
    <row r="1485" spans="1:9" ht="18" customHeight="1" x14ac:dyDescent="0.25">
      <c r="A1485" s="4" t="s">
        <v>2901</v>
      </c>
      <c r="B1485" s="4" t="s">
        <v>2902</v>
      </c>
      <c r="C1485" s="5">
        <v>11</v>
      </c>
      <c r="D1485" s="5">
        <v>10</v>
      </c>
      <c r="E1485" s="4" t="str">
        <f t="shared" si="69"/>
        <v>OK</v>
      </c>
      <c r="F1485" s="4"/>
      <c r="G1485" s="4"/>
      <c r="H1485" s="5">
        <f t="shared" si="70"/>
        <v>5</v>
      </c>
      <c r="I1485" s="5">
        <f t="shared" si="71"/>
        <v>2.2000000000000002</v>
      </c>
    </row>
    <row r="1486" spans="1:9" ht="18" customHeight="1" x14ac:dyDescent="0.25">
      <c r="A1486" s="2" t="s">
        <v>2903</v>
      </c>
      <c r="B1486" s="2" t="s">
        <v>2904</v>
      </c>
      <c r="C1486" s="3">
        <v>0</v>
      </c>
      <c r="D1486" s="3">
        <v>6</v>
      </c>
      <c r="E1486" s="2" t="str">
        <f t="shared" si="69"/>
        <v>REORDER NOW</v>
      </c>
      <c r="F1486" s="2"/>
      <c r="G1486" s="2"/>
      <c r="H1486" s="3">
        <f t="shared" si="70"/>
        <v>3</v>
      </c>
      <c r="I1486" s="3">
        <f t="shared" si="71"/>
        <v>0</v>
      </c>
    </row>
    <row r="1487" spans="1:9" ht="18" customHeight="1" x14ac:dyDescent="0.25">
      <c r="A1487" s="4" t="s">
        <v>2905</v>
      </c>
      <c r="B1487" s="4" t="s">
        <v>2906</v>
      </c>
      <c r="C1487" s="5">
        <v>0</v>
      </c>
      <c r="D1487" s="5">
        <v>6</v>
      </c>
      <c r="E1487" s="4" t="str">
        <f t="shared" si="69"/>
        <v>REORDER NOW</v>
      </c>
      <c r="F1487" s="4"/>
      <c r="G1487" s="4"/>
      <c r="H1487" s="5">
        <f t="shared" si="70"/>
        <v>3</v>
      </c>
      <c r="I1487" s="5">
        <f t="shared" si="71"/>
        <v>0</v>
      </c>
    </row>
    <row r="1488" spans="1:9" ht="18" customHeight="1" x14ac:dyDescent="0.25">
      <c r="A1488" s="2" t="s">
        <v>2907</v>
      </c>
      <c r="B1488" s="2" t="s">
        <v>2908</v>
      </c>
      <c r="C1488" s="3">
        <v>0</v>
      </c>
      <c r="D1488" s="3">
        <v>6</v>
      </c>
      <c r="E1488" s="2" t="str">
        <f t="shared" si="69"/>
        <v>REORDER NOW</v>
      </c>
      <c r="F1488" s="2"/>
      <c r="G1488" s="2"/>
      <c r="H1488" s="3">
        <f t="shared" si="70"/>
        <v>3</v>
      </c>
      <c r="I1488" s="3">
        <f t="shared" si="71"/>
        <v>0</v>
      </c>
    </row>
    <row r="1489" spans="1:9" ht="18" customHeight="1" x14ac:dyDescent="0.25">
      <c r="A1489" s="4" t="s">
        <v>2909</v>
      </c>
      <c r="B1489" s="4" t="s">
        <v>2910</v>
      </c>
      <c r="C1489" s="5">
        <v>0</v>
      </c>
      <c r="D1489" s="5">
        <v>6</v>
      </c>
      <c r="E1489" s="4" t="str">
        <f t="shared" si="69"/>
        <v>REORDER NOW</v>
      </c>
      <c r="F1489" s="4"/>
      <c r="G1489" s="4"/>
      <c r="H1489" s="5">
        <f t="shared" si="70"/>
        <v>3</v>
      </c>
      <c r="I1489" s="5">
        <f t="shared" si="71"/>
        <v>0</v>
      </c>
    </row>
    <row r="1490" spans="1:9" ht="18" customHeight="1" x14ac:dyDescent="0.25">
      <c r="A1490" s="2" t="s">
        <v>2911</v>
      </c>
      <c r="B1490" s="2" t="s">
        <v>2912</v>
      </c>
      <c r="C1490" s="3">
        <v>0</v>
      </c>
      <c r="D1490" s="3">
        <v>6</v>
      </c>
      <c r="E1490" s="2" t="str">
        <f t="shared" si="69"/>
        <v>REORDER NOW</v>
      </c>
      <c r="F1490" s="2"/>
      <c r="G1490" s="2"/>
      <c r="H1490" s="3">
        <f t="shared" si="70"/>
        <v>3</v>
      </c>
      <c r="I1490" s="3">
        <f t="shared" si="71"/>
        <v>0</v>
      </c>
    </row>
    <row r="1491" spans="1:9" ht="18" customHeight="1" x14ac:dyDescent="0.25">
      <c r="A1491" s="4" t="s">
        <v>2913</v>
      </c>
      <c r="B1491" s="4" t="s">
        <v>2914</v>
      </c>
      <c r="C1491" s="5">
        <v>0</v>
      </c>
      <c r="D1491" s="5">
        <v>6</v>
      </c>
      <c r="E1491" s="4" t="str">
        <f t="shared" si="69"/>
        <v>REORDER NOW</v>
      </c>
      <c r="F1491" s="4"/>
      <c r="G1491" s="4"/>
      <c r="H1491" s="5">
        <f t="shared" si="70"/>
        <v>3</v>
      </c>
      <c r="I1491" s="5">
        <f t="shared" si="71"/>
        <v>0</v>
      </c>
    </row>
    <row r="1492" spans="1:9" ht="18" customHeight="1" x14ac:dyDescent="0.25">
      <c r="A1492" s="2" t="s">
        <v>2915</v>
      </c>
      <c r="B1492" s="2" t="s">
        <v>2916</v>
      </c>
      <c r="C1492" s="3">
        <v>0</v>
      </c>
      <c r="D1492" s="3">
        <v>6</v>
      </c>
      <c r="E1492" s="2" t="str">
        <f t="shared" si="69"/>
        <v>REORDER NOW</v>
      </c>
      <c r="F1492" s="2"/>
      <c r="G1492" s="2"/>
      <c r="H1492" s="3">
        <f t="shared" si="70"/>
        <v>3</v>
      </c>
      <c r="I1492" s="3">
        <f t="shared" si="71"/>
        <v>0</v>
      </c>
    </row>
    <row r="1493" spans="1:9" ht="18" customHeight="1" x14ac:dyDescent="0.25">
      <c r="A1493" s="4" t="s">
        <v>2917</v>
      </c>
      <c r="B1493" s="4" t="s">
        <v>2918</v>
      </c>
      <c r="C1493" s="5">
        <v>0</v>
      </c>
      <c r="D1493" s="5">
        <v>6</v>
      </c>
      <c r="E1493" s="4" t="str">
        <f t="shared" si="69"/>
        <v>REORDER NOW</v>
      </c>
      <c r="F1493" s="4"/>
      <c r="G1493" s="4"/>
      <c r="H1493" s="5">
        <f t="shared" si="70"/>
        <v>3</v>
      </c>
      <c r="I1493" s="5">
        <f t="shared" si="71"/>
        <v>0</v>
      </c>
    </row>
    <row r="1494" spans="1:9" ht="18" customHeight="1" x14ac:dyDescent="0.25">
      <c r="A1494" s="2" t="s">
        <v>2919</v>
      </c>
      <c r="B1494" s="2" t="s">
        <v>2920</v>
      </c>
      <c r="C1494" s="3">
        <v>10</v>
      </c>
      <c r="D1494" s="3">
        <v>10</v>
      </c>
      <c r="E1494" s="2" t="str">
        <f t="shared" si="69"/>
        <v>REORDER NOW</v>
      </c>
      <c r="F1494" s="2"/>
      <c r="G1494" s="2"/>
      <c r="H1494" s="3">
        <f t="shared" si="70"/>
        <v>5</v>
      </c>
      <c r="I1494" s="3">
        <f t="shared" si="71"/>
        <v>2</v>
      </c>
    </row>
    <row r="1495" spans="1:9" ht="18" customHeight="1" x14ac:dyDescent="0.25">
      <c r="A1495" s="4" t="s">
        <v>2921</v>
      </c>
      <c r="B1495" s="4" t="s">
        <v>2922</v>
      </c>
      <c r="C1495" s="5">
        <v>0</v>
      </c>
      <c r="D1495" s="5">
        <v>6</v>
      </c>
      <c r="E1495" s="4" t="str">
        <f t="shared" si="69"/>
        <v>REORDER NOW</v>
      </c>
      <c r="F1495" s="4"/>
      <c r="G1495" s="4"/>
      <c r="H1495" s="5">
        <f t="shared" si="70"/>
        <v>3</v>
      </c>
      <c r="I1495" s="5">
        <f t="shared" si="71"/>
        <v>0</v>
      </c>
    </row>
    <row r="1496" spans="1:9" ht="18" customHeight="1" x14ac:dyDescent="0.25">
      <c r="A1496" s="2" t="s">
        <v>2923</v>
      </c>
      <c r="B1496" s="2" t="s">
        <v>2924</v>
      </c>
      <c r="C1496" s="3">
        <v>0</v>
      </c>
      <c r="D1496" s="3">
        <v>6</v>
      </c>
      <c r="E1496" s="2" t="str">
        <f t="shared" si="69"/>
        <v>REORDER NOW</v>
      </c>
      <c r="F1496" s="2"/>
      <c r="G1496" s="2"/>
      <c r="H1496" s="3">
        <f t="shared" si="70"/>
        <v>3</v>
      </c>
      <c r="I1496" s="3">
        <f t="shared" si="71"/>
        <v>0</v>
      </c>
    </row>
    <row r="1497" spans="1:9" ht="18" customHeight="1" x14ac:dyDescent="0.25">
      <c r="A1497" s="4" t="s">
        <v>2925</v>
      </c>
      <c r="B1497" s="4" t="s">
        <v>2926</v>
      </c>
      <c r="C1497" s="5">
        <v>3</v>
      </c>
      <c r="D1497" s="5">
        <v>6</v>
      </c>
      <c r="E1497" s="4" t="str">
        <f t="shared" si="69"/>
        <v>REORDER NOW</v>
      </c>
      <c r="F1497" s="4"/>
      <c r="G1497" s="4"/>
      <c r="H1497" s="5">
        <f t="shared" si="70"/>
        <v>3</v>
      </c>
      <c r="I1497" s="5">
        <f t="shared" si="71"/>
        <v>1</v>
      </c>
    </row>
    <row r="1498" spans="1:9" ht="18" customHeight="1" x14ac:dyDescent="0.25">
      <c r="A1498" s="2" t="s">
        <v>2927</v>
      </c>
      <c r="B1498" s="2" t="s">
        <v>2928</v>
      </c>
      <c r="C1498" s="3">
        <v>0</v>
      </c>
      <c r="D1498" s="3">
        <v>6</v>
      </c>
      <c r="E1498" s="2" t="str">
        <f t="shared" si="69"/>
        <v>REORDER NOW</v>
      </c>
      <c r="F1498" s="2"/>
      <c r="G1498" s="2"/>
      <c r="H1498" s="3">
        <f t="shared" si="70"/>
        <v>3</v>
      </c>
      <c r="I1498" s="3">
        <f t="shared" si="71"/>
        <v>0</v>
      </c>
    </row>
    <row r="1499" spans="1:9" ht="18" customHeight="1" x14ac:dyDescent="0.25">
      <c r="A1499" s="4" t="s">
        <v>2929</v>
      </c>
      <c r="B1499" s="4" t="s">
        <v>2930</v>
      </c>
      <c r="C1499" s="5">
        <v>0</v>
      </c>
      <c r="D1499" s="5">
        <v>6</v>
      </c>
      <c r="E1499" s="4" t="str">
        <f t="shared" si="69"/>
        <v>REORDER NOW</v>
      </c>
      <c r="F1499" s="4"/>
      <c r="G1499" s="4"/>
      <c r="H1499" s="5">
        <f t="shared" si="70"/>
        <v>3</v>
      </c>
      <c r="I1499" s="5">
        <f t="shared" si="71"/>
        <v>0</v>
      </c>
    </row>
    <row r="1500" spans="1:9" ht="18" customHeight="1" x14ac:dyDescent="0.25">
      <c r="A1500" s="2" t="s">
        <v>2931</v>
      </c>
      <c r="B1500" s="2" t="s">
        <v>2932</v>
      </c>
      <c r="C1500" s="3">
        <v>0</v>
      </c>
      <c r="D1500" s="3">
        <v>6</v>
      </c>
      <c r="E1500" s="2" t="str">
        <f t="shared" si="69"/>
        <v>REORDER NOW</v>
      </c>
      <c r="F1500" s="2"/>
      <c r="G1500" s="2"/>
      <c r="H1500" s="3">
        <f t="shared" si="70"/>
        <v>3</v>
      </c>
      <c r="I1500" s="3">
        <f t="shared" si="71"/>
        <v>0</v>
      </c>
    </row>
    <row r="1501" spans="1:9" ht="18" customHeight="1" x14ac:dyDescent="0.25">
      <c r="A1501" s="4" t="s">
        <v>2933</v>
      </c>
      <c r="B1501" s="4" t="s">
        <v>2934</v>
      </c>
      <c r="C1501" s="5">
        <v>0</v>
      </c>
      <c r="D1501" s="5">
        <v>6</v>
      </c>
      <c r="E1501" s="4" t="str">
        <f t="shared" si="69"/>
        <v>REORDER NOW</v>
      </c>
      <c r="F1501" s="4"/>
      <c r="G1501" s="4"/>
      <c r="H1501" s="5">
        <f t="shared" si="70"/>
        <v>3</v>
      </c>
      <c r="I1501" s="5">
        <f t="shared" si="71"/>
        <v>0</v>
      </c>
    </row>
    <row r="1502" spans="1:9" ht="18" customHeight="1" x14ac:dyDescent="0.25">
      <c r="A1502" s="2" t="s">
        <v>2935</v>
      </c>
      <c r="B1502" s="2" t="s">
        <v>2936</v>
      </c>
      <c r="C1502" s="3">
        <v>0</v>
      </c>
      <c r="D1502" s="3">
        <v>6</v>
      </c>
      <c r="E1502" s="2" t="str">
        <f t="shared" si="69"/>
        <v>REORDER NOW</v>
      </c>
      <c r="F1502" s="2"/>
      <c r="G1502" s="2"/>
      <c r="H1502" s="3">
        <f t="shared" si="70"/>
        <v>3</v>
      </c>
      <c r="I1502" s="3">
        <f t="shared" si="71"/>
        <v>0</v>
      </c>
    </row>
    <row r="1503" spans="1:9" ht="18" customHeight="1" x14ac:dyDescent="0.25">
      <c r="A1503" s="4" t="s">
        <v>2937</v>
      </c>
      <c r="B1503" s="4" t="s">
        <v>2938</v>
      </c>
      <c r="C1503" s="5">
        <v>1</v>
      </c>
      <c r="D1503" s="5">
        <v>6</v>
      </c>
      <c r="E1503" s="4" t="str">
        <f t="shared" si="69"/>
        <v>REORDER NOW</v>
      </c>
      <c r="F1503" s="4"/>
      <c r="G1503" s="4"/>
      <c r="H1503" s="5">
        <f t="shared" si="70"/>
        <v>3</v>
      </c>
      <c r="I1503" s="5">
        <f t="shared" si="71"/>
        <v>0.3</v>
      </c>
    </row>
    <row r="1504" spans="1:9" ht="18" customHeight="1" x14ac:dyDescent="0.25">
      <c r="A1504" s="2" t="s">
        <v>2939</v>
      </c>
      <c r="B1504" s="2" t="s">
        <v>2940</v>
      </c>
      <c r="C1504" s="3">
        <v>5025</v>
      </c>
      <c r="D1504" s="3">
        <v>200</v>
      </c>
      <c r="E1504" s="2" t="str">
        <f t="shared" si="69"/>
        <v>OK</v>
      </c>
      <c r="F1504" s="2"/>
      <c r="G1504" s="2"/>
      <c r="H1504" s="3">
        <f t="shared" si="70"/>
        <v>100</v>
      </c>
      <c r="I1504" s="3">
        <f t="shared" si="71"/>
        <v>50.3</v>
      </c>
    </row>
    <row r="1505" spans="1:9" ht="18" customHeight="1" x14ac:dyDescent="0.25">
      <c r="A1505" s="4" t="s">
        <v>2941</v>
      </c>
      <c r="B1505" s="4" t="s">
        <v>2942</v>
      </c>
      <c r="C1505" s="5">
        <v>0</v>
      </c>
      <c r="D1505" s="5">
        <v>6</v>
      </c>
      <c r="E1505" s="4" t="str">
        <f t="shared" si="69"/>
        <v>REORDER NOW</v>
      </c>
      <c r="F1505" s="4"/>
      <c r="G1505" s="4"/>
      <c r="H1505" s="5">
        <f t="shared" si="70"/>
        <v>3</v>
      </c>
      <c r="I1505" s="5">
        <f t="shared" si="71"/>
        <v>0</v>
      </c>
    </row>
    <row r="1506" spans="1:9" ht="18" customHeight="1" x14ac:dyDescent="0.25">
      <c r="A1506" s="2" t="s">
        <v>2943</v>
      </c>
      <c r="B1506" s="2" t="s">
        <v>2944</v>
      </c>
      <c r="C1506" s="3">
        <v>1</v>
      </c>
      <c r="D1506" s="3">
        <v>6</v>
      </c>
      <c r="E1506" s="2" t="str">
        <f t="shared" si="69"/>
        <v>REORDER NOW</v>
      </c>
      <c r="F1506" s="2"/>
      <c r="G1506" s="2"/>
      <c r="H1506" s="3">
        <f t="shared" si="70"/>
        <v>3</v>
      </c>
      <c r="I1506" s="3">
        <f t="shared" si="71"/>
        <v>0.3</v>
      </c>
    </row>
    <row r="1507" spans="1:9" ht="18" customHeight="1" x14ac:dyDescent="0.25">
      <c r="A1507" s="4" t="s">
        <v>2945</v>
      </c>
      <c r="B1507" s="4" t="s">
        <v>2946</v>
      </c>
      <c r="C1507" s="5">
        <v>0</v>
      </c>
      <c r="D1507" s="5">
        <v>6</v>
      </c>
      <c r="E1507" s="4" t="str">
        <f t="shared" si="69"/>
        <v>REORDER NOW</v>
      </c>
      <c r="F1507" s="4"/>
      <c r="G1507" s="4"/>
      <c r="H1507" s="5">
        <f t="shared" si="70"/>
        <v>3</v>
      </c>
      <c r="I1507" s="5">
        <f t="shared" si="71"/>
        <v>0</v>
      </c>
    </row>
    <row r="1508" spans="1:9" ht="18" customHeight="1" x14ac:dyDescent="0.25">
      <c r="A1508" s="2" t="s">
        <v>2947</v>
      </c>
      <c r="B1508" s="2" t="s">
        <v>2948</v>
      </c>
      <c r="C1508" s="3">
        <v>18000</v>
      </c>
      <c r="D1508" s="3">
        <v>200</v>
      </c>
      <c r="E1508" s="2" t="str">
        <f t="shared" si="69"/>
        <v>OK</v>
      </c>
      <c r="F1508" s="2"/>
      <c r="G1508" s="2"/>
      <c r="H1508" s="3">
        <f t="shared" si="70"/>
        <v>100</v>
      </c>
      <c r="I1508" s="3">
        <f t="shared" si="71"/>
        <v>180</v>
      </c>
    </row>
    <row r="1509" spans="1:9" ht="18" customHeight="1" x14ac:dyDescent="0.25">
      <c r="A1509" s="4" t="s">
        <v>2949</v>
      </c>
      <c r="B1509" s="4" t="s">
        <v>2950</v>
      </c>
      <c r="C1509" s="5">
        <v>0</v>
      </c>
      <c r="D1509" s="5">
        <v>6</v>
      </c>
      <c r="E1509" s="4" t="str">
        <f t="shared" si="69"/>
        <v>REORDER NOW</v>
      </c>
      <c r="F1509" s="4"/>
      <c r="G1509" s="4"/>
      <c r="H1509" s="5">
        <f t="shared" si="70"/>
        <v>3</v>
      </c>
      <c r="I1509" s="5">
        <f t="shared" si="71"/>
        <v>0</v>
      </c>
    </row>
    <row r="1510" spans="1:9" ht="18" customHeight="1" x14ac:dyDescent="0.25">
      <c r="A1510" s="2" t="s">
        <v>2951</v>
      </c>
      <c r="B1510" s="2" t="s">
        <v>2952</v>
      </c>
      <c r="C1510" s="3">
        <v>0</v>
      </c>
      <c r="D1510" s="3">
        <v>6</v>
      </c>
      <c r="E1510" s="2" t="str">
        <f t="shared" si="69"/>
        <v>REORDER NOW</v>
      </c>
      <c r="F1510" s="2"/>
      <c r="G1510" s="2"/>
      <c r="H1510" s="3">
        <f t="shared" si="70"/>
        <v>3</v>
      </c>
      <c r="I1510" s="3">
        <f t="shared" si="71"/>
        <v>0</v>
      </c>
    </row>
    <row r="1511" spans="1:9" ht="18" customHeight="1" x14ac:dyDescent="0.25">
      <c r="A1511" s="4" t="s">
        <v>2953</v>
      </c>
      <c r="B1511" s="4" t="s">
        <v>2954</v>
      </c>
      <c r="C1511" s="5">
        <v>0</v>
      </c>
      <c r="D1511" s="5">
        <v>6</v>
      </c>
      <c r="E1511" s="4" t="str">
        <f t="shared" si="69"/>
        <v>REORDER NOW</v>
      </c>
      <c r="F1511" s="4"/>
      <c r="G1511" s="4"/>
      <c r="H1511" s="5">
        <f t="shared" si="70"/>
        <v>3</v>
      </c>
      <c r="I1511" s="5">
        <f t="shared" si="71"/>
        <v>0</v>
      </c>
    </row>
    <row r="1512" spans="1:9" ht="18" customHeight="1" x14ac:dyDescent="0.25">
      <c r="A1512" s="2" t="s">
        <v>2955</v>
      </c>
      <c r="B1512" s="2" t="s">
        <v>2956</v>
      </c>
      <c r="C1512" s="3">
        <v>0</v>
      </c>
      <c r="D1512" s="3">
        <v>6</v>
      </c>
      <c r="E1512" s="2" t="str">
        <f t="shared" si="69"/>
        <v>REORDER NOW</v>
      </c>
      <c r="F1512" s="2"/>
      <c r="G1512" s="2"/>
      <c r="H1512" s="3">
        <f t="shared" si="70"/>
        <v>3</v>
      </c>
      <c r="I1512" s="3">
        <f t="shared" si="71"/>
        <v>0</v>
      </c>
    </row>
    <row r="1513" spans="1:9" ht="18" customHeight="1" x14ac:dyDescent="0.25">
      <c r="A1513" s="4" t="s">
        <v>2957</v>
      </c>
      <c r="B1513" s="4" t="s">
        <v>2958</v>
      </c>
      <c r="C1513" s="5">
        <v>15</v>
      </c>
      <c r="D1513" s="5">
        <v>10</v>
      </c>
      <c r="E1513" s="4" t="str">
        <f t="shared" si="69"/>
        <v>OK</v>
      </c>
      <c r="F1513" s="4"/>
      <c r="G1513" s="4"/>
      <c r="H1513" s="5">
        <f t="shared" si="70"/>
        <v>5</v>
      </c>
      <c r="I1513" s="5">
        <f t="shared" si="71"/>
        <v>3</v>
      </c>
    </row>
    <row r="1514" spans="1:9" ht="18" customHeight="1" x14ac:dyDescent="0.25">
      <c r="A1514" s="2" t="s">
        <v>2959</v>
      </c>
      <c r="B1514" s="2" t="s">
        <v>2960</v>
      </c>
      <c r="C1514" s="3">
        <v>0</v>
      </c>
      <c r="D1514" s="3">
        <v>6</v>
      </c>
      <c r="E1514" s="2" t="str">
        <f t="shared" si="69"/>
        <v>REORDER NOW</v>
      </c>
      <c r="F1514" s="2"/>
      <c r="G1514" s="2"/>
      <c r="H1514" s="3">
        <f t="shared" si="70"/>
        <v>3</v>
      </c>
      <c r="I1514" s="3">
        <f t="shared" si="71"/>
        <v>0</v>
      </c>
    </row>
    <row r="1515" spans="1:9" ht="18" customHeight="1" x14ac:dyDescent="0.25">
      <c r="A1515" s="4" t="s">
        <v>2961</v>
      </c>
      <c r="B1515" s="4" t="s">
        <v>2962</v>
      </c>
      <c r="C1515" s="5">
        <v>0</v>
      </c>
      <c r="D1515" s="5">
        <v>6</v>
      </c>
      <c r="E1515" s="4" t="str">
        <f t="shared" si="69"/>
        <v>REORDER NOW</v>
      </c>
      <c r="F1515" s="4"/>
      <c r="G1515" s="4"/>
      <c r="H1515" s="5">
        <f t="shared" si="70"/>
        <v>3</v>
      </c>
      <c r="I1515" s="5">
        <f t="shared" si="71"/>
        <v>0</v>
      </c>
    </row>
    <row r="1516" spans="1:9" ht="18" customHeight="1" x14ac:dyDescent="0.25">
      <c r="A1516" s="2" t="s">
        <v>2963</v>
      </c>
      <c r="B1516" s="2" t="s">
        <v>2964</v>
      </c>
      <c r="C1516" s="3">
        <v>0</v>
      </c>
      <c r="D1516" s="3">
        <v>6</v>
      </c>
      <c r="E1516" s="2" t="str">
        <f t="shared" si="69"/>
        <v>REORDER NOW</v>
      </c>
      <c r="F1516" s="2"/>
      <c r="G1516" s="2"/>
      <c r="H1516" s="3">
        <f t="shared" si="70"/>
        <v>3</v>
      </c>
      <c r="I1516" s="3">
        <f t="shared" si="71"/>
        <v>0</v>
      </c>
    </row>
    <row r="1517" spans="1:9" ht="18" customHeight="1" x14ac:dyDescent="0.25">
      <c r="A1517" s="4" t="s">
        <v>2965</v>
      </c>
      <c r="B1517" s="4" t="s">
        <v>2966</v>
      </c>
      <c r="C1517" s="5">
        <v>0</v>
      </c>
      <c r="D1517" s="5">
        <v>6</v>
      </c>
      <c r="E1517" s="4" t="str">
        <f t="shared" si="69"/>
        <v>REORDER NOW</v>
      </c>
      <c r="F1517" s="4"/>
      <c r="G1517" s="4"/>
      <c r="H1517" s="5">
        <f t="shared" si="70"/>
        <v>3</v>
      </c>
      <c r="I1517" s="5">
        <f t="shared" si="71"/>
        <v>0</v>
      </c>
    </row>
    <row r="1518" spans="1:9" ht="18" customHeight="1" x14ac:dyDescent="0.25">
      <c r="A1518" s="2" t="s">
        <v>2967</v>
      </c>
      <c r="B1518" s="2" t="s">
        <v>2968</v>
      </c>
      <c r="C1518" s="3">
        <v>0</v>
      </c>
      <c r="D1518" s="3">
        <v>6</v>
      </c>
      <c r="E1518" s="2" t="str">
        <f t="shared" si="69"/>
        <v>REORDER NOW</v>
      </c>
      <c r="F1518" s="2"/>
      <c r="G1518" s="2"/>
      <c r="H1518" s="3">
        <f t="shared" si="70"/>
        <v>3</v>
      </c>
      <c r="I1518" s="3">
        <f t="shared" si="71"/>
        <v>0</v>
      </c>
    </row>
    <row r="1519" spans="1:9" ht="18" customHeight="1" x14ac:dyDescent="0.25">
      <c r="A1519" s="4" t="s">
        <v>2969</v>
      </c>
      <c r="B1519" s="4" t="s">
        <v>2970</v>
      </c>
      <c r="C1519" s="5">
        <v>0</v>
      </c>
      <c r="D1519" s="5">
        <v>6</v>
      </c>
      <c r="E1519" s="4" t="str">
        <f t="shared" si="69"/>
        <v>REORDER NOW</v>
      </c>
      <c r="F1519" s="4"/>
      <c r="G1519" s="4"/>
      <c r="H1519" s="5">
        <f t="shared" si="70"/>
        <v>3</v>
      </c>
      <c r="I1519" s="5">
        <f t="shared" si="71"/>
        <v>0</v>
      </c>
    </row>
    <row r="1520" spans="1:9" ht="18" customHeight="1" x14ac:dyDescent="0.25">
      <c r="A1520" s="2" t="s">
        <v>2971</v>
      </c>
      <c r="B1520" s="2" t="s">
        <v>2972</v>
      </c>
      <c r="C1520" s="3">
        <v>0</v>
      </c>
      <c r="D1520" s="3">
        <v>6</v>
      </c>
      <c r="E1520" s="2" t="str">
        <f t="shared" si="69"/>
        <v>REORDER NOW</v>
      </c>
      <c r="F1520" s="2"/>
      <c r="G1520" s="2"/>
      <c r="H1520" s="3">
        <f t="shared" si="70"/>
        <v>3</v>
      </c>
      <c r="I1520" s="3">
        <f t="shared" si="71"/>
        <v>0</v>
      </c>
    </row>
    <row r="1521" spans="1:9" ht="18" customHeight="1" x14ac:dyDescent="0.25">
      <c r="A1521" s="4" t="s">
        <v>2973</v>
      </c>
      <c r="B1521" s="4" t="s">
        <v>2974</v>
      </c>
      <c r="C1521" s="5">
        <v>0</v>
      </c>
      <c r="D1521" s="5">
        <v>6</v>
      </c>
      <c r="E1521" s="4" t="str">
        <f t="shared" si="69"/>
        <v>REORDER NOW</v>
      </c>
      <c r="F1521" s="4"/>
      <c r="G1521" s="4"/>
      <c r="H1521" s="5">
        <f t="shared" si="70"/>
        <v>3</v>
      </c>
      <c r="I1521" s="5">
        <f t="shared" si="71"/>
        <v>0</v>
      </c>
    </row>
    <row r="1522" spans="1:9" ht="18" customHeight="1" x14ac:dyDescent="0.25">
      <c r="A1522" s="2" t="s">
        <v>2975</v>
      </c>
      <c r="B1522" s="2" t="s">
        <v>2976</v>
      </c>
      <c r="C1522" s="3">
        <v>6</v>
      </c>
      <c r="D1522" s="3">
        <v>10</v>
      </c>
      <c r="E1522" s="2" t="str">
        <f t="shared" si="69"/>
        <v>REORDER NOW</v>
      </c>
      <c r="F1522" s="2"/>
      <c r="G1522" s="2"/>
      <c r="H1522" s="3">
        <f t="shared" si="70"/>
        <v>5</v>
      </c>
      <c r="I1522" s="3">
        <f t="shared" si="71"/>
        <v>1.2</v>
      </c>
    </row>
    <row r="1523" spans="1:9" ht="18" customHeight="1" x14ac:dyDescent="0.25">
      <c r="A1523" s="4" t="s">
        <v>2977</v>
      </c>
      <c r="B1523" s="4" t="s">
        <v>2978</v>
      </c>
      <c r="C1523" s="5">
        <v>1</v>
      </c>
      <c r="D1523" s="5">
        <v>6</v>
      </c>
      <c r="E1523" s="4" t="str">
        <f t="shared" si="69"/>
        <v>REORDER NOW</v>
      </c>
      <c r="F1523" s="4"/>
      <c r="G1523" s="4"/>
      <c r="H1523" s="5">
        <f t="shared" si="70"/>
        <v>3</v>
      </c>
      <c r="I1523" s="5">
        <f t="shared" si="71"/>
        <v>0.3</v>
      </c>
    </row>
    <row r="1524" spans="1:9" ht="18" customHeight="1" x14ac:dyDescent="0.25">
      <c r="A1524" s="2" t="s">
        <v>2979</v>
      </c>
      <c r="B1524" s="2" t="s">
        <v>2980</v>
      </c>
      <c r="C1524" s="3">
        <v>0</v>
      </c>
      <c r="D1524" s="3">
        <v>6</v>
      </c>
      <c r="E1524" s="2" t="str">
        <f t="shared" si="69"/>
        <v>REORDER NOW</v>
      </c>
      <c r="F1524" s="2"/>
      <c r="G1524" s="2"/>
      <c r="H1524" s="3">
        <f t="shared" si="70"/>
        <v>3</v>
      </c>
      <c r="I1524" s="3">
        <f t="shared" si="71"/>
        <v>0</v>
      </c>
    </row>
    <row r="1525" spans="1:9" ht="18" customHeight="1" x14ac:dyDescent="0.25">
      <c r="A1525" s="4" t="s">
        <v>2981</v>
      </c>
      <c r="B1525" s="4" t="s">
        <v>2982</v>
      </c>
      <c r="C1525" s="5">
        <v>0</v>
      </c>
      <c r="D1525" s="5">
        <v>6</v>
      </c>
      <c r="E1525" s="4" t="str">
        <f t="shared" si="69"/>
        <v>REORDER NOW</v>
      </c>
      <c r="F1525" s="4"/>
      <c r="G1525" s="4"/>
      <c r="H1525" s="5">
        <f t="shared" si="70"/>
        <v>3</v>
      </c>
      <c r="I1525" s="5">
        <f t="shared" si="71"/>
        <v>0</v>
      </c>
    </row>
    <row r="1526" spans="1:9" ht="18" customHeight="1" x14ac:dyDescent="0.25">
      <c r="A1526" s="2" t="s">
        <v>2983</v>
      </c>
      <c r="B1526" s="2" t="s">
        <v>2984</v>
      </c>
      <c r="C1526" s="3">
        <v>0</v>
      </c>
      <c r="D1526" s="3">
        <v>6</v>
      </c>
      <c r="E1526" s="2" t="str">
        <f t="shared" si="69"/>
        <v>REORDER NOW</v>
      </c>
      <c r="F1526" s="2"/>
      <c r="G1526" s="2"/>
      <c r="H1526" s="3">
        <f t="shared" si="70"/>
        <v>3</v>
      </c>
      <c r="I1526" s="3">
        <f t="shared" si="71"/>
        <v>0</v>
      </c>
    </row>
    <row r="1527" spans="1:9" ht="18" customHeight="1" x14ac:dyDescent="0.25">
      <c r="A1527" s="4" t="s">
        <v>2985</v>
      </c>
      <c r="B1527" s="4" t="s">
        <v>2986</v>
      </c>
      <c r="C1527" s="5">
        <v>0</v>
      </c>
      <c r="D1527" s="5">
        <v>6</v>
      </c>
      <c r="E1527" s="4" t="str">
        <f t="shared" si="69"/>
        <v>REORDER NOW</v>
      </c>
      <c r="F1527" s="4"/>
      <c r="G1527" s="4"/>
      <c r="H1527" s="5">
        <f t="shared" si="70"/>
        <v>3</v>
      </c>
      <c r="I1527" s="5">
        <f t="shared" si="71"/>
        <v>0</v>
      </c>
    </row>
    <row r="1528" spans="1:9" ht="18" customHeight="1" x14ac:dyDescent="0.25">
      <c r="A1528" s="2" t="s">
        <v>2987</v>
      </c>
      <c r="B1528" s="2" t="s">
        <v>2988</v>
      </c>
      <c r="C1528" s="3">
        <v>0</v>
      </c>
      <c r="D1528" s="3">
        <v>6</v>
      </c>
      <c r="E1528" s="2" t="str">
        <f t="shared" si="69"/>
        <v>REORDER NOW</v>
      </c>
      <c r="F1528" s="2"/>
      <c r="G1528" s="2"/>
      <c r="H1528" s="3">
        <f t="shared" si="70"/>
        <v>3</v>
      </c>
      <c r="I1528" s="3">
        <f t="shared" si="71"/>
        <v>0</v>
      </c>
    </row>
    <row r="1529" spans="1:9" ht="18" customHeight="1" x14ac:dyDescent="0.25">
      <c r="A1529" s="4" t="s">
        <v>2989</v>
      </c>
      <c r="B1529" s="4" t="s">
        <v>2990</v>
      </c>
      <c r="C1529" s="5">
        <v>2</v>
      </c>
      <c r="D1529" s="5">
        <v>6</v>
      </c>
      <c r="E1529" s="4" t="str">
        <f t="shared" si="69"/>
        <v>REORDER NOW</v>
      </c>
      <c r="F1529" s="4"/>
      <c r="G1529" s="4"/>
      <c r="H1529" s="5">
        <f t="shared" si="70"/>
        <v>3</v>
      </c>
      <c r="I1529" s="5">
        <f t="shared" si="71"/>
        <v>0.7</v>
      </c>
    </row>
    <row r="1530" spans="1:9" ht="18" customHeight="1" x14ac:dyDescent="0.25">
      <c r="A1530" s="2" t="s">
        <v>2991</v>
      </c>
      <c r="B1530" s="2" t="s">
        <v>2992</v>
      </c>
      <c r="C1530" s="3">
        <v>63</v>
      </c>
      <c r="D1530" s="3">
        <v>40</v>
      </c>
      <c r="E1530" s="2" t="str">
        <f t="shared" si="69"/>
        <v>OK</v>
      </c>
      <c r="F1530" s="2"/>
      <c r="G1530" s="2"/>
      <c r="H1530" s="3">
        <f t="shared" si="70"/>
        <v>20</v>
      </c>
      <c r="I1530" s="3">
        <f t="shared" si="71"/>
        <v>3.2</v>
      </c>
    </row>
    <row r="1531" spans="1:9" ht="18" customHeight="1" x14ac:dyDescent="0.25">
      <c r="A1531" s="4" t="s">
        <v>2993</v>
      </c>
      <c r="B1531" s="4" t="s">
        <v>2994</v>
      </c>
      <c r="C1531" s="5">
        <v>0</v>
      </c>
      <c r="D1531" s="5">
        <v>6</v>
      </c>
      <c r="E1531" s="4" t="str">
        <f t="shared" si="69"/>
        <v>REORDER NOW</v>
      </c>
      <c r="F1531" s="4"/>
      <c r="G1531" s="4"/>
      <c r="H1531" s="5">
        <f t="shared" si="70"/>
        <v>3</v>
      </c>
      <c r="I1531" s="5">
        <f t="shared" si="71"/>
        <v>0</v>
      </c>
    </row>
    <row r="1532" spans="1:9" ht="18" customHeight="1" x14ac:dyDescent="0.25">
      <c r="A1532" s="2" t="s">
        <v>2995</v>
      </c>
      <c r="B1532" s="2" t="s">
        <v>2996</v>
      </c>
      <c r="C1532" s="3">
        <v>12</v>
      </c>
      <c r="D1532" s="3">
        <v>10</v>
      </c>
      <c r="E1532" s="2" t="str">
        <f t="shared" si="69"/>
        <v>OK</v>
      </c>
      <c r="F1532" s="2"/>
      <c r="G1532" s="2"/>
      <c r="H1532" s="3">
        <f t="shared" si="70"/>
        <v>5</v>
      </c>
      <c r="I1532" s="3">
        <f t="shared" si="71"/>
        <v>2.4</v>
      </c>
    </row>
    <row r="1533" spans="1:9" ht="18" customHeight="1" x14ac:dyDescent="0.25">
      <c r="A1533" s="4" t="s">
        <v>2997</v>
      </c>
      <c r="B1533" s="4" t="s">
        <v>2998</v>
      </c>
      <c r="C1533" s="5">
        <v>5</v>
      </c>
      <c r="D1533" s="5">
        <v>6</v>
      </c>
      <c r="E1533" s="4" t="str">
        <f t="shared" si="69"/>
        <v>REORDER NOW</v>
      </c>
      <c r="F1533" s="4"/>
      <c r="G1533" s="4"/>
      <c r="H1533" s="5">
        <f t="shared" si="70"/>
        <v>3</v>
      </c>
      <c r="I1533" s="5">
        <f t="shared" si="71"/>
        <v>1.7</v>
      </c>
    </row>
    <row r="1534" spans="1:9" ht="18" customHeight="1" x14ac:dyDescent="0.25">
      <c r="A1534" s="2" t="s">
        <v>2999</v>
      </c>
      <c r="B1534" s="2" t="s">
        <v>3000</v>
      </c>
      <c r="C1534" s="3">
        <v>0</v>
      </c>
      <c r="D1534" s="3">
        <v>6</v>
      </c>
      <c r="E1534" s="2" t="str">
        <f t="shared" si="69"/>
        <v>REORDER NOW</v>
      </c>
      <c r="F1534" s="2"/>
      <c r="G1534" s="2"/>
      <c r="H1534" s="3">
        <f t="shared" si="70"/>
        <v>3</v>
      </c>
      <c r="I1534" s="3">
        <f t="shared" si="71"/>
        <v>0</v>
      </c>
    </row>
    <row r="1535" spans="1:9" ht="18" customHeight="1" x14ac:dyDescent="0.25">
      <c r="A1535" s="4" t="s">
        <v>3001</v>
      </c>
      <c r="B1535" s="4" t="s">
        <v>3002</v>
      </c>
      <c r="C1535" s="5">
        <v>13</v>
      </c>
      <c r="D1535" s="5">
        <v>10</v>
      </c>
      <c r="E1535" s="4" t="str">
        <f t="shared" si="69"/>
        <v>OK</v>
      </c>
      <c r="F1535" s="4"/>
      <c r="G1535" s="4"/>
      <c r="H1535" s="5">
        <f t="shared" si="70"/>
        <v>5</v>
      </c>
      <c r="I1535" s="5">
        <f t="shared" si="71"/>
        <v>2.6</v>
      </c>
    </row>
    <row r="1536" spans="1:9" ht="18" customHeight="1" x14ac:dyDescent="0.25">
      <c r="A1536" s="2" t="s">
        <v>3003</v>
      </c>
      <c r="B1536" s="2" t="s">
        <v>237</v>
      </c>
      <c r="C1536" s="3">
        <v>4</v>
      </c>
      <c r="D1536" s="3">
        <v>6</v>
      </c>
      <c r="E1536" s="2" t="str">
        <f t="shared" si="69"/>
        <v>REORDER NOW</v>
      </c>
      <c r="F1536" s="2"/>
      <c r="G1536" s="2"/>
      <c r="H1536" s="3">
        <f t="shared" si="70"/>
        <v>3</v>
      </c>
      <c r="I1536" s="3">
        <f t="shared" si="71"/>
        <v>1.3</v>
      </c>
    </row>
    <row r="1537" spans="1:9" ht="18" customHeight="1" x14ac:dyDescent="0.25">
      <c r="A1537" s="4" t="s">
        <v>3004</v>
      </c>
      <c r="B1537" s="4" t="s">
        <v>3005</v>
      </c>
      <c r="C1537" s="5">
        <v>0</v>
      </c>
      <c r="D1537" s="5">
        <v>6</v>
      </c>
      <c r="E1537" s="4" t="str">
        <f t="shared" si="69"/>
        <v>REORDER NOW</v>
      </c>
      <c r="F1537" s="4"/>
      <c r="G1537" s="4"/>
      <c r="H1537" s="5">
        <f t="shared" si="70"/>
        <v>3</v>
      </c>
      <c r="I1537" s="5">
        <f t="shared" si="71"/>
        <v>0</v>
      </c>
    </row>
    <row r="1538" spans="1:9" ht="18" customHeight="1" x14ac:dyDescent="0.25">
      <c r="A1538" s="2" t="s">
        <v>3006</v>
      </c>
      <c r="B1538" s="2" t="s">
        <v>3007</v>
      </c>
      <c r="C1538" s="3">
        <v>0</v>
      </c>
      <c r="D1538" s="3">
        <v>6</v>
      </c>
      <c r="E1538" s="2" t="str">
        <f t="shared" si="69"/>
        <v>REORDER NOW</v>
      </c>
      <c r="F1538" s="2"/>
      <c r="G1538" s="2"/>
      <c r="H1538" s="3">
        <f t="shared" si="70"/>
        <v>3</v>
      </c>
      <c r="I1538" s="3">
        <f t="shared" si="71"/>
        <v>0</v>
      </c>
    </row>
    <row r="1539" spans="1:9" ht="18" customHeight="1" x14ac:dyDescent="0.25">
      <c r="A1539" s="4" t="s">
        <v>3008</v>
      </c>
      <c r="B1539" s="4" t="s">
        <v>3009</v>
      </c>
      <c r="C1539" s="5">
        <v>0</v>
      </c>
      <c r="D1539" s="5">
        <v>6</v>
      </c>
      <c r="E1539" s="4" t="str">
        <f t="shared" si="69"/>
        <v>REORDER NOW</v>
      </c>
      <c r="F1539" s="4"/>
      <c r="G1539" s="4"/>
      <c r="H1539" s="5">
        <f t="shared" si="70"/>
        <v>3</v>
      </c>
      <c r="I1539" s="5">
        <f t="shared" si="71"/>
        <v>0</v>
      </c>
    </row>
    <row r="1540" spans="1:9" ht="18" customHeight="1" x14ac:dyDescent="0.25">
      <c r="A1540" s="2" t="s">
        <v>3010</v>
      </c>
      <c r="B1540" s="2" t="s">
        <v>3011</v>
      </c>
      <c r="C1540" s="3">
        <v>0</v>
      </c>
      <c r="D1540" s="3">
        <v>6</v>
      </c>
      <c r="E1540" s="2" t="str">
        <f t="shared" ref="E1540:E1603" si="72">IF(C1540&lt;=D1540,"REORDER NOW","OK")</f>
        <v>REORDER NOW</v>
      </c>
      <c r="F1540" s="2"/>
      <c r="G1540" s="2"/>
      <c r="H1540" s="3">
        <f t="shared" ref="H1540:H1581" si="73">D1540/2</f>
        <v>3</v>
      </c>
      <c r="I1540" s="3">
        <f t="shared" ref="I1540:I1603" si="74">IF(H1540=0,"N/A",ROUND(C1540/H1540,1))</f>
        <v>0</v>
      </c>
    </row>
    <row r="1541" spans="1:9" ht="18" customHeight="1" x14ac:dyDescent="0.25">
      <c r="A1541" s="4" t="s">
        <v>3012</v>
      </c>
      <c r="B1541" s="4" t="s">
        <v>3013</v>
      </c>
      <c r="C1541" s="5">
        <v>0</v>
      </c>
      <c r="D1541" s="5">
        <v>6</v>
      </c>
      <c r="E1541" s="4" t="str">
        <f t="shared" si="72"/>
        <v>REORDER NOW</v>
      </c>
      <c r="F1541" s="4"/>
      <c r="G1541" s="4"/>
      <c r="H1541" s="5">
        <f t="shared" si="73"/>
        <v>3</v>
      </c>
      <c r="I1541" s="5">
        <f t="shared" si="74"/>
        <v>0</v>
      </c>
    </row>
    <row r="1542" spans="1:9" ht="18" customHeight="1" x14ac:dyDescent="0.25">
      <c r="A1542" s="2" t="s">
        <v>3014</v>
      </c>
      <c r="B1542" s="2" t="s">
        <v>3015</v>
      </c>
      <c r="C1542" s="3">
        <v>0</v>
      </c>
      <c r="D1542" s="3">
        <v>6</v>
      </c>
      <c r="E1542" s="2" t="str">
        <f t="shared" si="72"/>
        <v>REORDER NOW</v>
      </c>
      <c r="F1542" s="2"/>
      <c r="G1542" s="2"/>
      <c r="H1542" s="3">
        <f t="shared" si="73"/>
        <v>3</v>
      </c>
      <c r="I1542" s="3">
        <f t="shared" si="74"/>
        <v>0</v>
      </c>
    </row>
    <row r="1543" spans="1:9" ht="18" customHeight="1" x14ac:dyDescent="0.25">
      <c r="A1543" s="4" t="s">
        <v>3016</v>
      </c>
      <c r="B1543" s="4" t="s">
        <v>3017</v>
      </c>
      <c r="C1543" s="5">
        <v>0</v>
      </c>
      <c r="D1543" s="5">
        <v>6</v>
      </c>
      <c r="E1543" s="4" t="str">
        <f t="shared" si="72"/>
        <v>REORDER NOW</v>
      </c>
      <c r="F1543" s="4"/>
      <c r="G1543" s="4"/>
      <c r="H1543" s="5">
        <f t="shared" si="73"/>
        <v>3</v>
      </c>
      <c r="I1543" s="5">
        <f t="shared" si="74"/>
        <v>0</v>
      </c>
    </row>
    <row r="1544" spans="1:9" ht="18" customHeight="1" x14ac:dyDescent="0.25">
      <c r="A1544" s="2" t="s">
        <v>3018</v>
      </c>
      <c r="B1544" s="2" t="s">
        <v>3019</v>
      </c>
      <c r="C1544" s="3">
        <v>0</v>
      </c>
      <c r="D1544" s="3">
        <v>6</v>
      </c>
      <c r="E1544" s="2" t="str">
        <f t="shared" si="72"/>
        <v>REORDER NOW</v>
      </c>
      <c r="F1544" s="2"/>
      <c r="G1544" s="2"/>
      <c r="H1544" s="3">
        <f t="shared" si="73"/>
        <v>3</v>
      </c>
      <c r="I1544" s="3">
        <f t="shared" si="74"/>
        <v>0</v>
      </c>
    </row>
    <row r="1545" spans="1:9" ht="18" customHeight="1" x14ac:dyDescent="0.25">
      <c r="A1545" s="4" t="s">
        <v>3020</v>
      </c>
      <c r="B1545" s="4" t="s">
        <v>3021</v>
      </c>
      <c r="C1545" s="5">
        <v>0</v>
      </c>
      <c r="D1545" s="5">
        <v>6</v>
      </c>
      <c r="E1545" s="4" t="str">
        <f t="shared" si="72"/>
        <v>REORDER NOW</v>
      </c>
      <c r="F1545" s="4"/>
      <c r="G1545" s="4"/>
      <c r="H1545" s="5">
        <f t="shared" si="73"/>
        <v>3</v>
      </c>
      <c r="I1545" s="5">
        <f t="shared" si="74"/>
        <v>0</v>
      </c>
    </row>
    <row r="1546" spans="1:9" ht="18" customHeight="1" x14ac:dyDescent="0.25">
      <c r="A1546" s="2" t="s">
        <v>3022</v>
      </c>
      <c r="B1546" s="2" t="s">
        <v>3023</v>
      </c>
      <c r="C1546" s="3">
        <v>1</v>
      </c>
      <c r="D1546" s="3">
        <v>6</v>
      </c>
      <c r="E1546" s="2" t="str">
        <f t="shared" si="72"/>
        <v>REORDER NOW</v>
      </c>
      <c r="F1546" s="2"/>
      <c r="G1546" s="2"/>
      <c r="H1546" s="3">
        <f t="shared" si="73"/>
        <v>3</v>
      </c>
      <c r="I1546" s="3">
        <f t="shared" si="74"/>
        <v>0.3</v>
      </c>
    </row>
    <row r="1547" spans="1:9" ht="18" customHeight="1" x14ac:dyDescent="0.25">
      <c r="A1547" s="4" t="s">
        <v>3024</v>
      </c>
      <c r="B1547" s="4" t="s">
        <v>3025</v>
      </c>
      <c r="C1547" s="5">
        <v>20</v>
      </c>
      <c r="D1547" s="5">
        <v>10</v>
      </c>
      <c r="E1547" s="4" t="str">
        <f t="shared" si="72"/>
        <v>OK</v>
      </c>
      <c r="F1547" s="4"/>
      <c r="G1547" s="4"/>
      <c r="H1547" s="5">
        <f t="shared" si="73"/>
        <v>5</v>
      </c>
      <c r="I1547" s="5">
        <f t="shared" si="74"/>
        <v>4</v>
      </c>
    </row>
    <row r="1548" spans="1:9" ht="18" customHeight="1" x14ac:dyDescent="0.25">
      <c r="A1548" s="2" t="s">
        <v>3026</v>
      </c>
      <c r="B1548" s="2" t="s">
        <v>3027</v>
      </c>
      <c r="C1548" s="3">
        <v>0</v>
      </c>
      <c r="D1548" s="3">
        <v>6</v>
      </c>
      <c r="E1548" s="2" t="str">
        <f t="shared" si="72"/>
        <v>REORDER NOW</v>
      </c>
      <c r="F1548" s="2"/>
      <c r="G1548" s="2"/>
      <c r="H1548" s="3">
        <f t="shared" si="73"/>
        <v>3</v>
      </c>
      <c r="I1548" s="3">
        <f t="shared" si="74"/>
        <v>0</v>
      </c>
    </row>
    <row r="1549" spans="1:9" ht="18" customHeight="1" x14ac:dyDescent="0.25">
      <c r="A1549" s="4" t="s">
        <v>3028</v>
      </c>
      <c r="B1549" s="4" t="s">
        <v>3029</v>
      </c>
      <c r="C1549" s="5">
        <v>0</v>
      </c>
      <c r="D1549" s="5">
        <v>6</v>
      </c>
      <c r="E1549" s="4" t="str">
        <f t="shared" si="72"/>
        <v>REORDER NOW</v>
      </c>
      <c r="F1549" s="4"/>
      <c r="G1549" s="4"/>
      <c r="H1549" s="5">
        <f t="shared" si="73"/>
        <v>3</v>
      </c>
      <c r="I1549" s="5">
        <f t="shared" si="74"/>
        <v>0</v>
      </c>
    </row>
    <row r="1550" spans="1:9" ht="18" customHeight="1" x14ac:dyDescent="0.25">
      <c r="A1550" s="2" t="s">
        <v>3030</v>
      </c>
      <c r="B1550" s="2" t="s">
        <v>3031</v>
      </c>
      <c r="C1550" s="3">
        <v>0</v>
      </c>
      <c r="D1550" s="3">
        <v>6</v>
      </c>
      <c r="E1550" s="2" t="str">
        <f t="shared" si="72"/>
        <v>REORDER NOW</v>
      </c>
      <c r="F1550" s="2"/>
      <c r="G1550" s="2"/>
      <c r="H1550" s="3">
        <f t="shared" si="73"/>
        <v>3</v>
      </c>
      <c r="I1550" s="3">
        <f t="shared" si="74"/>
        <v>0</v>
      </c>
    </row>
    <row r="1551" spans="1:9" ht="18" customHeight="1" x14ac:dyDescent="0.25">
      <c r="A1551" s="4" t="s">
        <v>3032</v>
      </c>
      <c r="B1551" s="4" t="s">
        <v>3033</v>
      </c>
      <c r="C1551" s="5">
        <v>0</v>
      </c>
      <c r="D1551" s="5">
        <v>6</v>
      </c>
      <c r="E1551" s="4" t="str">
        <f t="shared" si="72"/>
        <v>REORDER NOW</v>
      </c>
      <c r="F1551" s="4"/>
      <c r="G1551" s="4"/>
      <c r="H1551" s="5">
        <f t="shared" si="73"/>
        <v>3</v>
      </c>
      <c r="I1551" s="5">
        <f t="shared" si="74"/>
        <v>0</v>
      </c>
    </row>
    <row r="1552" spans="1:9" ht="18" customHeight="1" x14ac:dyDescent="0.25">
      <c r="A1552" s="2" t="s">
        <v>3034</v>
      </c>
      <c r="B1552" s="2" t="s">
        <v>3035</v>
      </c>
      <c r="C1552" s="3">
        <v>0</v>
      </c>
      <c r="D1552" s="3">
        <v>6</v>
      </c>
      <c r="E1552" s="2" t="str">
        <f t="shared" si="72"/>
        <v>REORDER NOW</v>
      </c>
      <c r="F1552" s="2"/>
      <c r="G1552" s="2"/>
      <c r="H1552" s="3">
        <f t="shared" si="73"/>
        <v>3</v>
      </c>
      <c r="I1552" s="3">
        <f t="shared" si="74"/>
        <v>0</v>
      </c>
    </row>
    <row r="1553" spans="1:9" ht="18" customHeight="1" x14ac:dyDescent="0.25">
      <c r="A1553" s="4" t="s">
        <v>3036</v>
      </c>
      <c r="B1553" s="4" t="s">
        <v>3037</v>
      </c>
      <c r="C1553" s="5">
        <v>0</v>
      </c>
      <c r="D1553" s="5">
        <v>6</v>
      </c>
      <c r="E1553" s="4" t="str">
        <f t="shared" si="72"/>
        <v>REORDER NOW</v>
      </c>
      <c r="F1553" s="4"/>
      <c r="G1553" s="4"/>
      <c r="H1553" s="5">
        <f t="shared" si="73"/>
        <v>3</v>
      </c>
      <c r="I1553" s="5">
        <f t="shared" si="74"/>
        <v>0</v>
      </c>
    </row>
    <row r="1554" spans="1:9" ht="18" customHeight="1" x14ac:dyDescent="0.25">
      <c r="A1554" s="2" t="s">
        <v>3038</v>
      </c>
      <c r="B1554" s="2" t="s">
        <v>3039</v>
      </c>
      <c r="C1554" s="3">
        <v>4</v>
      </c>
      <c r="D1554" s="3">
        <v>6</v>
      </c>
      <c r="E1554" s="2" t="str">
        <f t="shared" si="72"/>
        <v>REORDER NOW</v>
      </c>
      <c r="F1554" s="2"/>
      <c r="G1554" s="2"/>
      <c r="H1554" s="3">
        <f t="shared" si="73"/>
        <v>3</v>
      </c>
      <c r="I1554" s="3">
        <f t="shared" si="74"/>
        <v>1.3</v>
      </c>
    </row>
    <row r="1555" spans="1:9" ht="18" customHeight="1" x14ac:dyDescent="0.25">
      <c r="A1555" s="4" t="s">
        <v>3040</v>
      </c>
      <c r="B1555" s="4" t="s">
        <v>3041</v>
      </c>
      <c r="C1555" s="5">
        <v>1</v>
      </c>
      <c r="D1555" s="5">
        <v>6</v>
      </c>
      <c r="E1555" s="4" t="str">
        <f t="shared" si="72"/>
        <v>REORDER NOW</v>
      </c>
      <c r="F1555" s="4"/>
      <c r="G1555" s="4"/>
      <c r="H1555" s="5">
        <f t="shared" si="73"/>
        <v>3</v>
      </c>
      <c r="I1555" s="5">
        <f t="shared" si="74"/>
        <v>0.3</v>
      </c>
    </row>
    <row r="1556" spans="1:9" ht="18" customHeight="1" x14ac:dyDescent="0.25">
      <c r="A1556" s="2" t="s">
        <v>3042</v>
      </c>
      <c r="B1556" s="2" t="s">
        <v>3043</v>
      </c>
      <c r="C1556" s="3">
        <v>0</v>
      </c>
      <c r="D1556" s="3">
        <v>6</v>
      </c>
      <c r="E1556" s="2" t="str">
        <f t="shared" si="72"/>
        <v>REORDER NOW</v>
      </c>
      <c r="F1556" s="2"/>
      <c r="G1556" s="2"/>
      <c r="H1556" s="3">
        <f t="shared" si="73"/>
        <v>3</v>
      </c>
      <c r="I1556" s="3">
        <f t="shared" si="74"/>
        <v>0</v>
      </c>
    </row>
    <row r="1557" spans="1:9" ht="18" customHeight="1" x14ac:dyDescent="0.25">
      <c r="A1557" s="4" t="s">
        <v>3044</v>
      </c>
      <c r="B1557" s="4" t="s">
        <v>3045</v>
      </c>
      <c r="C1557" s="5">
        <v>0</v>
      </c>
      <c r="D1557" s="5">
        <v>6</v>
      </c>
      <c r="E1557" s="4" t="str">
        <f t="shared" si="72"/>
        <v>REORDER NOW</v>
      </c>
      <c r="F1557" s="4"/>
      <c r="G1557" s="4"/>
      <c r="H1557" s="5">
        <f t="shared" si="73"/>
        <v>3</v>
      </c>
      <c r="I1557" s="5">
        <f t="shared" si="74"/>
        <v>0</v>
      </c>
    </row>
    <row r="1558" spans="1:9" ht="18" customHeight="1" x14ac:dyDescent="0.25">
      <c r="A1558" s="2" t="s">
        <v>3046</v>
      </c>
      <c r="B1558" s="2" t="s">
        <v>3047</v>
      </c>
      <c r="C1558" s="3">
        <v>2</v>
      </c>
      <c r="D1558" s="3">
        <v>6</v>
      </c>
      <c r="E1558" s="2" t="str">
        <f t="shared" si="72"/>
        <v>REORDER NOW</v>
      </c>
      <c r="F1558" s="2"/>
      <c r="G1558" s="2"/>
      <c r="H1558" s="3">
        <f t="shared" si="73"/>
        <v>3</v>
      </c>
      <c r="I1558" s="3">
        <f t="shared" si="74"/>
        <v>0.7</v>
      </c>
    </row>
    <row r="1559" spans="1:9" ht="18" customHeight="1" x14ac:dyDescent="0.25">
      <c r="A1559" s="4" t="s">
        <v>3048</v>
      </c>
      <c r="B1559" s="4" t="s">
        <v>3049</v>
      </c>
      <c r="C1559" s="5">
        <v>0</v>
      </c>
      <c r="D1559" s="5">
        <v>6</v>
      </c>
      <c r="E1559" s="4" t="str">
        <f t="shared" si="72"/>
        <v>REORDER NOW</v>
      </c>
      <c r="F1559" s="4"/>
      <c r="G1559" s="4"/>
      <c r="H1559" s="5">
        <f t="shared" si="73"/>
        <v>3</v>
      </c>
      <c r="I1559" s="5">
        <f t="shared" si="74"/>
        <v>0</v>
      </c>
    </row>
    <row r="1560" spans="1:9" ht="18" customHeight="1" x14ac:dyDescent="0.25">
      <c r="A1560" s="2" t="s">
        <v>3050</v>
      </c>
      <c r="B1560" s="2" t="s">
        <v>3051</v>
      </c>
      <c r="C1560" s="3">
        <v>0</v>
      </c>
      <c r="D1560" s="3">
        <v>6</v>
      </c>
      <c r="E1560" s="2" t="str">
        <f t="shared" si="72"/>
        <v>REORDER NOW</v>
      </c>
      <c r="F1560" s="2"/>
      <c r="G1560" s="2"/>
      <c r="H1560" s="3">
        <f t="shared" si="73"/>
        <v>3</v>
      </c>
      <c r="I1560" s="3">
        <f t="shared" si="74"/>
        <v>0</v>
      </c>
    </row>
    <row r="1561" spans="1:9" ht="18" customHeight="1" x14ac:dyDescent="0.25">
      <c r="A1561" s="4" t="s">
        <v>3052</v>
      </c>
      <c r="B1561" s="4" t="s">
        <v>3053</v>
      </c>
      <c r="C1561" s="5">
        <v>0</v>
      </c>
      <c r="D1561" s="5">
        <v>6</v>
      </c>
      <c r="E1561" s="4" t="str">
        <f t="shared" si="72"/>
        <v>REORDER NOW</v>
      </c>
      <c r="F1561" s="4"/>
      <c r="G1561" s="4"/>
      <c r="H1561" s="5">
        <f t="shared" si="73"/>
        <v>3</v>
      </c>
      <c r="I1561" s="5">
        <f t="shared" si="74"/>
        <v>0</v>
      </c>
    </row>
    <row r="1562" spans="1:9" ht="18" customHeight="1" x14ac:dyDescent="0.25">
      <c r="A1562" s="2" t="s">
        <v>3054</v>
      </c>
      <c r="B1562" s="2" t="s">
        <v>3055</v>
      </c>
      <c r="C1562" s="3">
        <v>0</v>
      </c>
      <c r="D1562" s="3">
        <v>6</v>
      </c>
      <c r="E1562" s="2" t="str">
        <f t="shared" si="72"/>
        <v>REORDER NOW</v>
      </c>
      <c r="F1562" s="2"/>
      <c r="G1562" s="2"/>
      <c r="H1562" s="3">
        <f t="shared" si="73"/>
        <v>3</v>
      </c>
      <c r="I1562" s="3">
        <f t="shared" si="74"/>
        <v>0</v>
      </c>
    </row>
    <row r="1563" spans="1:9" ht="18" customHeight="1" x14ac:dyDescent="0.25">
      <c r="A1563" s="4" t="s">
        <v>3056</v>
      </c>
      <c r="B1563" s="4" t="s">
        <v>3057</v>
      </c>
      <c r="C1563" s="5">
        <v>0</v>
      </c>
      <c r="D1563" s="5">
        <v>6</v>
      </c>
      <c r="E1563" s="4" t="str">
        <f t="shared" si="72"/>
        <v>REORDER NOW</v>
      </c>
      <c r="F1563" s="4"/>
      <c r="G1563" s="4"/>
      <c r="H1563" s="5">
        <f t="shared" si="73"/>
        <v>3</v>
      </c>
      <c r="I1563" s="5">
        <f t="shared" si="74"/>
        <v>0</v>
      </c>
    </row>
    <row r="1564" spans="1:9" ht="18" customHeight="1" x14ac:dyDescent="0.25">
      <c r="A1564" s="2" t="s">
        <v>3058</v>
      </c>
      <c r="B1564" s="2" t="s">
        <v>3059</v>
      </c>
      <c r="C1564" s="3">
        <v>2</v>
      </c>
      <c r="D1564" s="3">
        <v>6</v>
      </c>
      <c r="E1564" s="2" t="str">
        <f t="shared" si="72"/>
        <v>REORDER NOW</v>
      </c>
      <c r="F1564" s="2"/>
      <c r="G1564" s="2"/>
      <c r="H1564" s="3">
        <f t="shared" si="73"/>
        <v>3</v>
      </c>
      <c r="I1564" s="3">
        <f t="shared" si="74"/>
        <v>0.7</v>
      </c>
    </row>
    <row r="1565" spans="1:9" ht="18" customHeight="1" x14ac:dyDescent="0.25">
      <c r="A1565" s="4" t="s">
        <v>3060</v>
      </c>
      <c r="B1565" s="4" t="s">
        <v>3061</v>
      </c>
      <c r="C1565" s="5">
        <v>2</v>
      </c>
      <c r="D1565" s="5">
        <v>6</v>
      </c>
      <c r="E1565" s="4" t="str">
        <f t="shared" si="72"/>
        <v>REORDER NOW</v>
      </c>
      <c r="F1565" s="4"/>
      <c r="G1565" s="4"/>
      <c r="H1565" s="5">
        <f t="shared" si="73"/>
        <v>3</v>
      </c>
      <c r="I1565" s="5">
        <f t="shared" si="74"/>
        <v>0.7</v>
      </c>
    </row>
    <row r="1566" spans="1:9" ht="18" customHeight="1" x14ac:dyDescent="0.25">
      <c r="A1566" s="2" t="s">
        <v>3062</v>
      </c>
      <c r="B1566" s="2" t="s">
        <v>3063</v>
      </c>
      <c r="C1566" s="3">
        <v>2</v>
      </c>
      <c r="D1566" s="3">
        <v>6</v>
      </c>
      <c r="E1566" s="2" t="str">
        <f t="shared" si="72"/>
        <v>REORDER NOW</v>
      </c>
      <c r="F1566" s="2"/>
      <c r="G1566" s="2"/>
      <c r="H1566" s="3">
        <f t="shared" si="73"/>
        <v>3</v>
      </c>
      <c r="I1566" s="3">
        <f t="shared" si="74"/>
        <v>0.7</v>
      </c>
    </row>
    <row r="1567" spans="1:9" ht="18" customHeight="1" x14ac:dyDescent="0.25">
      <c r="A1567" s="4" t="s">
        <v>3064</v>
      </c>
      <c r="B1567" s="4" t="s">
        <v>3065</v>
      </c>
      <c r="C1567" s="5">
        <v>1</v>
      </c>
      <c r="D1567" s="5">
        <v>6</v>
      </c>
      <c r="E1567" s="4" t="str">
        <f t="shared" si="72"/>
        <v>REORDER NOW</v>
      </c>
      <c r="F1567" s="4"/>
      <c r="G1567" s="4"/>
      <c r="H1567" s="5">
        <f t="shared" si="73"/>
        <v>3</v>
      </c>
      <c r="I1567" s="5">
        <f t="shared" si="74"/>
        <v>0.3</v>
      </c>
    </row>
    <row r="1568" spans="1:9" ht="18" customHeight="1" x14ac:dyDescent="0.25">
      <c r="A1568" s="2" t="s">
        <v>3066</v>
      </c>
      <c r="B1568" s="2" t="s">
        <v>3067</v>
      </c>
      <c r="C1568" s="3">
        <v>1</v>
      </c>
      <c r="D1568" s="3">
        <v>6</v>
      </c>
      <c r="E1568" s="2" t="str">
        <f t="shared" si="72"/>
        <v>REORDER NOW</v>
      </c>
      <c r="F1568" s="2"/>
      <c r="G1568" s="2"/>
      <c r="H1568" s="3">
        <f t="shared" si="73"/>
        <v>3</v>
      </c>
      <c r="I1568" s="3">
        <f t="shared" si="74"/>
        <v>0.3</v>
      </c>
    </row>
    <row r="1569" spans="1:9" ht="18" customHeight="1" x14ac:dyDescent="0.25">
      <c r="A1569" s="4" t="s">
        <v>3068</v>
      </c>
      <c r="B1569" s="4" t="s">
        <v>3069</v>
      </c>
      <c r="C1569" s="5">
        <v>1</v>
      </c>
      <c r="D1569" s="5">
        <v>6</v>
      </c>
      <c r="E1569" s="4" t="str">
        <f t="shared" si="72"/>
        <v>REORDER NOW</v>
      </c>
      <c r="F1569" s="4"/>
      <c r="G1569" s="4"/>
      <c r="H1569" s="5">
        <f t="shared" si="73"/>
        <v>3</v>
      </c>
      <c r="I1569" s="5">
        <f t="shared" si="74"/>
        <v>0.3</v>
      </c>
    </row>
    <row r="1570" spans="1:9" ht="18" customHeight="1" x14ac:dyDescent="0.25">
      <c r="A1570" s="2" t="s">
        <v>3070</v>
      </c>
      <c r="B1570" s="2" t="s">
        <v>3071</v>
      </c>
      <c r="C1570" s="3">
        <v>1</v>
      </c>
      <c r="D1570" s="3">
        <v>6</v>
      </c>
      <c r="E1570" s="2" t="str">
        <f t="shared" si="72"/>
        <v>REORDER NOW</v>
      </c>
      <c r="F1570" s="2"/>
      <c r="G1570" s="2"/>
      <c r="H1570" s="3">
        <f t="shared" si="73"/>
        <v>3</v>
      </c>
      <c r="I1570" s="3">
        <f t="shared" si="74"/>
        <v>0.3</v>
      </c>
    </row>
    <row r="1571" spans="1:9" ht="18" customHeight="1" x14ac:dyDescent="0.25">
      <c r="A1571" s="4" t="s">
        <v>3072</v>
      </c>
      <c r="B1571" s="4" t="s">
        <v>3073</v>
      </c>
      <c r="C1571" s="5">
        <v>99</v>
      </c>
      <c r="D1571" s="5">
        <v>40</v>
      </c>
      <c r="E1571" s="4" t="str">
        <f t="shared" si="72"/>
        <v>OK</v>
      </c>
      <c r="F1571" s="4"/>
      <c r="G1571" s="4"/>
      <c r="H1571" s="5">
        <f t="shared" si="73"/>
        <v>20</v>
      </c>
      <c r="I1571" s="5">
        <f t="shared" si="74"/>
        <v>5</v>
      </c>
    </row>
    <row r="1572" spans="1:9" ht="18" customHeight="1" x14ac:dyDescent="0.25">
      <c r="A1572" s="2" t="s">
        <v>3074</v>
      </c>
      <c r="B1572" s="2" t="s">
        <v>3075</v>
      </c>
      <c r="C1572" s="3">
        <v>1</v>
      </c>
      <c r="D1572" s="3">
        <v>6</v>
      </c>
      <c r="E1572" s="2" t="str">
        <f t="shared" si="72"/>
        <v>REORDER NOW</v>
      </c>
      <c r="F1572" s="2"/>
      <c r="G1572" s="2"/>
      <c r="H1572" s="3">
        <f t="shared" si="73"/>
        <v>3</v>
      </c>
      <c r="I1572" s="3">
        <f t="shared" si="74"/>
        <v>0.3</v>
      </c>
    </row>
    <row r="1573" spans="1:9" ht="18" customHeight="1" x14ac:dyDescent="0.25">
      <c r="A1573" s="4" t="s">
        <v>3076</v>
      </c>
      <c r="B1573" s="4" t="s">
        <v>3077</v>
      </c>
      <c r="C1573" s="5">
        <v>0</v>
      </c>
      <c r="D1573" s="5">
        <v>6</v>
      </c>
      <c r="E1573" s="4" t="str">
        <f t="shared" si="72"/>
        <v>REORDER NOW</v>
      </c>
      <c r="F1573" s="4"/>
      <c r="G1573" s="4"/>
      <c r="H1573" s="5">
        <f t="shared" si="73"/>
        <v>3</v>
      </c>
      <c r="I1573" s="5">
        <f t="shared" si="74"/>
        <v>0</v>
      </c>
    </row>
    <row r="1574" spans="1:9" ht="18" customHeight="1" x14ac:dyDescent="0.25">
      <c r="A1574" s="2" t="s">
        <v>3078</v>
      </c>
      <c r="B1574" s="2" t="s">
        <v>3079</v>
      </c>
      <c r="C1574" s="3">
        <v>1</v>
      </c>
      <c r="D1574" s="3">
        <v>6</v>
      </c>
      <c r="E1574" s="2" t="str">
        <f t="shared" si="72"/>
        <v>REORDER NOW</v>
      </c>
      <c r="F1574" s="2"/>
      <c r="G1574" s="2"/>
      <c r="H1574" s="3">
        <f t="shared" si="73"/>
        <v>3</v>
      </c>
      <c r="I1574" s="3">
        <f t="shared" si="74"/>
        <v>0.3</v>
      </c>
    </row>
    <row r="1575" spans="1:9" ht="18" customHeight="1" x14ac:dyDescent="0.25">
      <c r="A1575" s="4" t="s">
        <v>3080</v>
      </c>
      <c r="B1575" s="4" t="s">
        <v>3081</v>
      </c>
      <c r="C1575" s="5">
        <v>5</v>
      </c>
      <c r="D1575" s="5">
        <v>6</v>
      </c>
      <c r="E1575" s="4" t="str">
        <f t="shared" si="72"/>
        <v>REORDER NOW</v>
      </c>
      <c r="F1575" s="4"/>
      <c r="G1575" s="4"/>
      <c r="H1575" s="5">
        <f t="shared" si="73"/>
        <v>3</v>
      </c>
      <c r="I1575" s="5">
        <f t="shared" si="74"/>
        <v>1.7</v>
      </c>
    </row>
    <row r="1576" spans="1:9" ht="18" customHeight="1" x14ac:dyDescent="0.25">
      <c r="A1576" s="2" t="s">
        <v>3082</v>
      </c>
      <c r="B1576" s="2" t="s">
        <v>3083</v>
      </c>
      <c r="C1576" s="3">
        <v>2</v>
      </c>
      <c r="D1576" s="3">
        <v>6</v>
      </c>
      <c r="E1576" s="2" t="str">
        <f t="shared" si="72"/>
        <v>REORDER NOW</v>
      </c>
      <c r="F1576" s="2"/>
      <c r="G1576" s="2"/>
      <c r="H1576" s="3">
        <f t="shared" si="73"/>
        <v>3</v>
      </c>
      <c r="I1576" s="3">
        <f t="shared" si="74"/>
        <v>0.7</v>
      </c>
    </row>
    <row r="1577" spans="1:9" ht="18" customHeight="1" x14ac:dyDescent="0.25">
      <c r="A1577" s="4" t="s">
        <v>3084</v>
      </c>
      <c r="B1577" s="4" t="s">
        <v>3085</v>
      </c>
      <c r="C1577" s="5">
        <v>1</v>
      </c>
      <c r="D1577" s="5">
        <v>6</v>
      </c>
      <c r="E1577" s="4" t="str">
        <f t="shared" si="72"/>
        <v>REORDER NOW</v>
      </c>
      <c r="F1577" s="4"/>
      <c r="G1577" s="4"/>
      <c r="H1577" s="5">
        <f t="shared" si="73"/>
        <v>3</v>
      </c>
      <c r="I1577" s="5">
        <f t="shared" si="74"/>
        <v>0.3</v>
      </c>
    </row>
    <row r="1578" spans="1:9" ht="18" customHeight="1" x14ac:dyDescent="0.25">
      <c r="A1578" s="2" t="s">
        <v>3086</v>
      </c>
      <c r="B1578" s="2" t="s">
        <v>3087</v>
      </c>
      <c r="C1578" s="3">
        <v>1</v>
      </c>
      <c r="D1578" s="3">
        <v>6</v>
      </c>
      <c r="E1578" s="2" t="str">
        <f t="shared" si="72"/>
        <v>REORDER NOW</v>
      </c>
      <c r="F1578" s="2"/>
      <c r="G1578" s="2"/>
      <c r="H1578" s="3">
        <f t="shared" si="73"/>
        <v>3</v>
      </c>
      <c r="I1578" s="3">
        <f t="shared" si="74"/>
        <v>0.3</v>
      </c>
    </row>
    <row r="1579" spans="1:9" ht="18" customHeight="1" x14ac:dyDescent="0.25">
      <c r="A1579" s="4" t="s">
        <v>3088</v>
      </c>
      <c r="B1579" s="4" t="s">
        <v>3089</v>
      </c>
      <c r="C1579" s="5">
        <v>1</v>
      </c>
      <c r="D1579" s="5">
        <v>6</v>
      </c>
      <c r="E1579" s="4" t="str">
        <f t="shared" si="72"/>
        <v>REORDER NOW</v>
      </c>
      <c r="F1579" s="4"/>
      <c r="G1579" s="4"/>
      <c r="H1579" s="5">
        <f t="shared" si="73"/>
        <v>3</v>
      </c>
      <c r="I1579" s="5">
        <f t="shared" si="74"/>
        <v>0.3</v>
      </c>
    </row>
    <row r="1580" spans="1:9" ht="18" customHeight="1" x14ac:dyDescent="0.25">
      <c r="A1580" s="2" t="s">
        <v>3090</v>
      </c>
      <c r="B1580" s="2" t="s">
        <v>3091</v>
      </c>
      <c r="C1580" s="3">
        <v>5</v>
      </c>
      <c r="D1580" s="3">
        <v>6</v>
      </c>
      <c r="E1580" s="2" t="str">
        <f t="shared" si="72"/>
        <v>REORDER NOW</v>
      </c>
      <c r="F1580" s="2"/>
      <c r="G1580" s="2"/>
      <c r="H1580" s="3">
        <f t="shared" si="73"/>
        <v>3</v>
      </c>
      <c r="I1580" s="3">
        <f t="shared" si="74"/>
        <v>1.7</v>
      </c>
    </row>
    <row r="1581" spans="1:9" ht="18" customHeight="1" x14ac:dyDescent="0.25">
      <c r="A1581" s="4" t="s">
        <v>3092</v>
      </c>
      <c r="B1581" s="4" t="s">
        <v>3093</v>
      </c>
      <c r="C1581" s="5">
        <v>0</v>
      </c>
      <c r="D1581" s="5">
        <v>6</v>
      </c>
      <c r="E1581" s="4" t="str">
        <f t="shared" si="72"/>
        <v>REORDER NOW</v>
      </c>
      <c r="F1581" s="4"/>
      <c r="G1581" s="4"/>
      <c r="H1581" s="5">
        <f t="shared" si="73"/>
        <v>3</v>
      </c>
      <c r="I1581" s="5">
        <f t="shared" si="74"/>
        <v>0</v>
      </c>
    </row>
  </sheetData>
  <autoFilter ref="A3:I3"/>
  <mergeCells count="1">
    <mergeCell ref="A1:G1"/>
  </mergeCells>
  <conditionalFormatting sqref="E4:E1581">
    <cfRule type="expression" dxfId="3" priority="2">
      <formula>E4="OK"</formula>
    </cfRule>
    <cfRule type="expression" dxfId="2" priority="3">
      <formula>E4="REORDER NOW"</formula>
    </cfRule>
  </conditionalFormatting>
  <conditionalFormatting sqref="A4:G1581">
    <cfRule type="expression" dxfId="1" priority="4">
      <formula>$E4="REORDER NOW"</formula>
    </cfRule>
  </conditionalFormatting>
  <conditionalFormatting sqref="H4:I1581">
    <cfRule type="expression" dxfId="0" priority="1">
      <formula>$E4="REORDER NOW"</formula>
    </cfRule>
  </conditionalFormatting>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4"/>
  <sheetViews>
    <sheetView workbookViewId="0">
      <pane ySplit="4" topLeftCell="A20" activePane="bottomLeft" state="frozen"/>
      <selection pane="bottomLeft" activeCell="A11" sqref="A11"/>
    </sheetView>
  </sheetViews>
  <sheetFormatPr defaultRowHeight="15" x14ac:dyDescent="0.25"/>
  <cols>
    <col min="1" max="1" width="14" style="10" customWidth="1"/>
    <col min="2" max="2" width="15" style="10" customWidth="1"/>
    <col min="3" max="3" width="45" style="10" customWidth="1"/>
    <col min="4" max="4" width="12" style="10" customWidth="1"/>
    <col min="5" max="5" width="25" style="10" customWidth="1"/>
    <col min="6" max="6" width="20" style="10" customWidth="1"/>
    <col min="7" max="7" width="12" style="10" customWidth="1"/>
    <col min="8" max="8" width="30" style="10" customWidth="1"/>
  </cols>
  <sheetData>
    <row r="1" spans="1:8" ht="60" customHeight="1" x14ac:dyDescent="0.25">
      <c r="A1" s="24" t="s">
        <v>3094</v>
      </c>
      <c r="B1" s="23"/>
      <c r="C1" s="23"/>
      <c r="D1" s="23"/>
      <c r="E1" s="23"/>
      <c r="F1" s="23"/>
      <c r="G1" s="23"/>
      <c r="H1" s="23"/>
    </row>
    <row r="2" spans="1:8" x14ac:dyDescent="0.25">
      <c r="A2" s="22" t="s">
        <v>3095</v>
      </c>
      <c r="B2" s="23"/>
      <c r="C2" s="23"/>
      <c r="D2" s="23"/>
      <c r="E2" s="23"/>
      <c r="F2" s="23"/>
      <c r="G2" s="23"/>
      <c r="H2" s="23"/>
    </row>
    <row r="4" spans="1:8" ht="27.95" customHeight="1" x14ac:dyDescent="0.25">
      <c r="A4" s="6" t="s">
        <v>3096</v>
      </c>
      <c r="B4" s="6" t="s">
        <v>1</v>
      </c>
      <c r="C4" s="6" t="s">
        <v>2</v>
      </c>
      <c r="D4" s="6" t="s">
        <v>3097</v>
      </c>
      <c r="E4" s="6" t="s">
        <v>3098</v>
      </c>
      <c r="F4" s="6" t="s">
        <v>3099</v>
      </c>
      <c r="G4" s="6" t="s">
        <v>3100</v>
      </c>
      <c r="H4" s="6" t="s">
        <v>7</v>
      </c>
    </row>
    <row r="5" spans="1:8" x14ac:dyDescent="0.25">
      <c r="A5" s="4"/>
      <c r="B5" s="4"/>
      <c r="C5" s="4"/>
      <c r="D5" s="4"/>
      <c r="E5" s="4"/>
      <c r="F5" s="4"/>
      <c r="G5" s="5" t="str">
        <f t="shared" ref="G5:G36" si="0">IF(A5="","",TEXT(A5,"MMM YYYY"))</f>
        <v/>
      </c>
      <c r="H5" s="4"/>
    </row>
    <row r="6" spans="1:8" x14ac:dyDescent="0.25">
      <c r="A6" s="2"/>
      <c r="B6" s="2"/>
      <c r="C6" s="2"/>
      <c r="D6" s="2"/>
      <c r="E6" s="2"/>
      <c r="F6" s="2"/>
      <c r="G6" s="3" t="str">
        <f t="shared" si="0"/>
        <v/>
      </c>
      <c r="H6" s="2"/>
    </row>
    <row r="7" spans="1:8" x14ac:dyDescent="0.25">
      <c r="A7" s="4"/>
      <c r="B7" s="4"/>
      <c r="C7" s="4"/>
      <c r="D7" s="4"/>
      <c r="E7" s="4"/>
      <c r="F7" s="4"/>
      <c r="G7" s="5" t="str">
        <f t="shared" si="0"/>
        <v/>
      </c>
      <c r="H7" s="4"/>
    </row>
    <row r="8" spans="1:8" x14ac:dyDescent="0.25">
      <c r="A8" s="2"/>
      <c r="B8" s="2"/>
      <c r="C8" s="2"/>
      <c r="D8" s="2"/>
      <c r="E8" s="2"/>
      <c r="F8" s="2"/>
      <c r="G8" s="3" t="str">
        <f t="shared" si="0"/>
        <v/>
      </c>
      <c r="H8" s="2"/>
    </row>
    <row r="9" spans="1:8" x14ac:dyDescent="0.25">
      <c r="A9" s="4"/>
      <c r="B9" s="4"/>
      <c r="C9" s="4"/>
      <c r="D9" s="4"/>
      <c r="E9" s="4"/>
      <c r="F9" s="4"/>
      <c r="G9" s="5" t="str">
        <f t="shared" si="0"/>
        <v/>
      </c>
      <c r="H9" s="4"/>
    </row>
    <row r="10" spans="1:8" x14ac:dyDescent="0.25">
      <c r="A10" s="2"/>
      <c r="B10" s="2"/>
      <c r="C10" s="2"/>
      <c r="D10" s="2"/>
      <c r="E10" s="2"/>
      <c r="F10" s="2"/>
      <c r="G10" s="3" t="str">
        <f t="shared" si="0"/>
        <v/>
      </c>
      <c r="H10" s="2"/>
    </row>
    <row r="11" spans="1:8" x14ac:dyDescent="0.25">
      <c r="A11" s="4"/>
      <c r="B11" s="4"/>
      <c r="C11" s="4"/>
      <c r="D11" s="4"/>
      <c r="E11" s="4"/>
      <c r="F11" s="4"/>
      <c r="G11" s="5" t="str">
        <f t="shared" si="0"/>
        <v/>
      </c>
      <c r="H11" s="4"/>
    </row>
    <row r="12" spans="1:8" x14ac:dyDescent="0.25">
      <c r="A12" s="2"/>
      <c r="B12" s="2"/>
      <c r="C12" s="2"/>
      <c r="D12" s="2"/>
      <c r="E12" s="2"/>
      <c r="F12" s="2"/>
      <c r="G12" s="3" t="str">
        <f t="shared" si="0"/>
        <v/>
      </c>
      <c r="H12" s="2"/>
    </row>
    <row r="13" spans="1:8" x14ac:dyDescent="0.25">
      <c r="A13" s="4"/>
      <c r="B13" s="4"/>
      <c r="C13" s="4"/>
      <c r="D13" s="4"/>
      <c r="E13" s="4"/>
      <c r="F13" s="4"/>
      <c r="G13" s="5" t="str">
        <f t="shared" si="0"/>
        <v/>
      </c>
      <c r="H13" s="4"/>
    </row>
    <row r="14" spans="1:8" x14ac:dyDescent="0.25">
      <c r="A14" s="2"/>
      <c r="B14" s="2"/>
      <c r="C14" s="2"/>
      <c r="D14" s="2"/>
      <c r="E14" s="2"/>
      <c r="F14" s="2"/>
      <c r="G14" s="3" t="str">
        <f t="shared" si="0"/>
        <v/>
      </c>
      <c r="H14" s="2"/>
    </row>
    <row r="15" spans="1:8" x14ac:dyDescent="0.25">
      <c r="A15" s="4"/>
      <c r="B15" s="4"/>
      <c r="C15" s="4"/>
      <c r="D15" s="4"/>
      <c r="E15" s="4"/>
      <c r="F15" s="4"/>
      <c r="G15" s="5" t="str">
        <f t="shared" si="0"/>
        <v/>
      </c>
      <c r="H15" s="4"/>
    </row>
    <row r="16" spans="1:8" x14ac:dyDescent="0.25">
      <c r="A16" s="2"/>
      <c r="B16" s="2"/>
      <c r="C16" s="2"/>
      <c r="D16" s="2"/>
      <c r="E16" s="2"/>
      <c r="F16" s="2"/>
      <c r="G16" s="3" t="str">
        <f t="shared" si="0"/>
        <v/>
      </c>
      <c r="H16" s="2"/>
    </row>
    <row r="17" spans="1:8" x14ac:dyDescent="0.25">
      <c r="A17" s="4"/>
      <c r="B17" s="4"/>
      <c r="C17" s="4"/>
      <c r="D17" s="4"/>
      <c r="E17" s="4"/>
      <c r="F17" s="4"/>
      <c r="G17" s="5" t="str">
        <f t="shared" si="0"/>
        <v/>
      </c>
      <c r="H17" s="4"/>
    </row>
    <row r="18" spans="1:8" x14ac:dyDescent="0.25">
      <c r="A18" s="2"/>
      <c r="B18" s="2"/>
      <c r="C18" s="2"/>
      <c r="D18" s="2"/>
      <c r="E18" s="2"/>
      <c r="F18" s="2"/>
      <c r="G18" s="3" t="str">
        <f t="shared" si="0"/>
        <v/>
      </c>
      <c r="H18" s="2"/>
    </row>
    <row r="19" spans="1:8" x14ac:dyDescent="0.25">
      <c r="A19" s="4"/>
      <c r="B19" s="4"/>
      <c r="C19" s="4"/>
      <c r="D19" s="4"/>
      <c r="E19" s="4"/>
      <c r="F19" s="4"/>
      <c r="G19" s="5" t="str">
        <f t="shared" si="0"/>
        <v/>
      </c>
      <c r="H19" s="4"/>
    </row>
    <row r="20" spans="1:8" x14ac:dyDescent="0.25">
      <c r="A20" s="2"/>
      <c r="B20" s="2"/>
      <c r="C20" s="2"/>
      <c r="D20" s="2"/>
      <c r="E20" s="2"/>
      <c r="F20" s="2"/>
      <c r="G20" s="3" t="str">
        <f t="shared" si="0"/>
        <v/>
      </c>
      <c r="H20" s="2"/>
    </row>
    <row r="21" spans="1:8" x14ac:dyDescent="0.25">
      <c r="A21" s="4"/>
      <c r="B21" s="4"/>
      <c r="C21" s="4"/>
      <c r="D21" s="4"/>
      <c r="E21" s="4"/>
      <c r="F21" s="4"/>
      <c r="G21" s="5" t="str">
        <f t="shared" si="0"/>
        <v/>
      </c>
      <c r="H21" s="4"/>
    </row>
    <row r="22" spans="1:8" x14ac:dyDescent="0.25">
      <c r="A22" s="2"/>
      <c r="B22" s="2"/>
      <c r="C22" s="2"/>
      <c r="D22" s="2"/>
      <c r="E22" s="2"/>
      <c r="F22" s="2"/>
      <c r="G22" s="3" t="str">
        <f t="shared" si="0"/>
        <v/>
      </c>
      <c r="H22" s="2"/>
    </row>
    <row r="23" spans="1:8" x14ac:dyDescent="0.25">
      <c r="A23" s="4"/>
      <c r="B23" s="4"/>
      <c r="C23" s="4"/>
      <c r="D23" s="4"/>
      <c r="E23" s="4"/>
      <c r="F23" s="4"/>
      <c r="G23" s="5" t="str">
        <f t="shared" si="0"/>
        <v/>
      </c>
      <c r="H23" s="4"/>
    </row>
    <row r="24" spans="1:8" x14ac:dyDescent="0.25">
      <c r="A24" s="2"/>
      <c r="B24" s="2"/>
      <c r="C24" s="2"/>
      <c r="D24" s="2"/>
      <c r="E24" s="2"/>
      <c r="F24" s="2"/>
      <c r="G24" s="3" t="str">
        <f t="shared" si="0"/>
        <v/>
      </c>
      <c r="H24" s="2"/>
    </row>
    <row r="25" spans="1:8" x14ac:dyDescent="0.25">
      <c r="A25" s="4"/>
      <c r="B25" s="4"/>
      <c r="C25" s="4"/>
      <c r="D25" s="4"/>
      <c r="E25" s="4"/>
      <c r="F25" s="4"/>
      <c r="G25" s="5" t="str">
        <f t="shared" si="0"/>
        <v/>
      </c>
      <c r="H25" s="4"/>
    </row>
    <row r="26" spans="1:8" x14ac:dyDescent="0.25">
      <c r="A26" s="2"/>
      <c r="B26" s="2"/>
      <c r="C26" s="2"/>
      <c r="D26" s="2"/>
      <c r="E26" s="2"/>
      <c r="F26" s="2"/>
      <c r="G26" s="3" t="str">
        <f t="shared" si="0"/>
        <v/>
      </c>
      <c r="H26" s="2"/>
    </row>
    <row r="27" spans="1:8" x14ac:dyDescent="0.25">
      <c r="A27" s="4"/>
      <c r="B27" s="4"/>
      <c r="C27" s="4"/>
      <c r="D27" s="4"/>
      <c r="E27" s="4"/>
      <c r="F27" s="4"/>
      <c r="G27" s="5" t="str">
        <f t="shared" si="0"/>
        <v/>
      </c>
      <c r="H27" s="4"/>
    </row>
    <row r="28" spans="1:8" x14ac:dyDescent="0.25">
      <c r="A28" s="2"/>
      <c r="B28" s="2"/>
      <c r="C28" s="2"/>
      <c r="D28" s="2"/>
      <c r="E28" s="2"/>
      <c r="F28" s="2"/>
      <c r="G28" s="3" t="str">
        <f t="shared" si="0"/>
        <v/>
      </c>
      <c r="H28" s="2"/>
    </row>
    <row r="29" spans="1:8" x14ac:dyDescent="0.25">
      <c r="A29" s="4"/>
      <c r="B29" s="4"/>
      <c r="C29" s="4"/>
      <c r="D29" s="4"/>
      <c r="E29" s="4"/>
      <c r="F29" s="4"/>
      <c r="G29" s="5" t="str">
        <f t="shared" si="0"/>
        <v/>
      </c>
      <c r="H29" s="4"/>
    </row>
    <row r="30" spans="1:8" x14ac:dyDescent="0.25">
      <c r="A30" s="2"/>
      <c r="B30" s="2"/>
      <c r="C30" s="2"/>
      <c r="D30" s="2"/>
      <c r="E30" s="2"/>
      <c r="F30" s="2"/>
      <c r="G30" s="3" t="str">
        <f t="shared" si="0"/>
        <v/>
      </c>
      <c r="H30" s="2"/>
    </row>
    <row r="31" spans="1:8" x14ac:dyDescent="0.25">
      <c r="A31" s="4"/>
      <c r="B31" s="4"/>
      <c r="C31" s="4"/>
      <c r="D31" s="4"/>
      <c r="E31" s="4"/>
      <c r="F31" s="4"/>
      <c r="G31" s="5" t="str">
        <f t="shared" si="0"/>
        <v/>
      </c>
      <c r="H31" s="4"/>
    </row>
    <row r="32" spans="1:8" x14ac:dyDescent="0.25">
      <c r="A32" s="2"/>
      <c r="B32" s="2"/>
      <c r="C32" s="2"/>
      <c r="D32" s="2"/>
      <c r="E32" s="2"/>
      <c r="F32" s="2"/>
      <c r="G32" s="3" t="str">
        <f t="shared" si="0"/>
        <v/>
      </c>
      <c r="H32" s="2"/>
    </row>
    <row r="33" spans="1:8" x14ac:dyDescent="0.25">
      <c r="A33" s="4"/>
      <c r="B33" s="4"/>
      <c r="C33" s="4"/>
      <c r="D33" s="4"/>
      <c r="E33" s="4"/>
      <c r="F33" s="4"/>
      <c r="G33" s="5" t="str">
        <f t="shared" si="0"/>
        <v/>
      </c>
      <c r="H33" s="4"/>
    </row>
    <row r="34" spans="1:8" x14ac:dyDescent="0.25">
      <c r="A34" s="2"/>
      <c r="B34" s="2"/>
      <c r="C34" s="2"/>
      <c r="D34" s="2"/>
      <c r="E34" s="2"/>
      <c r="F34" s="2"/>
      <c r="G34" s="3" t="str">
        <f t="shared" si="0"/>
        <v/>
      </c>
      <c r="H34" s="2"/>
    </row>
    <row r="35" spans="1:8" x14ac:dyDescent="0.25">
      <c r="A35" s="4"/>
      <c r="B35" s="4"/>
      <c r="C35" s="4"/>
      <c r="D35" s="4"/>
      <c r="E35" s="4"/>
      <c r="F35" s="4"/>
      <c r="G35" s="5" t="str">
        <f t="shared" si="0"/>
        <v/>
      </c>
      <c r="H35" s="4"/>
    </row>
    <row r="36" spans="1:8" x14ac:dyDescent="0.25">
      <c r="A36" s="2"/>
      <c r="B36" s="2"/>
      <c r="C36" s="2"/>
      <c r="D36" s="2"/>
      <c r="E36" s="2"/>
      <c r="F36" s="2"/>
      <c r="G36" s="3" t="str">
        <f t="shared" si="0"/>
        <v/>
      </c>
      <c r="H36" s="2"/>
    </row>
    <row r="37" spans="1:8" x14ac:dyDescent="0.25">
      <c r="A37" s="4"/>
      <c r="B37" s="4"/>
      <c r="C37" s="4"/>
      <c r="D37" s="4"/>
      <c r="E37" s="4"/>
      <c r="F37" s="4"/>
      <c r="G37" s="5" t="str">
        <f t="shared" ref="G37:G68" si="1">IF(A37="","",TEXT(A37,"MMM YYYY"))</f>
        <v/>
      </c>
      <c r="H37" s="4"/>
    </row>
    <row r="38" spans="1:8" x14ac:dyDescent="0.25">
      <c r="A38" s="2"/>
      <c r="B38" s="2"/>
      <c r="C38" s="2"/>
      <c r="D38" s="2"/>
      <c r="E38" s="2"/>
      <c r="F38" s="2"/>
      <c r="G38" s="3" t="str">
        <f t="shared" si="1"/>
        <v/>
      </c>
      <c r="H38" s="2"/>
    </row>
    <row r="39" spans="1:8" x14ac:dyDescent="0.25">
      <c r="A39" s="4"/>
      <c r="B39" s="4"/>
      <c r="C39" s="4"/>
      <c r="D39" s="4"/>
      <c r="E39" s="4"/>
      <c r="F39" s="4"/>
      <c r="G39" s="5" t="str">
        <f t="shared" si="1"/>
        <v/>
      </c>
      <c r="H39" s="4"/>
    </row>
    <row r="40" spans="1:8" x14ac:dyDescent="0.25">
      <c r="A40" s="2"/>
      <c r="B40" s="2"/>
      <c r="C40" s="2"/>
      <c r="D40" s="2"/>
      <c r="E40" s="2"/>
      <c r="F40" s="2"/>
      <c r="G40" s="3" t="str">
        <f t="shared" si="1"/>
        <v/>
      </c>
      <c r="H40" s="2"/>
    </row>
    <row r="41" spans="1:8" x14ac:dyDescent="0.25">
      <c r="A41" s="4"/>
      <c r="B41" s="4"/>
      <c r="C41" s="4"/>
      <c r="D41" s="4"/>
      <c r="E41" s="4"/>
      <c r="F41" s="4"/>
      <c r="G41" s="5" t="str">
        <f t="shared" si="1"/>
        <v/>
      </c>
      <c r="H41" s="4"/>
    </row>
    <row r="42" spans="1:8" x14ac:dyDescent="0.25">
      <c r="A42" s="2"/>
      <c r="B42" s="2"/>
      <c r="C42" s="2"/>
      <c r="D42" s="2"/>
      <c r="E42" s="2"/>
      <c r="F42" s="2"/>
      <c r="G42" s="3" t="str">
        <f t="shared" si="1"/>
        <v/>
      </c>
      <c r="H42" s="2"/>
    </row>
    <row r="43" spans="1:8" x14ac:dyDescent="0.25">
      <c r="A43" s="4"/>
      <c r="B43" s="4"/>
      <c r="C43" s="4"/>
      <c r="D43" s="4"/>
      <c r="E43" s="4"/>
      <c r="F43" s="4"/>
      <c r="G43" s="5" t="str">
        <f t="shared" si="1"/>
        <v/>
      </c>
      <c r="H43" s="4"/>
    </row>
    <row r="44" spans="1:8" x14ac:dyDescent="0.25">
      <c r="A44" s="2"/>
      <c r="B44" s="2"/>
      <c r="C44" s="2"/>
      <c r="D44" s="2"/>
      <c r="E44" s="2"/>
      <c r="F44" s="2"/>
      <c r="G44" s="3" t="str">
        <f t="shared" si="1"/>
        <v/>
      </c>
      <c r="H44" s="2"/>
    </row>
    <row r="45" spans="1:8" x14ac:dyDescent="0.25">
      <c r="A45" s="4"/>
      <c r="B45" s="4"/>
      <c r="C45" s="4"/>
      <c r="D45" s="4"/>
      <c r="E45" s="4"/>
      <c r="F45" s="4"/>
      <c r="G45" s="5" t="str">
        <f t="shared" si="1"/>
        <v/>
      </c>
      <c r="H45" s="4"/>
    </row>
    <row r="46" spans="1:8" x14ac:dyDescent="0.25">
      <c r="A46" s="2"/>
      <c r="B46" s="2"/>
      <c r="C46" s="2"/>
      <c r="D46" s="2"/>
      <c r="E46" s="2"/>
      <c r="F46" s="2"/>
      <c r="G46" s="3" t="str">
        <f t="shared" si="1"/>
        <v/>
      </c>
      <c r="H46" s="2"/>
    </row>
    <row r="47" spans="1:8" x14ac:dyDescent="0.25">
      <c r="A47" s="4"/>
      <c r="B47" s="4"/>
      <c r="C47" s="4"/>
      <c r="D47" s="4"/>
      <c r="E47" s="4"/>
      <c r="F47" s="4"/>
      <c r="G47" s="5" t="str">
        <f t="shared" si="1"/>
        <v/>
      </c>
      <c r="H47" s="4"/>
    </row>
    <row r="48" spans="1:8" x14ac:dyDescent="0.25">
      <c r="A48" s="2"/>
      <c r="B48" s="2"/>
      <c r="C48" s="2"/>
      <c r="D48" s="2"/>
      <c r="E48" s="2"/>
      <c r="F48" s="2"/>
      <c r="G48" s="3" t="str">
        <f t="shared" si="1"/>
        <v/>
      </c>
      <c r="H48" s="2"/>
    </row>
    <row r="49" spans="1:8" x14ac:dyDescent="0.25">
      <c r="A49" s="4"/>
      <c r="B49" s="4"/>
      <c r="C49" s="4"/>
      <c r="D49" s="4"/>
      <c r="E49" s="4"/>
      <c r="F49" s="4"/>
      <c r="G49" s="5" t="str">
        <f t="shared" si="1"/>
        <v/>
      </c>
      <c r="H49" s="4"/>
    </row>
    <row r="50" spans="1:8" x14ac:dyDescent="0.25">
      <c r="A50" s="2"/>
      <c r="B50" s="2"/>
      <c r="C50" s="2"/>
      <c r="D50" s="2"/>
      <c r="E50" s="2"/>
      <c r="F50" s="2"/>
      <c r="G50" s="3" t="str">
        <f t="shared" si="1"/>
        <v/>
      </c>
      <c r="H50" s="2"/>
    </row>
    <row r="51" spans="1:8" x14ac:dyDescent="0.25">
      <c r="A51" s="4"/>
      <c r="B51" s="4"/>
      <c r="C51" s="4"/>
      <c r="D51" s="4"/>
      <c r="E51" s="4"/>
      <c r="F51" s="4"/>
      <c r="G51" s="5" t="str">
        <f t="shared" si="1"/>
        <v/>
      </c>
      <c r="H51" s="4"/>
    </row>
    <row r="52" spans="1:8" x14ac:dyDescent="0.25">
      <c r="A52" s="2"/>
      <c r="B52" s="2"/>
      <c r="C52" s="2"/>
      <c r="D52" s="2"/>
      <c r="E52" s="2"/>
      <c r="F52" s="2"/>
      <c r="G52" s="3" t="str">
        <f t="shared" si="1"/>
        <v/>
      </c>
      <c r="H52" s="2"/>
    </row>
    <row r="53" spans="1:8" x14ac:dyDescent="0.25">
      <c r="A53" s="4"/>
      <c r="B53" s="4"/>
      <c r="C53" s="4"/>
      <c r="D53" s="4"/>
      <c r="E53" s="4"/>
      <c r="F53" s="4"/>
      <c r="G53" s="5" t="str">
        <f t="shared" si="1"/>
        <v/>
      </c>
      <c r="H53" s="4"/>
    </row>
    <row r="54" spans="1:8" x14ac:dyDescent="0.25">
      <c r="A54" s="2"/>
      <c r="B54" s="2"/>
      <c r="C54" s="2"/>
      <c r="D54" s="2"/>
      <c r="E54" s="2"/>
      <c r="F54" s="2"/>
      <c r="G54" s="3" t="str">
        <f t="shared" si="1"/>
        <v/>
      </c>
      <c r="H54" s="2"/>
    </row>
    <row r="55" spans="1:8" x14ac:dyDescent="0.25">
      <c r="A55" s="4"/>
      <c r="B55" s="4"/>
      <c r="C55" s="4"/>
      <c r="D55" s="4"/>
      <c r="E55" s="4"/>
      <c r="F55" s="4"/>
      <c r="G55" s="5" t="str">
        <f t="shared" si="1"/>
        <v/>
      </c>
      <c r="H55" s="4"/>
    </row>
    <row r="56" spans="1:8" x14ac:dyDescent="0.25">
      <c r="A56" s="2"/>
      <c r="B56" s="2"/>
      <c r="C56" s="2"/>
      <c r="D56" s="2"/>
      <c r="E56" s="2"/>
      <c r="F56" s="2"/>
      <c r="G56" s="3" t="str">
        <f t="shared" si="1"/>
        <v/>
      </c>
      <c r="H56" s="2"/>
    </row>
    <row r="57" spans="1:8" x14ac:dyDescent="0.25">
      <c r="A57" s="4"/>
      <c r="B57" s="4"/>
      <c r="C57" s="4"/>
      <c r="D57" s="4"/>
      <c r="E57" s="4"/>
      <c r="F57" s="4"/>
      <c r="G57" s="5" t="str">
        <f t="shared" si="1"/>
        <v/>
      </c>
      <c r="H57" s="4"/>
    </row>
    <row r="58" spans="1:8" x14ac:dyDescent="0.25">
      <c r="A58" s="2"/>
      <c r="B58" s="2"/>
      <c r="C58" s="2"/>
      <c r="D58" s="2"/>
      <c r="E58" s="2"/>
      <c r="F58" s="2"/>
      <c r="G58" s="3" t="str">
        <f t="shared" si="1"/>
        <v/>
      </c>
      <c r="H58" s="2"/>
    </row>
    <row r="59" spans="1:8" x14ac:dyDescent="0.25">
      <c r="A59" s="4"/>
      <c r="B59" s="4"/>
      <c r="C59" s="4"/>
      <c r="D59" s="4"/>
      <c r="E59" s="4"/>
      <c r="F59" s="4"/>
      <c r="G59" s="5" t="str">
        <f t="shared" si="1"/>
        <v/>
      </c>
      <c r="H59" s="4"/>
    </row>
    <row r="60" spans="1:8" x14ac:dyDescent="0.25">
      <c r="A60" s="2"/>
      <c r="B60" s="2"/>
      <c r="C60" s="2"/>
      <c r="D60" s="2"/>
      <c r="E60" s="2"/>
      <c r="F60" s="2"/>
      <c r="G60" s="3" t="str">
        <f t="shared" si="1"/>
        <v/>
      </c>
      <c r="H60" s="2"/>
    </row>
    <row r="61" spans="1:8" x14ac:dyDescent="0.25">
      <c r="A61" s="4"/>
      <c r="B61" s="4"/>
      <c r="C61" s="4"/>
      <c r="D61" s="4"/>
      <c r="E61" s="4"/>
      <c r="F61" s="4"/>
      <c r="G61" s="5" t="str">
        <f t="shared" si="1"/>
        <v/>
      </c>
      <c r="H61" s="4"/>
    </row>
    <row r="62" spans="1:8" x14ac:dyDescent="0.25">
      <c r="A62" s="2"/>
      <c r="B62" s="2"/>
      <c r="C62" s="2"/>
      <c r="D62" s="2"/>
      <c r="E62" s="2"/>
      <c r="F62" s="2"/>
      <c r="G62" s="3" t="str">
        <f t="shared" si="1"/>
        <v/>
      </c>
      <c r="H62" s="2"/>
    </row>
    <row r="63" spans="1:8" x14ac:dyDescent="0.25">
      <c r="A63" s="4"/>
      <c r="B63" s="4"/>
      <c r="C63" s="4"/>
      <c r="D63" s="4"/>
      <c r="E63" s="4"/>
      <c r="F63" s="4"/>
      <c r="G63" s="5" t="str">
        <f t="shared" si="1"/>
        <v/>
      </c>
      <c r="H63" s="4"/>
    </row>
    <row r="64" spans="1:8" x14ac:dyDescent="0.25">
      <c r="A64" s="2"/>
      <c r="B64" s="2"/>
      <c r="C64" s="2"/>
      <c r="D64" s="2"/>
      <c r="E64" s="2"/>
      <c r="F64" s="2"/>
      <c r="G64" s="3" t="str">
        <f t="shared" si="1"/>
        <v/>
      </c>
      <c r="H64" s="2"/>
    </row>
    <row r="65" spans="1:8" x14ac:dyDescent="0.25">
      <c r="A65" s="4"/>
      <c r="B65" s="4"/>
      <c r="C65" s="4"/>
      <c r="D65" s="4"/>
      <c r="E65" s="4"/>
      <c r="F65" s="4"/>
      <c r="G65" s="5" t="str">
        <f t="shared" si="1"/>
        <v/>
      </c>
      <c r="H65" s="4"/>
    </row>
    <row r="66" spans="1:8" x14ac:dyDescent="0.25">
      <c r="A66" s="2"/>
      <c r="B66" s="2"/>
      <c r="C66" s="2"/>
      <c r="D66" s="2"/>
      <c r="E66" s="2"/>
      <c r="F66" s="2"/>
      <c r="G66" s="3" t="str">
        <f t="shared" si="1"/>
        <v/>
      </c>
      <c r="H66" s="2"/>
    </row>
    <row r="67" spans="1:8" x14ac:dyDescent="0.25">
      <c r="A67" s="4"/>
      <c r="B67" s="4"/>
      <c r="C67" s="4"/>
      <c r="D67" s="4"/>
      <c r="E67" s="4"/>
      <c r="F67" s="4"/>
      <c r="G67" s="5" t="str">
        <f t="shared" si="1"/>
        <v/>
      </c>
      <c r="H67" s="4"/>
    </row>
    <row r="68" spans="1:8" x14ac:dyDescent="0.25">
      <c r="A68" s="2"/>
      <c r="B68" s="2"/>
      <c r="C68" s="2"/>
      <c r="D68" s="2"/>
      <c r="E68" s="2"/>
      <c r="F68" s="2"/>
      <c r="G68" s="3" t="str">
        <f t="shared" si="1"/>
        <v/>
      </c>
      <c r="H68" s="2"/>
    </row>
    <row r="69" spans="1:8" x14ac:dyDescent="0.25">
      <c r="A69" s="4"/>
      <c r="B69" s="4"/>
      <c r="C69" s="4"/>
      <c r="D69" s="4"/>
      <c r="E69" s="4"/>
      <c r="F69" s="4"/>
      <c r="G69" s="5" t="str">
        <f t="shared" ref="G69:G100" si="2">IF(A69="","",TEXT(A69,"MMM YYYY"))</f>
        <v/>
      </c>
      <c r="H69" s="4"/>
    </row>
    <row r="70" spans="1:8" x14ac:dyDescent="0.25">
      <c r="A70" s="2"/>
      <c r="B70" s="2"/>
      <c r="C70" s="2"/>
      <c r="D70" s="2"/>
      <c r="E70" s="2"/>
      <c r="F70" s="2"/>
      <c r="G70" s="3" t="str">
        <f t="shared" si="2"/>
        <v/>
      </c>
      <c r="H70" s="2"/>
    </row>
    <row r="71" spans="1:8" x14ac:dyDescent="0.25">
      <c r="A71" s="4"/>
      <c r="B71" s="4"/>
      <c r="C71" s="4"/>
      <c r="D71" s="4"/>
      <c r="E71" s="4"/>
      <c r="F71" s="4"/>
      <c r="G71" s="5" t="str">
        <f t="shared" si="2"/>
        <v/>
      </c>
      <c r="H71" s="4"/>
    </row>
    <row r="72" spans="1:8" x14ac:dyDescent="0.25">
      <c r="A72" s="2"/>
      <c r="B72" s="2"/>
      <c r="C72" s="2"/>
      <c r="D72" s="2"/>
      <c r="E72" s="2"/>
      <c r="F72" s="2"/>
      <c r="G72" s="3" t="str">
        <f t="shared" si="2"/>
        <v/>
      </c>
      <c r="H72" s="2"/>
    </row>
    <row r="73" spans="1:8" x14ac:dyDescent="0.25">
      <c r="A73" s="4"/>
      <c r="B73" s="4"/>
      <c r="C73" s="4"/>
      <c r="D73" s="4"/>
      <c r="E73" s="4"/>
      <c r="F73" s="4"/>
      <c r="G73" s="5" t="str">
        <f t="shared" si="2"/>
        <v/>
      </c>
      <c r="H73" s="4"/>
    </row>
    <row r="74" spans="1:8" x14ac:dyDescent="0.25">
      <c r="A74" s="2"/>
      <c r="B74" s="2"/>
      <c r="C74" s="2"/>
      <c r="D74" s="2"/>
      <c r="E74" s="2"/>
      <c r="F74" s="2"/>
      <c r="G74" s="3" t="str">
        <f t="shared" si="2"/>
        <v/>
      </c>
      <c r="H74" s="2"/>
    </row>
    <row r="75" spans="1:8" x14ac:dyDescent="0.25">
      <c r="A75" s="4"/>
      <c r="B75" s="4"/>
      <c r="C75" s="4"/>
      <c r="D75" s="4"/>
      <c r="E75" s="4"/>
      <c r="F75" s="4"/>
      <c r="G75" s="5" t="str">
        <f t="shared" si="2"/>
        <v/>
      </c>
      <c r="H75" s="4"/>
    </row>
    <row r="76" spans="1:8" x14ac:dyDescent="0.25">
      <c r="A76" s="2"/>
      <c r="B76" s="2"/>
      <c r="C76" s="2"/>
      <c r="D76" s="2"/>
      <c r="E76" s="2"/>
      <c r="F76" s="2"/>
      <c r="G76" s="3" t="str">
        <f t="shared" si="2"/>
        <v/>
      </c>
      <c r="H76" s="2"/>
    </row>
    <row r="77" spans="1:8" x14ac:dyDescent="0.25">
      <c r="A77" s="4"/>
      <c r="B77" s="4"/>
      <c r="C77" s="4"/>
      <c r="D77" s="4"/>
      <c r="E77" s="4"/>
      <c r="F77" s="4"/>
      <c r="G77" s="5" t="str">
        <f t="shared" si="2"/>
        <v/>
      </c>
      <c r="H77" s="4"/>
    </row>
    <row r="78" spans="1:8" x14ac:dyDescent="0.25">
      <c r="A78" s="2"/>
      <c r="B78" s="2"/>
      <c r="C78" s="2"/>
      <c r="D78" s="2"/>
      <c r="E78" s="2"/>
      <c r="F78" s="2"/>
      <c r="G78" s="3" t="str">
        <f t="shared" si="2"/>
        <v/>
      </c>
      <c r="H78" s="2"/>
    </row>
    <row r="79" spans="1:8" x14ac:dyDescent="0.25">
      <c r="A79" s="4"/>
      <c r="B79" s="4"/>
      <c r="C79" s="4"/>
      <c r="D79" s="4"/>
      <c r="E79" s="4"/>
      <c r="F79" s="4"/>
      <c r="G79" s="5" t="str">
        <f t="shared" si="2"/>
        <v/>
      </c>
      <c r="H79" s="4"/>
    </row>
    <row r="80" spans="1:8" x14ac:dyDescent="0.25">
      <c r="A80" s="2"/>
      <c r="B80" s="2"/>
      <c r="C80" s="2"/>
      <c r="D80" s="2"/>
      <c r="E80" s="2"/>
      <c r="F80" s="2"/>
      <c r="G80" s="3" t="str">
        <f t="shared" si="2"/>
        <v/>
      </c>
      <c r="H80" s="2"/>
    </row>
    <row r="81" spans="1:8" x14ac:dyDescent="0.25">
      <c r="A81" s="4"/>
      <c r="B81" s="4"/>
      <c r="C81" s="4"/>
      <c r="D81" s="4"/>
      <c r="E81" s="4"/>
      <c r="F81" s="4"/>
      <c r="G81" s="5" t="str">
        <f t="shared" si="2"/>
        <v/>
      </c>
      <c r="H81" s="4"/>
    </row>
    <row r="82" spans="1:8" x14ac:dyDescent="0.25">
      <c r="A82" s="2"/>
      <c r="B82" s="2"/>
      <c r="C82" s="2"/>
      <c r="D82" s="2"/>
      <c r="E82" s="2"/>
      <c r="F82" s="2"/>
      <c r="G82" s="3" t="str">
        <f t="shared" si="2"/>
        <v/>
      </c>
      <c r="H82" s="2"/>
    </row>
    <row r="83" spans="1:8" x14ac:dyDescent="0.25">
      <c r="A83" s="4"/>
      <c r="B83" s="4"/>
      <c r="C83" s="4"/>
      <c r="D83" s="4"/>
      <c r="E83" s="4"/>
      <c r="F83" s="4"/>
      <c r="G83" s="5" t="str">
        <f t="shared" si="2"/>
        <v/>
      </c>
      <c r="H83" s="4"/>
    </row>
    <row r="84" spans="1:8" x14ac:dyDescent="0.25">
      <c r="A84" s="2"/>
      <c r="B84" s="2"/>
      <c r="C84" s="2"/>
      <c r="D84" s="2"/>
      <c r="E84" s="2"/>
      <c r="F84" s="2"/>
      <c r="G84" s="3" t="str">
        <f t="shared" si="2"/>
        <v/>
      </c>
      <c r="H84" s="2"/>
    </row>
    <row r="85" spans="1:8" x14ac:dyDescent="0.25">
      <c r="A85" s="4"/>
      <c r="B85" s="4"/>
      <c r="C85" s="4"/>
      <c r="D85" s="4"/>
      <c r="E85" s="4"/>
      <c r="F85" s="4"/>
      <c r="G85" s="5" t="str">
        <f t="shared" si="2"/>
        <v/>
      </c>
      <c r="H85" s="4"/>
    </row>
    <row r="86" spans="1:8" x14ac:dyDescent="0.25">
      <c r="A86" s="2"/>
      <c r="B86" s="2"/>
      <c r="C86" s="2"/>
      <c r="D86" s="2"/>
      <c r="E86" s="2"/>
      <c r="F86" s="2"/>
      <c r="G86" s="3" t="str">
        <f t="shared" si="2"/>
        <v/>
      </c>
      <c r="H86" s="2"/>
    </row>
    <row r="87" spans="1:8" x14ac:dyDescent="0.25">
      <c r="A87" s="4"/>
      <c r="B87" s="4"/>
      <c r="C87" s="4"/>
      <c r="D87" s="4"/>
      <c r="E87" s="4"/>
      <c r="F87" s="4"/>
      <c r="G87" s="5" t="str">
        <f t="shared" si="2"/>
        <v/>
      </c>
      <c r="H87" s="4"/>
    </row>
    <row r="88" spans="1:8" x14ac:dyDescent="0.25">
      <c r="A88" s="2"/>
      <c r="B88" s="2"/>
      <c r="C88" s="2"/>
      <c r="D88" s="2"/>
      <c r="E88" s="2"/>
      <c r="F88" s="2"/>
      <c r="G88" s="3" t="str">
        <f t="shared" si="2"/>
        <v/>
      </c>
      <c r="H88" s="2"/>
    </row>
    <row r="89" spans="1:8" x14ac:dyDescent="0.25">
      <c r="A89" s="4"/>
      <c r="B89" s="4"/>
      <c r="C89" s="4"/>
      <c r="D89" s="4"/>
      <c r="E89" s="4"/>
      <c r="F89" s="4"/>
      <c r="G89" s="5" t="str">
        <f t="shared" si="2"/>
        <v/>
      </c>
      <c r="H89" s="4"/>
    </row>
    <row r="90" spans="1:8" x14ac:dyDescent="0.25">
      <c r="A90" s="2"/>
      <c r="B90" s="2"/>
      <c r="C90" s="2"/>
      <c r="D90" s="2"/>
      <c r="E90" s="2"/>
      <c r="F90" s="2"/>
      <c r="G90" s="3" t="str">
        <f t="shared" si="2"/>
        <v/>
      </c>
      <c r="H90" s="2"/>
    </row>
    <row r="91" spans="1:8" x14ac:dyDescent="0.25">
      <c r="A91" s="4"/>
      <c r="B91" s="4"/>
      <c r="C91" s="4"/>
      <c r="D91" s="4"/>
      <c r="E91" s="4"/>
      <c r="F91" s="4"/>
      <c r="G91" s="5" t="str">
        <f t="shared" si="2"/>
        <v/>
      </c>
      <c r="H91" s="4"/>
    </row>
    <row r="92" spans="1:8" x14ac:dyDescent="0.25">
      <c r="A92" s="2"/>
      <c r="B92" s="2"/>
      <c r="C92" s="2"/>
      <c r="D92" s="2"/>
      <c r="E92" s="2"/>
      <c r="F92" s="2"/>
      <c r="G92" s="3" t="str">
        <f t="shared" si="2"/>
        <v/>
      </c>
      <c r="H92" s="2"/>
    </row>
    <row r="93" spans="1:8" x14ac:dyDescent="0.25">
      <c r="A93" s="4"/>
      <c r="B93" s="4"/>
      <c r="C93" s="4"/>
      <c r="D93" s="4"/>
      <c r="E93" s="4"/>
      <c r="F93" s="4"/>
      <c r="G93" s="5" t="str">
        <f t="shared" si="2"/>
        <v/>
      </c>
      <c r="H93" s="4"/>
    </row>
    <row r="94" spans="1:8" x14ac:dyDescent="0.25">
      <c r="A94" s="2"/>
      <c r="B94" s="2"/>
      <c r="C94" s="2"/>
      <c r="D94" s="2"/>
      <c r="E94" s="2"/>
      <c r="F94" s="2"/>
      <c r="G94" s="3" t="str">
        <f t="shared" si="2"/>
        <v/>
      </c>
      <c r="H94" s="2"/>
    </row>
    <row r="95" spans="1:8" x14ac:dyDescent="0.25">
      <c r="A95" s="4"/>
      <c r="B95" s="4"/>
      <c r="C95" s="4"/>
      <c r="D95" s="4"/>
      <c r="E95" s="4"/>
      <c r="F95" s="4"/>
      <c r="G95" s="5" t="str">
        <f t="shared" si="2"/>
        <v/>
      </c>
      <c r="H95" s="4"/>
    </row>
    <row r="96" spans="1:8" x14ac:dyDescent="0.25">
      <c r="A96" s="2"/>
      <c r="B96" s="2"/>
      <c r="C96" s="2"/>
      <c r="D96" s="2"/>
      <c r="E96" s="2"/>
      <c r="F96" s="2"/>
      <c r="G96" s="3" t="str">
        <f t="shared" si="2"/>
        <v/>
      </c>
      <c r="H96" s="2"/>
    </row>
    <row r="97" spans="1:8" x14ac:dyDescent="0.25">
      <c r="A97" s="4"/>
      <c r="B97" s="4"/>
      <c r="C97" s="4"/>
      <c r="D97" s="4"/>
      <c r="E97" s="4"/>
      <c r="F97" s="4"/>
      <c r="G97" s="5" t="str">
        <f t="shared" si="2"/>
        <v/>
      </c>
      <c r="H97" s="4"/>
    </row>
    <row r="98" spans="1:8" x14ac:dyDescent="0.25">
      <c r="A98" s="2"/>
      <c r="B98" s="2"/>
      <c r="C98" s="2"/>
      <c r="D98" s="2"/>
      <c r="E98" s="2"/>
      <c r="F98" s="2"/>
      <c r="G98" s="3" t="str">
        <f t="shared" si="2"/>
        <v/>
      </c>
      <c r="H98" s="2"/>
    </row>
    <row r="99" spans="1:8" x14ac:dyDescent="0.25">
      <c r="A99" s="4"/>
      <c r="B99" s="4"/>
      <c r="C99" s="4"/>
      <c r="D99" s="4"/>
      <c r="E99" s="4"/>
      <c r="F99" s="4"/>
      <c r="G99" s="5" t="str">
        <f t="shared" si="2"/>
        <v/>
      </c>
      <c r="H99" s="4"/>
    </row>
    <row r="100" spans="1:8" x14ac:dyDescent="0.25">
      <c r="A100" s="2"/>
      <c r="B100" s="2"/>
      <c r="C100" s="2"/>
      <c r="D100" s="2"/>
      <c r="E100" s="2"/>
      <c r="F100" s="2"/>
      <c r="G100" s="3" t="str">
        <f t="shared" si="2"/>
        <v/>
      </c>
      <c r="H100" s="2"/>
    </row>
    <row r="101" spans="1:8" x14ac:dyDescent="0.25">
      <c r="A101" s="4"/>
      <c r="B101" s="4"/>
      <c r="C101" s="4"/>
      <c r="D101" s="4"/>
      <c r="E101" s="4"/>
      <c r="F101" s="4"/>
      <c r="G101" s="5" t="str">
        <f t="shared" ref="G101:G132" si="3">IF(A101="","",TEXT(A101,"MMM YYYY"))</f>
        <v/>
      </c>
      <c r="H101" s="4"/>
    </row>
    <row r="102" spans="1:8" x14ac:dyDescent="0.25">
      <c r="A102" s="2"/>
      <c r="B102" s="2"/>
      <c r="C102" s="2"/>
      <c r="D102" s="2"/>
      <c r="E102" s="2"/>
      <c r="F102" s="2"/>
      <c r="G102" s="3" t="str">
        <f t="shared" si="3"/>
        <v/>
      </c>
      <c r="H102" s="2"/>
    </row>
    <row r="103" spans="1:8" x14ac:dyDescent="0.25">
      <c r="A103" s="4"/>
      <c r="B103" s="4"/>
      <c r="C103" s="4"/>
      <c r="D103" s="4"/>
      <c r="E103" s="4"/>
      <c r="F103" s="4"/>
      <c r="G103" s="5" t="str">
        <f t="shared" si="3"/>
        <v/>
      </c>
      <c r="H103" s="4"/>
    </row>
    <row r="104" spans="1:8" x14ac:dyDescent="0.25">
      <c r="A104" s="2"/>
      <c r="B104" s="2"/>
      <c r="C104" s="2"/>
      <c r="D104" s="2"/>
      <c r="E104" s="2"/>
      <c r="F104" s="2"/>
      <c r="G104" s="3" t="str">
        <f t="shared" si="3"/>
        <v/>
      </c>
      <c r="H104" s="2"/>
    </row>
    <row r="105" spans="1:8" x14ac:dyDescent="0.25">
      <c r="A105" s="4"/>
      <c r="B105" s="4"/>
      <c r="C105" s="4"/>
      <c r="D105" s="4"/>
      <c r="E105" s="4"/>
      <c r="F105" s="4"/>
      <c r="G105" s="5" t="str">
        <f t="shared" si="3"/>
        <v/>
      </c>
      <c r="H105" s="4"/>
    </row>
    <row r="106" spans="1:8" x14ac:dyDescent="0.25">
      <c r="A106" s="2"/>
      <c r="B106" s="2"/>
      <c r="C106" s="2"/>
      <c r="D106" s="2"/>
      <c r="E106" s="2"/>
      <c r="F106" s="2"/>
      <c r="G106" s="3" t="str">
        <f t="shared" si="3"/>
        <v/>
      </c>
      <c r="H106" s="2"/>
    </row>
    <row r="107" spans="1:8" x14ac:dyDescent="0.25">
      <c r="A107" s="4"/>
      <c r="B107" s="4"/>
      <c r="C107" s="4"/>
      <c r="D107" s="4"/>
      <c r="E107" s="4"/>
      <c r="F107" s="4"/>
      <c r="G107" s="5" t="str">
        <f t="shared" si="3"/>
        <v/>
      </c>
      <c r="H107" s="4"/>
    </row>
    <row r="108" spans="1:8" x14ac:dyDescent="0.25">
      <c r="A108" s="2"/>
      <c r="B108" s="2"/>
      <c r="C108" s="2"/>
      <c r="D108" s="2"/>
      <c r="E108" s="2"/>
      <c r="F108" s="2"/>
      <c r="G108" s="3" t="str">
        <f t="shared" si="3"/>
        <v/>
      </c>
      <c r="H108" s="2"/>
    </row>
    <row r="109" spans="1:8" x14ac:dyDescent="0.25">
      <c r="A109" s="4"/>
      <c r="B109" s="4"/>
      <c r="C109" s="4"/>
      <c r="D109" s="4"/>
      <c r="E109" s="4"/>
      <c r="F109" s="4"/>
      <c r="G109" s="5" t="str">
        <f t="shared" si="3"/>
        <v/>
      </c>
      <c r="H109" s="4"/>
    </row>
    <row r="110" spans="1:8" x14ac:dyDescent="0.25">
      <c r="A110" s="2"/>
      <c r="B110" s="2"/>
      <c r="C110" s="2"/>
      <c r="D110" s="2"/>
      <c r="E110" s="2"/>
      <c r="F110" s="2"/>
      <c r="G110" s="3" t="str">
        <f t="shared" si="3"/>
        <v/>
      </c>
      <c r="H110" s="2"/>
    </row>
    <row r="111" spans="1:8" x14ac:dyDescent="0.25">
      <c r="A111" s="4"/>
      <c r="B111" s="4"/>
      <c r="C111" s="4"/>
      <c r="D111" s="4"/>
      <c r="E111" s="4"/>
      <c r="F111" s="4"/>
      <c r="G111" s="5" t="str">
        <f t="shared" si="3"/>
        <v/>
      </c>
      <c r="H111" s="4"/>
    </row>
    <row r="112" spans="1:8" x14ac:dyDescent="0.25">
      <c r="A112" s="2"/>
      <c r="B112" s="2"/>
      <c r="C112" s="2"/>
      <c r="D112" s="2"/>
      <c r="E112" s="2"/>
      <c r="F112" s="2"/>
      <c r="G112" s="3" t="str">
        <f t="shared" si="3"/>
        <v/>
      </c>
      <c r="H112" s="2"/>
    </row>
    <row r="113" spans="1:8" x14ac:dyDescent="0.25">
      <c r="A113" s="4"/>
      <c r="B113" s="4"/>
      <c r="C113" s="4"/>
      <c r="D113" s="4"/>
      <c r="E113" s="4"/>
      <c r="F113" s="4"/>
      <c r="G113" s="5" t="str">
        <f t="shared" si="3"/>
        <v/>
      </c>
      <c r="H113" s="4"/>
    </row>
    <row r="114" spans="1:8" x14ac:dyDescent="0.25">
      <c r="A114" s="2"/>
      <c r="B114" s="2"/>
      <c r="C114" s="2"/>
      <c r="D114" s="2"/>
      <c r="E114" s="2"/>
      <c r="F114" s="2"/>
      <c r="G114" s="3" t="str">
        <f t="shared" si="3"/>
        <v/>
      </c>
      <c r="H114" s="2"/>
    </row>
    <row r="115" spans="1:8" x14ac:dyDescent="0.25">
      <c r="A115" s="4"/>
      <c r="B115" s="4"/>
      <c r="C115" s="4"/>
      <c r="D115" s="4"/>
      <c r="E115" s="4"/>
      <c r="F115" s="4"/>
      <c r="G115" s="5" t="str">
        <f t="shared" si="3"/>
        <v/>
      </c>
      <c r="H115" s="4"/>
    </row>
    <row r="116" spans="1:8" x14ac:dyDescent="0.25">
      <c r="A116" s="2"/>
      <c r="B116" s="2"/>
      <c r="C116" s="2"/>
      <c r="D116" s="2"/>
      <c r="E116" s="2"/>
      <c r="F116" s="2"/>
      <c r="G116" s="3" t="str">
        <f t="shared" si="3"/>
        <v/>
      </c>
      <c r="H116" s="2"/>
    </row>
    <row r="117" spans="1:8" x14ac:dyDescent="0.25">
      <c r="A117" s="4"/>
      <c r="B117" s="4"/>
      <c r="C117" s="4"/>
      <c r="D117" s="4"/>
      <c r="E117" s="4"/>
      <c r="F117" s="4"/>
      <c r="G117" s="5" t="str">
        <f t="shared" si="3"/>
        <v/>
      </c>
      <c r="H117" s="4"/>
    </row>
    <row r="118" spans="1:8" x14ac:dyDescent="0.25">
      <c r="A118" s="2"/>
      <c r="B118" s="2"/>
      <c r="C118" s="2"/>
      <c r="D118" s="2"/>
      <c r="E118" s="2"/>
      <c r="F118" s="2"/>
      <c r="G118" s="3" t="str">
        <f t="shared" si="3"/>
        <v/>
      </c>
      <c r="H118" s="2"/>
    </row>
    <row r="119" spans="1:8" x14ac:dyDescent="0.25">
      <c r="A119" s="4"/>
      <c r="B119" s="4"/>
      <c r="C119" s="4"/>
      <c r="D119" s="4"/>
      <c r="E119" s="4"/>
      <c r="F119" s="4"/>
      <c r="G119" s="5" t="str">
        <f t="shared" si="3"/>
        <v/>
      </c>
      <c r="H119" s="4"/>
    </row>
    <row r="120" spans="1:8" x14ac:dyDescent="0.25">
      <c r="A120" s="2"/>
      <c r="B120" s="2"/>
      <c r="C120" s="2"/>
      <c r="D120" s="2"/>
      <c r="E120" s="2"/>
      <c r="F120" s="2"/>
      <c r="G120" s="3" t="str">
        <f t="shared" si="3"/>
        <v/>
      </c>
      <c r="H120" s="2"/>
    </row>
    <row r="121" spans="1:8" x14ac:dyDescent="0.25">
      <c r="A121" s="4"/>
      <c r="B121" s="4"/>
      <c r="C121" s="4"/>
      <c r="D121" s="4"/>
      <c r="E121" s="4"/>
      <c r="F121" s="4"/>
      <c r="G121" s="5" t="str">
        <f t="shared" si="3"/>
        <v/>
      </c>
      <c r="H121" s="4"/>
    </row>
    <row r="122" spans="1:8" x14ac:dyDescent="0.25">
      <c r="A122" s="2"/>
      <c r="B122" s="2"/>
      <c r="C122" s="2"/>
      <c r="D122" s="2"/>
      <c r="E122" s="2"/>
      <c r="F122" s="2"/>
      <c r="G122" s="3" t="str">
        <f t="shared" si="3"/>
        <v/>
      </c>
      <c r="H122" s="2"/>
    </row>
    <row r="123" spans="1:8" x14ac:dyDescent="0.25">
      <c r="A123" s="4"/>
      <c r="B123" s="4"/>
      <c r="C123" s="4"/>
      <c r="D123" s="4"/>
      <c r="E123" s="4"/>
      <c r="F123" s="4"/>
      <c r="G123" s="5" t="str">
        <f t="shared" si="3"/>
        <v/>
      </c>
      <c r="H123" s="4"/>
    </row>
    <row r="124" spans="1:8" x14ac:dyDescent="0.25">
      <c r="A124" s="2"/>
      <c r="B124" s="2"/>
      <c r="C124" s="2"/>
      <c r="D124" s="2"/>
      <c r="E124" s="2"/>
      <c r="F124" s="2"/>
      <c r="G124" s="3" t="str">
        <f t="shared" si="3"/>
        <v/>
      </c>
      <c r="H124" s="2"/>
    </row>
    <row r="125" spans="1:8" x14ac:dyDescent="0.25">
      <c r="A125" s="4"/>
      <c r="B125" s="4"/>
      <c r="C125" s="4"/>
      <c r="D125" s="4"/>
      <c r="E125" s="4"/>
      <c r="F125" s="4"/>
      <c r="G125" s="5" t="str">
        <f t="shared" si="3"/>
        <v/>
      </c>
      <c r="H125" s="4"/>
    </row>
    <row r="126" spans="1:8" x14ac:dyDescent="0.25">
      <c r="A126" s="2"/>
      <c r="B126" s="2"/>
      <c r="C126" s="2"/>
      <c r="D126" s="2"/>
      <c r="E126" s="2"/>
      <c r="F126" s="2"/>
      <c r="G126" s="3" t="str">
        <f t="shared" si="3"/>
        <v/>
      </c>
      <c r="H126" s="2"/>
    </row>
    <row r="127" spans="1:8" x14ac:dyDescent="0.25">
      <c r="A127" s="4"/>
      <c r="B127" s="4"/>
      <c r="C127" s="4"/>
      <c r="D127" s="4"/>
      <c r="E127" s="4"/>
      <c r="F127" s="4"/>
      <c r="G127" s="5" t="str">
        <f t="shared" si="3"/>
        <v/>
      </c>
      <c r="H127" s="4"/>
    </row>
    <row r="128" spans="1:8" x14ac:dyDescent="0.25">
      <c r="A128" s="2"/>
      <c r="B128" s="2"/>
      <c r="C128" s="2"/>
      <c r="D128" s="2"/>
      <c r="E128" s="2"/>
      <c r="F128" s="2"/>
      <c r="G128" s="3" t="str">
        <f t="shared" si="3"/>
        <v/>
      </c>
      <c r="H128" s="2"/>
    </row>
    <row r="129" spans="1:8" x14ac:dyDescent="0.25">
      <c r="A129" s="4"/>
      <c r="B129" s="4"/>
      <c r="C129" s="4"/>
      <c r="D129" s="4"/>
      <c r="E129" s="4"/>
      <c r="F129" s="4"/>
      <c r="G129" s="5" t="str">
        <f t="shared" si="3"/>
        <v/>
      </c>
      <c r="H129" s="4"/>
    </row>
    <row r="130" spans="1:8" x14ac:dyDescent="0.25">
      <c r="A130" s="2"/>
      <c r="B130" s="2"/>
      <c r="C130" s="2"/>
      <c r="D130" s="2"/>
      <c r="E130" s="2"/>
      <c r="F130" s="2"/>
      <c r="G130" s="3" t="str">
        <f t="shared" si="3"/>
        <v/>
      </c>
      <c r="H130" s="2"/>
    </row>
    <row r="131" spans="1:8" x14ac:dyDescent="0.25">
      <c r="A131" s="4"/>
      <c r="B131" s="4"/>
      <c r="C131" s="4"/>
      <c r="D131" s="4"/>
      <c r="E131" s="4"/>
      <c r="F131" s="4"/>
      <c r="G131" s="5" t="str">
        <f t="shared" si="3"/>
        <v/>
      </c>
      <c r="H131" s="4"/>
    </row>
    <row r="132" spans="1:8" x14ac:dyDescent="0.25">
      <c r="A132" s="2"/>
      <c r="B132" s="2"/>
      <c r="C132" s="2"/>
      <c r="D132" s="2"/>
      <c r="E132" s="2"/>
      <c r="F132" s="2"/>
      <c r="G132" s="3" t="str">
        <f t="shared" si="3"/>
        <v/>
      </c>
      <c r="H132" s="2"/>
    </row>
    <row r="133" spans="1:8" x14ac:dyDescent="0.25">
      <c r="A133" s="4"/>
      <c r="B133" s="4"/>
      <c r="C133" s="4"/>
      <c r="D133" s="4"/>
      <c r="E133" s="4"/>
      <c r="F133" s="4"/>
      <c r="G133" s="5" t="str">
        <f t="shared" ref="G133:G164" si="4">IF(A133="","",TEXT(A133,"MMM YYYY"))</f>
        <v/>
      </c>
      <c r="H133" s="4"/>
    </row>
    <row r="134" spans="1:8" x14ac:dyDescent="0.25">
      <c r="A134" s="2"/>
      <c r="B134" s="2"/>
      <c r="C134" s="2"/>
      <c r="D134" s="2"/>
      <c r="E134" s="2"/>
      <c r="F134" s="2"/>
      <c r="G134" s="3" t="str">
        <f t="shared" si="4"/>
        <v/>
      </c>
      <c r="H134" s="2"/>
    </row>
    <row r="135" spans="1:8" x14ac:dyDescent="0.25">
      <c r="A135" s="4"/>
      <c r="B135" s="4"/>
      <c r="C135" s="4"/>
      <c r="D135" s="4"/>
      <c r="E135" s="4"/>
      <c r="F135" s="4"/>
      <c r="G135" s="5" t="str">
        <f t="shared" si="4"/>
        <v/>
      </c>
      <c r="H135" s="4"/>
    </row>
    <row r="136" spans="1:8" x14ac:dyDescent="0.25">
      <c r="A136" s="2"/>
      <c r="B136" s="2"/>
      <c r="C136" s="2"/>
      <c r="D136" s="2"/>
      <c r="E136" s="2"/>
      <c r="F136" s="2"/>
      <c r="G136" s="3" t="str">
        <f t="shared" si="4"/>
        <v/>
      </c>
      <c r="H136" s="2"/>
    </row>
    <row r="137" spans="1:8" x14ac:dyDescent="0.25">
      <c r="A137" s="4"/>
      <c r="B137" s="4"/>
      <c r="C137" s="4"/>
      <c r="D137" s="4"/>
      <c r="E137" s="4"/>
      <c r="F137" s="4"/>
      <c r="G137" s="5" t="str">
        <f t="shared" si="4"/>
        <v/>
      </c>
      <c r="H137" s="4"/>
    </row>
    <row r="138" spans="1:8" x14ac:dyDescent="0.25">
      <c r="A138" s="2"/>
      <c r="B138" s="2"/>
      <c r="C138" s="2"/>
      <c r="D138" s="2"/>
      <c r="E138" s="2"/>
      <c r="F138" s="2"/>
      <c r="G138" s="3" t="str">
        <f t="shared" si="4"/>
        <v/>
      </c>
      <c r="H138" s="2"/>
    </row>
    <row r="139" spans="1:8" x14ac:dyDescent="0.25">
      <c r="A139" s="4"/>
      <c r="B139" s="4"/>
      <c r="C139" s="4"/>
      <c r="D139" s="4"/>
      <c r="E139" s="4"/>
      <c r="F139" s="4"/>
      <c r="G139" s="5" t="str">
        <f t="shared" si="4"/>
        <v/>
      </c>
      <c r="H139" s="4"/>
    </row>
    <row r="140" spans="1:8" x14ac:dyDescent="0.25">
      <c r="A140" s="2"/>
      <c r="B140" s="2"/>
      <c r="C140" s="2"/>
      <c r="D140" s="2"/>
      <c r="E140" s="2"/>
      <c r="F140" s="2"/>
      <c r="G140" s="3" t="str">
        <f t="shared" si="4"/>
        <v/>
      </c>
      <c r="H140" s="2"/>
    </row>
    <row r="141" spans="1:8" x14ac:dyDescent="0.25">
      <c r="A141" s="4"/>
      <c r="B141" s="4"/>
      <c r="C141" s="4"/>
      <c r="D141" s="4"/>
      <c r="E141" s="4"/>
      <c r="F141" s="4"/>
      <c r="G141" s="5" t="str">
        <f t="shared" si="4"/>
        <v/>
      </c>
      <c r="H141" s="4"/>
    </row>
    <row r="142" spans="1:8" x14ac:dyDescent="0.25">
      <c r="A142" s="2"/>
      <c r="B142" s="2"/>
      <c r="C142" s="2"/>
      <c r="D142" s="2"/>
      <c r="E142" s="2"/>
      <c r="F142" s="2"/>
      <c r="G142" s="3" t="str">
        <f t="shared" si="4"/>
        <v/>
      </c>
      <c r="H142" s="2"/>
    </row>
    <row r="143" spans="1:8" x14ac:dyDescent="0.25">
      <c r="A143" s="4"/>
      <c r="B143" s="4"/>
      <c r="C143" s="4"/>
      <c r="D143" s="4"/>
      <c r="E143" s="4"/>
      <c r="F143" s="4"/>
      <c r="G143" s="5" t="str">
        <f t="shared" si="4"/>
        <v/>
      </c>
      <c r="H143" s="4"/>
    </row>
    <row r="144" spans="1:8" x14ac:dyDescent="0.25">
      <c r="A144" s="2"/>
      <c r="B144" s="2"/>
      <c r="C144" s="2"/>
      <c r="D144" s="2"/>
      <c r="E144" s="2"/>
      <c r="F144" s="2"/>
      <c r="G144" s="3" t="str">
        <f t="shared" si="4"/>
        <v/>
      </c>
      <c r="H144" s="2"/>
    </row>
    <row r="145" spans="1:8" x14ac:dyDescent="0.25">
      <c r="A145" s="4"/>
      <c r="B145" s="4"/>
      <c r="C145" s="4"/>
      <c r="D145" s="4"/>
      <c r="E145" s="4"/>
      <c r="F145" s="4"/>
      <c r="G145" s="5" t="str">
        <f t="shared" si="4"/>
        <v/>
      </c>
      <c r="H145" s="4"/>
    </row>
    <row r="146" spans="1:8" x14ac:dyDescent="0.25">
      <c r="A146" s="2"/>
      <c r="B146" s="2"/>
      <c r="C146" s="2"/>
      <c r="D146" s="2"/>
      <c r="E146" s="2"/>
      <c r="F146" s="2"/>
      <c r="G146" s="3" t="str">
        <f t="shared" si="4"/>
        <v/>
      </c>
      <c r="H146" s="2"/>
    </row>
    <row r="147" spans="1:8" x14ac:dyDescent="0.25">
      <c r="A147" s="4"/>
      <c r="B147" s="4"/>
      <c r="C147" s="4"/>
      <c r="D147" s="4"/>
      <c r="E147" s="4"/>
      <c r="F147" s="4"/>
      <c r="G147" s="5" t="str">
        <f t="shared" si="4"/>
        <v/>
      </c>
      <c r="H147" s="4"/>
    </row>
    <row r="148" spans="1:8" x14ac:dyDescent="0.25">
      <c r="A148" s="2"/>
      <c r="B148" s="2"/>
      <c r="C148" s="2"/>
      <c r="D148" s="2"/>
      <c r="E148" s="2"/>
      <c r="F148" s="2"/>
      <c r="G148" s="3" t="str">
        <f t="shared" si="4"/>
        <v/>
      </c>
      <c r="H148" s="2"/>
    </row>
    <row r="149" spans="1:8" x14ac:dyDescent="0.25">
      <c r="A149" s="4"/>
      <c r="B149" s="4"/>
      <c r="C149" s="4"/>
      <c r="D149" s="4"/>
      <c r="E149" s="4"/>
      <c r="F149" s="4"/>
      <c r="G149" s="5" t="str">
        <f t="shared" si="4"/>
        <v/>
      </c>
      <c r="H149" s="4"/>
    </row>
    <row r="150" spans="1:8" x14ac:dyDescent="0.25">
      <c r="A150" s="2"/>
      <c r="B150" s="2"/>
      <c r="C150" s="2"/>
      <c r="D150" s="2"/>
      <c r="E150" s="2"/>
      <c r="F150" s="2"/>
      <c r="G150" s="3" t="str">
        <f t="shared" si="4"/>
        <v/>
      </c>
      <c r="H150" s="2"/>
    </row>
    <row r="151" spans="1:8" x14ac:dyDescent="0.25">
      <c r="A151" s="4"/>
      <c r="B151" s="4"/>
      <c r="C151" s="4"/>
      <c r="D151" s="4"/>
      <c r="E151" s="4"/>
      <c r="F151" s="4"/>
      <c r="G151" s="5" t="str">
        <f t="shared" si="4"/>
        <v/>
      </c>
      <c r="H151" s="4"/>
    </row>
    <row r="152" spans="1:8" x14ac:dyDescent="0.25">
      <c r="A152" s="2"/>
      <c r="B152" s="2"/>
      <c r="C152" s="2"/>
      <c r="D152" s="2"/>
      <c r="E152" s="2"/>
      <c r="F152" s="2"/>
      <c r="G152" s="3" t="str">
        <f t="shared" si="4"/>
        <v/>
      </c>
      <c r="H152" s="2"/>
    </row>
    <row r="153" spans="1:8" x14ac:dyDescent="0.25">
      <c r="A153" s="4"/>
      <c r="B153" s="4"/>
      <c r="C153" s="4"/>
      <c r="D153" s="4"/>
      <c r="E153" s="4"/>
      <c r="F153" s="4"/>
      <c r="G153" s="5" t="str">
        <f t="shared" si="4"/>
        <v/>
      </c>
      <c r="H153" s="4"/>
    </row>
    <row r="154" spans="1:8" x14ac:dyDescent="0.25">
      <c r="A154" s="2"/>
      <c r="B154" s="2"/>
      <c r="C154" s="2"/>
      <c r="D154" s="2"/>
      <c r="E154" s="2"/>
      <c r="F154" s="2"/>
      <c r="G154" s="3" t="str">
        <f t="shared" si="4"/>
        <v/>
      </c>
      <c r="H154" s="2"/>
    </row>
    <row r="155" spans="1:8" x14ac:dyDescent="0.25">
      <c r="A155" s="4"/>
      <c r="B155" s="4"/>
      <c r="C155" s="4"/>
      <c r="D155" s="4"/>
      <c r="E155" s="4"/>
      <c r="F155" s="4"/>
      <c r="G155" s="5" t="str">
        <f t="shared" si="4"/>
        <v/>
      </c>
      <c r="H155" s="4"/>
    </row>
    <row r="156" spans="1:8" x14ac:dyDescent="0.25">
      <c r="A156" s="2"/>
      <c r="B156" s="2"/>
      <c r="C156" s="2"/>
      <c r="D156" s="2"/>
      <c r="E156" s="2"/>
      <c r="F156" s="2"/>
      <c r="G156" s="3" t="str">
        <f t="shared" si="4"/>
        <v/>
      </c>
      <c r="H156" s="2"/>
    </row>
    <row r="157" spans="1:8" x14ac:dyDescent="0.25">
      <c r="A157" s="4"/>
      <c r="B157" s="4"/>
      <c r="C157" s="4"/>
      <c r="D157" s="4"/>
      <c r="E157" s="4"/>
      <c r="F157" s="4"/>
      <c r="G157" s="5" t="str">
        <f t="shared" si="4"/>
        <v/>
      </c>
      <c r="H157" s="4"/>
    </row>
    <row r="158" spans="1:8" x14ac:dyDescent="0.25">
      <c r="A158" s="2"/>
      <c r="B158" s="2"/>
      <c r="C158" s="2"/>
      <c r="D158" s="2"/>
      <c r="E158" s="2"/>
      <c r="F158" s="2"/>
      <c r="G158" s="3" t="str">
        <f t="shared" si="4"/>
        <v/>
      </c>
      <c r="H158" s="2"/>
    </row>
    <row r="159" spans="1:8" x14ac:dyDescent="0.25">
      <c r="A159" s="4"/>
      <c r="B159" s="4"/>
      <c r="C159" s="4"/>
      <c r="D159" s="4"/>
      <c r="E159" s="4"/>
      <c r="F159" s="4"/>
      <c r="G159" s="5" t="str">
        <f t="shared" si="4"/>
        <v/>
      </c>
      <c r="H159" s="4"/>
    </row>
    <row r="160" spans="1:8" x14ac:dyDescent="0.25">
      <c r="A160" s="2"/>
      <c r="B160" s="2"/>
      <c r="C160" s="2"/>
      <c r="D160" s="2"/>
      <c r="E160" s="2"/>
      <c r="F160" s="2"/>
      <c r="G160" s="3" t="str">
        <f t="shared" si="4"/>
        <v/>
      </c>
      <c r="H160" s="2"/>
    </row>
    <row r="161" spans="1:8" x14ac:dyDescent="0.25">
      <c r="A161" s="4"/>
      <c r="B161" s="4"/>
      <c r="C161" s="4"/>
      <c r="D161" s="4"/>
      <c r="E161" s="4"/>
      <c r="F161" s="4"/>
      <c r="G161" s="5" t="str">
        <f t="shared" si="4"/>
        <v/>
      </c>
      <c r="H161" s="4"/>
    </row>
    <row r="162" spans="1:8" x14ac:dyDescent="0.25">
      <c r="A162" s="2"/>
      <c r="B162" s="2"/>
      <c r="C162" s="2"/>
      <c r="D162" s="2"/>
      <c r="E162" s="2"/>
      <c r="F162" s="2"/>
      <c r="G162" s="3" t="str">
        <f t="shared" si="4"/>
        <v/>
      </c>
      <c r="H162" s="2"/>
    </row>
    <row r="163" spans="1:8" x14ac:dyDescent="0.25">
      <c r="A163" s="4"/>
      <c r="B163" s="4"/>
      <c r="C163" s="4"/>
      <c r="D163" s="4"/>
      <c r="E163" s="4"/>
      <c r="F163" s="4"/>
      <c r="G163" s="5" t="str">
        <f t="shared" si="4"/>
        <v/>
      </c>
      <c r="H163" s="4"/>
    </row>
    <row r="164" spans="1:8" x14ac:dyDescent="0.25">
      <c r="A164" s="2"/>
      <c r="B164" s="2"/>
      <c r="C164" s="2"/>
      <c r="D164" s="2"/>
      <c r="E164" s="2"/>
      <c r="F164" s="2"/>
      <c r="G164" s="3" t="str">
        <f t="shared" si="4"/>
        <v/>
      </c>
      <c r="H164" s="2"/>
    </row>
    <row r="165" spans="1:8" x14ac:dyDescent="0.25">
      <c r="A165" s="4"/>
      <c r="B165" s="4"/>
      <c r="C165" s="4"/>
      <c r="D165" s="4"/>
      <c r="E165" s="4"/>
      <c r="F165" s="4"/>
      <c r="G165" s="5" t="str">
        <f t="shared" ref="G165:G196" si="5">IF(A165="","",TEXT(A165,"MMM YYYY"))</f>
        <v/>
      </c>
      <c r="H165" s="4"/>
    </row>
    <row r="166" spans="1:8" x14ac:dyDescent="0.25">
      <c r="A166" s="2"/>
      <c r="B166" s="2"/>
      <c r="C166" s="2"/>
      <c r="D166" s="2"/>
      <c r="E166" s="2"/>
      <c r="F166" s="2"/>
      <c r="G166" s="3" t="str">
        <f t="shared" si="5"/>
        <v/>
      </c>
      <c r="H166" s="2"/>
    </row>
    <row r="167" spans="1:8" x14ac:dyDescent="0.25">
      <c r="A167" s="4"/>
      <c r="B167" s="4"/>
      <c r="C167" s="4"/>
      <c r="D167" s="4"/>
      <c r="E167" s="4"/>
      <c r="F167" s="4"/>
      <c r="G167" s="5" t="str">
        <f t="shared" si="5"/>
        <v/>
      </c>
      <c r="H167" s="4"/>
    </row>
    <row r="168" spans="1:8" x14ac:dyDescent="0.25">
      <c r="A168" s="2"/>
      <c r="B168" s="2"/>
      <c r="C168" s="2"/>
      <c r="D168" s="2"/>
      <c r="E168" s="2"/>
      <c r="F168" s="2"/>
      <c r="G168" s="3" t="str">
        <f t="shared" si="5"/>
        <v/>
      </c>
      <c r="H168" s="2"/>
    </row>
    <row r="169" spans="1:8" x14ac:dyDescent="0.25">
      <c r="A169" s="4"/>
      <c r="B169" s="4"/>
      <c r="C169" s="4"/>
      <c r="D169" s="4"/>
      <c r="E169" s="4"/>
      <c r="F169" s="4"/>
      <c r="G169" s="5" t="str">
        <f t="shared" si="5"/>
        <v/>
      </c>
      <c r="H169" s="4"/>
    </row>
    <row r="170" spans="1:8" x14ac:dyDescent="0.25">
      <c r="A170" s="2"/>
      <c r="B170" s="2"/>
      <c r="C170" s="2"/>
      <c r="D170" s="2"/>
      <c r="E170" s="2"/>
      <c r="F170" s="2"/>
      <c r="G170" s="3" t="str">
        <f t="shared" si="5"/>
        <v/>
      </c>
      <c r="H170" s="2"/>
    </row>
    <row r="171" spans="1:8" x14ac:dyDescent="0.25">
      <c r="A171" s="4"/>
      <c r="B171" s="4"/>
      <c r="C171" s="4"/>
      <c r="D171" s="4"/>
      <c r="E171" s="4"/>
      <c r="F171" s="4"/>
      <c r="G171" s="5" t="str">
        <f t="shared" si="5"/>
        <v/>
      </c>
      <c r="H171" s="4"/>
    </row>
    <row r="172" spans="1:8" x14ac:dyDescent="0.25">
      <c r="A172" s="2"/>
      <c r="B172" s="2"/>
      <c r="C172" s="2"/>
      <c r="D172" s="2"/>
      <c r="E172" s="2"/>
      <c r="F172" s="2"/>
      <c r="G172" s="3" t="str">
        <f t="shared" si="5"/>
        <v/>
      </c>
      <c r="H172" s="2"/>
    </row>
    <row r="173" spans="1:8" x14ac:dyDescent="0.25">
      <c r="A173" s="4"/>
      <c r="B173" s="4"/>
      <c r="C173" s="4"/>
      <c r="D173" s="4"/>
      <c r="E173" s="4"/>
      <c r="F173" s="4"/>
      <c r="G173" s="5" t="str">
        <f t="shared" si="5"/>
        <v/>
      </c>
      <c r="H173" s="4"/>
    </row>
    <row r="174" spans="1:8" x14ac:dyDescent="0.25">
      <c r="A174" s="2"/>
      <c r="B174" s="2"/>
      <c r="C174" s="2"/>
      <c r="D174" s="2"/>
      <c r="E174" s="2"/>
      <c r="F174" s="2"/>
      <c r="G174" s="3" t="str">
        <f t="shared" si="5"/>
        <v/>
      </c>
      <c r="H174" s="2"/>
    </row>
    <row r="175" spans="1:8" x14ac:dyDescent="0.25">
      <c r="A175" s="4"/>
      <c r="B175" s="4"/>
      <c r="C175" s="4"/>
      <c r="D175" s="4"/>
      <c r="E175" s="4"/>
      <c r="F175" s="4"/>
      <c r="G175" s="5" t="str">
        <f t="shared" si="5"/>
        <v/>
      </c>
      <c r="H175" s="4"/>
    </row>
    <row r="176" spans="1:8" x14ac:dyDescent="0.25">
      <c r="A176" s="2"/>
      <c r="B176" s="2"/>
      <c r="C176" s="2"/>
      <c r="D176" s="2"/>
      <c r="E176" s="2"/>
      <c r="F176" s="2"/>
      <c r="G176" s="3" t="str">
        <f t="shared" si="5"/>
        <v/>
      </c>
      <c r="H176" s="2"/>
    </row>
    <row r="177" spans="1:8" x14ac:dyDescent="0.25">
      <c r="A177" s="4"/>
      <c r="B177" s="4"/>
      <c r="C177" s="4"/>
      <c r="D177" s="4"/>
      <c r="E177" s="4"/>
      <c r="F177" s="4"/>
      <c r="G177" s="5" t="str">
        <f t="shared" si="5"/>
        <v/>
      </c>
      <c r="H177" s="4"/>
    </row>
    <row r="178" spans="1:8" x14ac:dyDescent="0.25">
      <c r="A178" s="2"/>
      <c r="B178" s="2"/>
      <c r="C178" s="2"/>
      <c r="D178" s="2"/>
      <c r="E178" s="2"/>
      <c r="F178" s="2"/>
      <c r="G178" s="3" t="str">
        <f t="shared" si="5"/>
        <v/>
      </c>
      <c r="H178" s="2"/>
    </row>
    <row r="179" spans="1:8" x14ac:dyDescent="0.25">
      <c r="A179" s="4"/>
      <c r="B179" s="4"/>
      <c r="C179" s="4"/>
      <c r="D179" s="4"/>
      <c r="E179" s="4"/>
      <c r="F179" s="4"/>
      <c r="G179" s="5" t="str">
        <f t="shared" si="5"/>
        <v/>
      </c>
      <c r="H179" s="4"/>
    </row>
    <row r="180" spans="1:8" x14ac:dyDescent="0.25">
      <c r="A180" s="2"/>
      <c r="B180" s="2"/>
      <c r="C180" s="2"/>
      <c r="D180" s="2"/>
      <c r="E180" s="2"/>
      <c r="F180" s="2"/>
      <c r="G180" s="3" t="str">
        <f t="shared" si="5"/>
        <v/>
      </c>
      <c r="H180" s="2"/>
    </row>
    <row r="181" spans="1:8" x14ac:dyDescent="0.25">
      <c r="A181" s="4"/>
      <c r="B181" s="4"/>
      <c r="C181" s="4"/>
      <c r="D181" s="4"/>
      <c r="E181" s="4"/>
      <c r="F181" s="4"/>
      <c r="G181" s="5" t="str">
        <f t="shared" si="5"/>
        <v/>
      </c>
      <c r="H181" s="4"/>
    </row>
    <row r="182" spans="1:8" x14ac:dyDescent="0.25">
      <c r="A182" s="2"/>
      <c r="B182" s="2"/>
      <c r="C182" s="2"/>
      <c r="D182" s="2"/>
      <c r="E182" s="2"/>
      <c r="F182" s="2"/>
      <c r="G182" s="3" t="str">
        <f t="shared" si="5"/>
        <v/>
      </c>
      <c r="H182" s="2"/>
    </row>
    <row r="183" spans="1:8" x14ac:dyDescent="0.25">
      <c r="A183" s="4"/>
      <c r="B183" s="4"/>
      <c r="C183" s="4"/>
      <c r="D183" s="4"/>
      <c r="E183" s="4"/>
      <c r="F183" s="4"/>
      <c r="G183" s="5" t="str">
        <f t="shared" si="5"/>
        <v/>
      </c>
      <c r="H183" s="4"/>
    </row>
    <row r="184" spans="1:8" x14ac:dyDescent="0.25">
      <c r="A184" s="2"/>
      <c r="B184" s="2"/>
      <c r="C184" s="2"/>
      <c r="D184" s="2"/>
      <c r="E184" s="2"/>
      <c r="F184" s="2"/>
      <c r="G184" s="3" t="str">
        <f t="shared" si="5"/>
        <v/>
      </c>
      <c r="H184" s="2"/>
    </row>
    <row r="185" spans="1:8" x14ac:dyDescent="0.25">
      <c r="A185" s="4"/>
      <c r="B185" s="4"/>
      <c r="C185" s="4"/>
      <c r="D185" s="4"/>
      <c r="E185" s="4"/>
      <c r="F185" s="4"/>
      <c r="G185" s="5" t="str">
        <f t="shared" si="5"/>
        <v/>
      </c>
      <c r="H185" s="4"/>
    </row>
    <row r="186" spans="1:8" x14ac:dyDescent="0.25">
      <c r="A186" s="2"/>
      <c r="B186" s="2"/>
      <c r="C186" s="2"/>
      <c r="D186" s="2"/>
      <c r="E186" s="2"/>
      <c r="F186" s="2"/>
      <c r="G186" s="3" t="str">
        <f t="shared" si="5"/>
        <v/>
      </c>
      <c r="H186" s="2"/>
    </row>
    <row r="187" spans="1:8" x14ac:dyDescent="0.25">
      <c r="A187" s="4"/>
      <c r="B187" s="4"/>
      <c r="C187" s="4"/>
      <c r="D187" s="4"/>
      <c r="E187" s="4"/>
      <c r="F187" s="4"/>
      <c r="G187" s="5" t="str">
        <f t="shared" si="5"/>
        <v/>
      </c>
      <c r="H187" s="4"/>
    </row>
    <row r="188" spans="1:8" x14ac:dyDescent="0.25">
      <c r="A188" s="2"/>
      <c r="B188" s="2"/>
      <c r="C188" s="2"/>
      <c r="D188" s="2"/>
      <c r="E188" s="2"/>
      <c r="F188" s="2"/>
      <c r="G188" s="3" t="str">
        <f t="shared" si="5"/>
        <v/>
      </c>
      <c r="H188" s="2"/>
    </row>
    <row r="189" spans="1:8" x14ac:dyDescent="0.25">
      <c r="A189" s="4"/>
      <c r="B189" s="4"/>
      <c r="C189" s="4"/>
      <c r="D189" s="4"/>
      <c r="E189" s="4"/>
      <c r="F189" s="4"/>
      <c r="G189" s="5" t="str">
        <f t="shared" si="5"/>
        <v/>
      </c>
      <c r="H189" s="4"/>
    </row>
    <row r="190" spans="1:8" x14ac:dyDescent="0.25">
      <c r="A190" s="2"/>
      <c r="B190" s="2"/>
      <c r="C190" s="2"/>
      <c r="D190" s="2"/>
      <c r="E190" s="2"/>
      <c r="F190" s="2"/>
      <c r="G190" s="3" t="str">
        <f t="shared" si="5"/>
        <v/>
      </c>
      <c r="H190" s="2"/>
    </row>
    <row r="191" spans="1:8" x14ac:dyDescent="0.25">
      <c r="A191" s="4"/>
      <c r="B191" s="4"/>
      <c r="C191" s="4"/>
      <c r="D191" s="4"/>
      <c r="E191" s="4"/>
      <c r="F191" s="4"/>
      <c r="G191" s="5" t="str">
        <f t="shared" si="5"/>
        <v/>
      </c>
      <c r="H191" s="4"/>
    </row>
    <row r="192" spans="1:8" x14ac:dyDescent="0.25">
      <c r="A192" s="2"/>
      <c r="B192" s="2"/>
      <c r="C192" s="2"/>
      <c r="D192" s="2"/>
      <c r="E192" s="2"/>
      <c r="F192" s="2"/>
      <c r="G192" s="3" t="str">
        <f t="shared" si="5"/>
        <v/>
      </c>
      <c r="H192" s="2"/>
    </row>
    <row r="193" spans="1:8" x14ac:dyDescent="0.25">
      <c r="A193" s="4"/>
      <c r="B193" s="4"/>
      <c r="C193" s="4"/>
      <c r="D193" s="4"/>
      <c r="E193" s="4"/>
      <c r="F193" s="4"/>
      <c r="G193" s="5" t="str">
        <f t="shared" si="5"/>
        <v/>
      </c>
      <c r="H193" s="4"/>
    </row>
    <row r="194" spans="1:8" x14ac:dyDescent="0.25">
      <c r="A194" s="2"/>
      <c r="B194" s="2"/>
      <c r="C194" s="2"/>
      <c r="D194" s="2"/>
      <c r="E194" s="2"/>
      <c r="F194" s="2"/>
      <c r="G194" s="3" t="str">
        <f t="shared" si="5"/>
        <v/>
      </c>
      <c r="H194" s="2"/>
    </row>
    <row r="195" spans="1:8" x14ac:dyDescent="0.25">
      <c r="A195" s="4"/>
      <c r="B195" s="4"/>
      <c r="C195" s="4"/>
      <c r="D195" s="4"/>
      <c r="E195" s="4"/>
      <c r="F195" s="4"/>
      <c r="G195" s="5" t="str">
        <f t="shared" si="5"/>
        <v/>
      </c>
      <c r="H195" s="4"/>
    </row>
    <row r="196" spans="1:8" x14ac:dyDescent="0.25">
      <c r="A196" s="2"/>
      <c r="B196" s="2"/>
      <c r="C196" s="2"/>
      <c r="D196" s="2"/>
      <c r="E196" s="2"/>
      <c r="F196" s="2"/>
      <c r="G196" s="3" t="str">
        <f t="shared" si="5"/>
        <v/>
      </c>
      <c r="H196" s="2"/>
    </row>
    <row r="197" spans="1:8" x14ac:dyDescent="0.25">
      <c r="A197" s="4"/>
      <c r="B197" s="4"/>
      <c r="C197" s="4"/>
      <c r="D197" s="4"/>
      <c r="E197" s="4"/>
      <c r="F197" s="4"/>
      <c r="G197" s="5" t="str">
        <f t="shared" ref="G197:G204" si="6">IF(A197="","",TEXT(A197,"MMM YYYY"))</f>
        <v/>
      </c>
      <c r="H197" s="4"/>
    </row>
    <row r="198" spans="1:8" x14ac:dyDescent="0.25">
      <c r="A198" s="2"/>
      <c r="B198" s="2"/>
      <c r="C198" s="2"/>
      <c r="D198" s="2"/>
      <c r="E198" s="2"/>
      <c r="F198" s="2"/>
      <c r="G198" s="3" t="str">
        <f t="shared" si="6"/>
        <v/>
      </c>
      <c r="H198" s="2"/>
    </row>
    <row r="199" spans="1:8" x14ac:dyDescent="0.25">
      <c r="A199" s="4"/>
      <c r="B199" s="4"/>
      <c r="C199" s="4"/>
      <c r="D199" s="4"/>
      <c r="E199" s="4"/>
      <c r="F199" s="4"/>
      <c r="G199" s="5" t="str">
        <f t="shared" si="6"/>
        <v/>
      </c>
      <c r="H199" s="4"/>
    </row>
    <row r="200" spans="1:8" x14ac:dyDescent="0.25">
      <c r="A200" s="2"/>
      <c r="B200" s="2"/>
      <c r="C200" s="2"/>
      <c r="D200" s="2"/>
      <c r="E200" s="2"/>
      <c r="F200" s="2"/>
      <c r="G200" s="3" t="str">
        <f t="shared" si="6"/>
        <v/>
      </c>
      <c r="H200" s="2"/>
    </row>
    <row r="201" spans="1:8" x14ac:dyDescent="0.25">
      <c r="A201" s="4"/>
      <c r="B201" s="4"/>
      <c r="C201" s="4"/>
      <c r="D201" s="4"/>
      <c r="E201" s="4"/>
      <c r="F201" s="4"/>
      <c r="G201" s="5" t="str">
        <f t="shared" si="6"/>
        <v/>
      </c>
      <c r="H201" s="4"/>
    </row>
    <row r="202" spans="1:8" x14ac:dyDescent="0.25">
      <c r="A202" s="2"/>
      <c r="B202" s="2"/>
      <c r="C202" s="2"/>
      <c r="D202" s="2"/>
      <c r="E202" s="2"/>
      <c r="F202" s="2"/>
      <c r="G202" s="3" t="str">
        <f t="shared" si="6"/>
        <v/>
      </c>
      <c r="H202" s="2"/>
    </row>
    <row r="203" spans="1:8" x14ac:dyDescent="0.25">
      <c r="A203" s="4"/>
      <c r="B203" s="4"/>
      <c r="C203" s="4"/>
      <c r="D203" s="4"/>
      <c r="E203" s="4"/>
      <c r="F203" s="4"/>
      <c r="G203" s="5" t="str">
        <f t="shared" si="6"/>
        <v/>
      </c>
      <c r="H203" s="4"/>
    </row>
    <row r="204" spans="1:8" x14ac:dyDescent="0.25">
      <c r="A204" s="2"/>
      <c r="B204" s="2"/>
      <c r="C204" s="2"/>
      <c r="D204" s="2"/>
      <c r="E204" s="2"/>
      <c r="F204" s="2"/>
      <c r="G204" s="3" t="str">
        <f t="shared" si="6"/>
        <v/>
      </c>
      <c r="H204" s="2"/>
    </row>
  </sheetData>
  <autoFilter ref="A4:H204"/>
  <mergeCells count="2">
    <mergeCell ref="A2:H2"/>
    <mergeCell ref="A1:H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84"/>
  <sheetViews>
    <sheetView workbookViewId="0">
      <pane ySplit="6" topLeftCell="A31" activePane="bottomLeft" state="frozen"/>
      <selection pane="bottomLeft" activeCell="B4" sqref="B4"/>
    </sheetView>
  </sheetViews>
  <sheetFormatPr defaultRowHeight="15" x14ac:dyDescent="0.25"/>
  <cols>
    <col min="1" max="1" width="15" style="10" customWidth="1"/>
    <col min="2" max="2" width="78.5703125" style="10" bestFit="1" customWidth="1"/>
    <col min="3" max="3" width="18" style="10" customWidth="1"/>
    <col min="4" max="4" width="16" style="10" customWidth="1"/>
    <col min="5" max="5" width="35" style="10" customWidth="1"/>
  </cols>
  <sheetData>
    <row r="1" spans="1:5" ht="61.5" customHeight="1" x14ac:dyDescent="0.25">
      <c r="A1" s="26" t="s">
        <v>3101</v>
      </c>
      <c r="B1" s="23"/>
      <c r="C1" s="23"/>
      <c r="D1" s="23"/>
      <c r="E1" s="23"/>
    </row>
    <row r="2" spans="1:5" x14ac:dyDescent="0.25">
      <c r="A2" s="25" t="s">
        <v>3102</v>
      </c>
      <c r="B2" s="23"/>
      <c r="C2" s="23"/>
      <c r="D2" s="23"/>
      <c r="E2" s="23"/>
    </row>
    <row r="4" spans="1:5" x14ac:dyDescent="0.25">
      <c r="A4" s="7" t="s">
        <v>3103</v>
      </c>
      <c r="B4" s="8" t="s">
        <v>3104</v>
      </c>
      <c r="C4" s="9" t="s">
        <v>3105</v>
      </c>
    </row>
    <row r="6" spans="1:5" ht="27.95" customHeight="1" x14ac:dyDescent="0.25">
      <c r="A6" s="1" t="s">
        <v>1</v>
      </c>
      <c r="B6" s="1" t="s">
        <v>2</v>
      </c>
      <c r="C6" s="1" t="s">
        <v>3106</v>
      </c>
      <c r="D6" s="1" t="s">
        <v>3107</v>
      </c>
      <c r="E6" s="1" t="s">
        <v>3108</v>
      </c>
    </row>
    <row r="7" spans="1:5" x14ac:dyDescent="0.25">
      <c r="A7" s="2" t="s">
        <v>10</v>
      </c>
      <c r="B7" s="2" t="s">
        <v>11</v>
      </c>
      <c r="C7" s="3">
        <f>IFERROR(SUMIFS('Issuance Log'!$D:$D,'Issuance Log'!$B:$B,A7,'Issuance Log'!$G:$G,$B$4),0)</f>
        <v>0</v>
      </c>
      <c r="D7" s="3">
        <f>IFERROR(COUNTIFS('Issuance Log'!$B:$B,A7,'Issuance Log'!$G:$G,$B$4),0)</f>
        <v>0</v>
      </c>
      <c r="E7" s="3" t="str">
        <f ca="1">IFERROR(INDEX('Issuance Log'!$E:$E,MATCH(MAXIFS('Issuance Log'!$D:$D,'Issuance Log'!$B:$B,A7,'Issuance Log'!$G:$G,$B$4),IF(('Issuance Log'!$B:$B=A7)*('Issuance Log'!$G:$G=$B$4),'Issuance Log'!$D:$D),0)),"-")</f>
        <v>-</v>
      </c>
    </row>
    <row r="8" spans="1:5" x14ac:dyDescent="0.25">
      <c r="A8" s="4" t="s">
        <v>12</v>
      </c>
      <c r="B8" s="4" t="s">
        <v>13</v>
      </c>
      <c r="C8" s="5">
        <f>IFERROR(SUMIFS('Issuance Log'!$D:$D,'Issuance Log'!$B:$B,A8,'Issuance Log'!$G:$G,$B$4),0)</f>
        <v>0</v>
      </c>
      <c r="D8" s="5">
        <f>IFERROR(COUNTIFS('Issuance Log'!$B:$B,A8,'Issuance Log'!$G:$G,$B$4),0)</f>
        <v>0</v>
      </c>
      <c r="E8" s="5" t="str">
        <f ca="1">IFERROR(INDEX('Issuance Log'!$E:$E,MATCH(MAXIFS('Issuance Log'!$D:$D,'Issuance Log'!$B:$B,A8,'Issuance Log'!$G:$G,$B$4),IF(('Issuance Log'!$B:$B=A8)*('Issuance Log'!$G:$G=$B$4),'Issuance Log'!$D:$D),0)),"-")</f>
        <v>-</v>
      </c>
    </row>
    <row r="9" spans="1:5" x14ac:dyDescent="0.25">
      <c r="A9" s="2" t="s">
        <v>14</v>
      </c>
      <c r="B9" s="2" t="s">
        <v>15</v>
      </c>
      <c r="C9" s="3">
        <f>IFERROR(SUMIFS('Issuance Log'!$D:$D,'Issuance Log'!$B:$B,A9,'Issuance Log'!$G:$G,$B$4),0)</f>
        <v>0</v>
      </c>
      <c r="D9" s="3">
        <f>IFERROR(COUNTIFS('Issuance Log'!$B:$B,A9,'Issuance Log'!$G:$G,$B$4),0)</f>
        <v>0</v>
      </c>
      <c r="E9" s="3" t="str">
        <f ca="1">IFERROR(INDEX('Issuance Log'!$E:$E,MATCH(MAXIFS('Issuance Log'!$D:$D,'Issuance Log'!$B:$B,A9,'Issuance Log'!$G:$G,$B$4),IF(('Issuance Log'!$B:$B=A9)*('Issuance Log'!$G:$G=$B$4),'Issuance Log'!$D:$D),0)),"-")</f>
        <v>-</v>
      </c>
    </row>
    <row r="10" spans="1:5" x14ac:dyDescent="0.25">
      <c r="A10" s="4" t="s">
        <v>16</v>
      </c>
      <c r="B10" s="4" t="s">
        <v>17</v>
      </c>
      <c r="C10" s="5">
        <f>IFERROR(SUMIFS('Issuance Log'!$D:$D,'Issuance Log'!$B:$B,A10,'Issuance Log'!$G:$G,$B$4),0)</f>
        <v>0</v>
      </c>
      <c r="D10" s="5">
        <f>IFERROR(COUNTIFS('Issuance Log'!$B:$B,A10,'Issuance Log'!$G:$G,$B$4),0)</f>
        <v>0</v>
      </c>
      <c r="E10" s="5" t="str">
        <f ca="1">IFERROR(INDEX('Issuance Log'!$E:$E,MATCH(MAXIFS('Issuance Log'!$D:$D,'Issuance Log'!$B:$B,A10,'Issuance Log'!$G:$G,$B$4),IF(('Issuance Log'!$B:$B=A10)*('Issuance Log'!$G:$G=$B$4),'Issuance Log'!$D:$D),0)),"-")</f>
        <v>-</v>
      </c>
    </row>
    <row r="11" spans="1:5" x14ac:dyDescent="0.25">
      <c r="A11" s="2" t="s">
        <v>18</v>
      </c>
      <c r="B11" s="2" t="s">
        <v>19</v>
      </c>
      <c r="C11" s="3">
        <f>IFERROR(SUMIFS('Issuance Log'!$D:$D,'Issuance Log'!$B:$B,A11,'Issuance Log'!$G:$G,$B$4),0)</f>
        <v>0</v>
      </c>
      <c r="D11" s="3">
        <f>IFERROR(COUNTIFS('Issuance Log'!$B:$B,A11,'Issuance Log'!$G:$G,$B$4),0)</f>
        <v>0</v>
      </c>
      <c r="E11" s="3" t="str">
        <f ca="1">IFERROR(INDEX('Issuance Log'!$E:$E,MATCH(MAXIFS('Issuance Log'!$D:$D,'Issuance Log'!$B:$B,A11,'Issuance Log'!$G:$G,$B$4),IF(('Issuance Log'!$B:$B=A11)*('Issuance Log'!$G:$G=$B$4),'Issuance Log'!$D:$D),0)),"-")</f>
        <v>-</v>
      </c>
    </row>
    <row r="12" spans="1:5" x14ac:dyDescent="0.25">
      <c r="A12" s="4" t="s">
        <v>20</v>
      </c>
      <c r="B12" s="4" t="s">
        <v>21</v>
      </c>
      <c r="C12" s="5">
        <f>IFERROR(SUMIFS('Issuance Log'!$D:$D,'Issuance Log'!$B:$B,A12,'Issuance Log'!$G:$G,$B$4),0)</f>
        <v>0</v>
      </c>
      <c r="D12" s="5">
        <f>IFERROR(COUNTIFS('Issuance Log'!$B:$B,A12,'Issuance Log'!$G:$G,$B$4),0)</f>
        <v>0</v>
      </c>
      <c r="E12" s="5" t="str">
        <f ca="1">IFERROR(INDEX('Issuance Log'!$E:$E,MATCH(MAXIFS('Issuance Log'!$D:$D,'Issuance Log'!$B:$B,A12,'Issuance Log'!$G:$G,$B$4),IF(('Issuance Log'!$B:$B=A12)*('Issuance Log'!$G:$G=$B$4),'Issuance Log'!$D:$D),0)),"-")</f>
        <v>-</v>
      </c>
    </row>
    <row r="13" spans="1:5" x14ac:dyDescent="0.25">
      <c r="A13" s="2" t="s">
        <v>22</v>
      </c>
      <c r="B13" s="2" t="s">
        <v>19</v>
      </c>
      <c r="C13" s="3">
        <f>IFERROR(SUMIFS('Issuance Log'!$D:$D,'Issuance Log'!$B:$B,A13,'Issuance Log'!$G:$G,$B$4),0)</f>
        <v>0</v>
      </c>
      <c r="D13" s="3">
        <f>IFERROR(COUNTIFS('Issuance Log'!$B:$B,A13,'Issuance Log'!$G:$G,$B$4),0)</f>
        <v>0</v>
      </c>
      <c r="E13" s="3" t="str">
        <f ca="1">IFERROR(INDEX('Issuance Log'!$E:$E,MATCH(MAXIFS('Issuance Log'!$D:$D,'Issuance Log'!$B:$B,A13,'Issuance Log'!$G:$G,$B$4),IF(('Issuance Log'!$B:$B=A13)*('Issuance Log'!$G:$G=$B$4),'Issuance Log'!$D:$D),0)),"-")</f>
        <v>-</v>
      </c>
    </row>
    <row r="14" spans="1:5" x14ac:dyDescent="0.25">
      <c r="A14" s="4" t="s">
        <v>23</v>
      </c>
      <c r="B14" s="4" t="s">
        <v>24</v>
      </c>
      <c r="C14" s="5">
        <f>IFERROR(SUMIFS('Issuance Log'!$D:$D,'Issuance Log'!$B:$B,A14,'Issuance Log'!$G:$G,$B$4),0)</f>
        <v>0</v>
      </c>
      <c r="D14" s="5">
        <f>IFERROR(COUNTIFS('Issuance Log'!$B:$B,A14,'Issuance Log'!$G:$G,$B$4),0)</f>
        <v>0</v>
      </c>
      <c r="E14" s="5" t="str">
        <f ca="1">IFERROR(INDEX('Issuance Log'!$E:$E,MATCH(MAXIFS('Issuance Log'!$D:$D,'Issuance Log'!$B:$B,A14,'Issuance Log'!$G:$G,$B$4),IF(('Issuance Log'!$B:$B=A14)*('Issuance Log'!$G:$G=$B$4),'Issuance Log'!$D:$D),0)),"-")</f>
        <v>-</v>
      </c>
    </row>
    <row r="15" spans="1:5" x14ac:dyDescent="0.25">
      <c r="A15" s="2" t="s">
        <v>25</v>
      </c>
      <c r="B15" s="2" t="s">
        <v>26</v>
      </c>
      <c r="C15" s="3">
        <f>IFERROR(SUMIFS('Issuance Log'!$D:$D,'Issuance Log'!$B:$B,A15,'Issuance Log'!$G:$G,$B$4),0)</f>
        <v>0</v>
      </c>
      <c r="D15" s="3">
        <f>IFERROR(COUNTIFS('Issuance Log'!$B:$B,A15,'Issuance Log'!$G:$G,$B$4),0)</f>
        <v>0</v>
      </c>
      <c r="E15" s="3" t="str">
        <f ca="1">IFERROR(INDEX('Issuance Log'!$E:$E,MATCH(MAXIFS('Issuance Log'!$D:$D,'Issuance Log'!$B:$B,A15,'Issuance Log'!$G:$G,$B$4),IF(('Issuance Log'!$B:$B=A15)*('Issuance Log'!$G:$G=$B$4),'Issuance Log'!$D:$D),0)),"-")</f>
        <v>-</v>
      </c>
    </row>
    <row r="16" spans="1:5" x14ac:dyDescent="0.25">
      <c r="A16" s="4" t="s">
        <v>27</v>
      </c>
      <c r="B16" s="4" t="s">
        <v>28</v>
      </c>
      <c r="C16" s="5">
        <f>IFERROR(SUMIFS('Issuance Log'!$D:$D,'Issuance Log'!$B:$B,A16,'Issuance Log'!$G:$G,$B$4),0)</f>
        <v>0</v>
      </c>
      <c r="D16" s="5">
        <f>IFERROR(COUNTIFS('Issuance Log'!$B:$B,A16,'Issuance Log'!$G:$G,$B$4),0)</f>
        <v>0</v>
      </c>
      <c r="E16" s="5" t="str">
        <f ca="1">IFERROR(INDEX('Issuance Log'!$E:$E,MATCH(MAXIFS('Issuance Log'!$D:$D,'Issuance Log'!$B:$B,A16,'Issuance Log'!$G:$G,$B$4),IF(('Issuance Log'!$B:$B=A16)*('Issuance Log'!$G:$G=$B$4),'Issuance Log'!$D:$D),0)),"-")</f>
        <v>-</v>
      </c>
    </row>
    <row r="17" spans="1:5" x14ac:dyDescent="0.25">
      <c r="A17" s="2" t="s">
        <v>29</v>
      </c>
      <c r="B17" s="2" t="s">
        <v>30</v>
      </c>
      <c r="C17" s="3">
        <f>IFERROR(SUMIFS('Issuance Log'!$D:$D,'Issuance Log'!$B:$B,A17,'Issuance Log'!$G:$G,$B$4),0)</f>
        <v>0</v>
      </c>
      <c r="D17" s="3">
        <f>IFERROR(COUNTIFS('Issuance Log'!$B:$B,A17,'Issuance Log'!$G:$G,$B$4),0)</f>
        <v>0</v>
      </c>
      <c r="E17" s="3" t="str">
        <f ca="1">IFERROR(INDEX('Issuance Log'!$E:$E,MATCH(MAXIFS('Issuance Log'!$D:$D,'Issuance Log'!$B:$B,A17,'Issuance Log'!$G:$G,$B$4),IF(('Issuance Log'!$B:$B=A17)*('Issuance Log'!$G:$G=$B$4),'Issuance Log'!$D:$D),0)),"-")</f>
        <v>-</v>
      </c>
    </row>
    <row r="18" spans="1:5" x14ac:dyDescent="0.25">
      <c r="A18" s="4" t="s">
        <v>31</v>
      </c>
      <c r="B18" s="4" t="s">
        <v>32</v>
      </c>
      <c r="C18" s="5">
        <f>IFERROR(SUMIFS('Issuance Log'!$D:$D,'Issuance Log'!$B:$B,A18,'Issuance Log'!$G:$G,$B$4),0)</f>
        <v>0</v>
      </c>
      <c r="D18" s="5">
        <f>IFERROR(COUNTIFS('Issuance Log'!$B:$B,A18,'Issuance Log'!$G:$G,$B$4),0)</f>
        <v>0</v>
      </c>
      <c r="E18" s="5" t="str">
        <f ca="1">IFERROR(INDEX('Issuance Log'!$E:$E,MATCH(MAXIFS('Issuance Log'!$D:$D,'Issuance Log'!$B:$B,A18,'Issuance Log'!$G:$G,$B$4),IF(('Issuance Log'!$B:$B=A18)*('Issuance Log'!$G:$G=$B$4),'Issuance Log'!$D:$D),0)),"-")</f>
        <v>-</v>
      </c>
    </row>
    <row r="19" spans="1:5" x14ac:dyDescent="0.25">
      <c r="A19" s="2" t="s">
        <v>33</v>
      </c>
      <c r="B19" s="2" t="s">
        <v>34</v>
      </c>
      <c r="C19" s="3">
        <f>IFERROR(SUMIFS('Issuance Log'!$D:$D,'Issuance Log'!$B:$B,A19,'Issuance Log'!$G:$G,$B$4),0)</f>
        <v>0</v>
      </c>
      <c r="D19" s="3">
        <f>IFERROR(COUNTIFS('Issuance Log'!$B:$B,A19,'Issuance Log'!$G:$G,$B$4),0)</f>
        <v>0</v>
      </c>
      <c r="E19" s="3" t="str">
        <f ca="1">IFERROR(INDEX('Issuance Log'!$E:$E,MATCH(MAXIFS('Issuance Log'!$D:$D,'Issuance Log'!$B:$B,A19,'Issuance Log'!$G:$G,$B$4),IF(('Issuance Log'!$B:$B=A19)*('Issuance Log'!$G:$G=$B$4),'Issuance Log'!$D:$D),0)),"-")</f>
        <v>-</v>
      </c>
    </row>
    <row r="20" spans="1:5" x14ac:dyDescent="0.25">
      <c r="A20" s="4" t="s">
        <v>35</v>
      </c>
      <c r="B20" s="4" t="s">
        <v>36</v>
      </c>
      <c r="C20" s="5">
        <f>IFERROR(SUMIFS('Issuance Log'!$D:$D,'Issuance Log'!$B:$B,A20,'Issuance Log'!$G:$G,$B$4),0)</f>
        <v>0</v>
      </c>
      <c r="D20" s="5">
        <f>IFERROR(COUNTIFS('Issuance Log'!$B:$B,A20,'Issuance Log'!$G:$G,$B$4),0)</f>
        <v>0</v>
      </c>
      <c r="E20" s="5" t="str">
        <f ca="1">IFERROR(INDEX('Issuance Log'!$E:$E,MATCH(MAXIFS('Issuance Log'!$D:$D,'Issuance Log'!$B:$B,A20,'Issuance Log'!$G:$G,$B$4),IF(('Issuance Log'!$B:$B=A20)*('Issuance Log'!$G:$G=$B$4),'Issuance Log'!$D:$D),0)),"-")</f>
        <v>-</v>
      </c>
    </row>
    <row r="21" spans="1:5" x14ac:dyDescent="0.25">
      <c r="A21" s="2" t="s">
        <v>37</v>
      </c>
      <c r="B21" s="2" t="s">
        <v>38</v>
      </c>
      <c r="C21" s="3">
        <f>IFERROR(SUMIFS('Issuance Log'!$D:$D,'Issuance Log'!$B:$B,A21,'Issuance Log'!$G:$G,$B$4),0)</f>
        <v>0</v>
      </c>
      <c r="D21" s="3">
        <f>IFERROR(COUNTIFS('Issuance Log'!$B:$B,A21,'Issuance Log'!$G:$G,$B$4),0)</f>
        <v>0</v>
      </c>
      <c r="E21" s="3" t="str">
        <f ca="1">IFERROR(INDEX('Issuance Log'!$E:$E,MATCH(MAXIFS('Issuance Log'!$D:$D,'Issuance Log'!$B:$B,A21,'Issuance Log'!$G:$G,$B$4),IF(('Issuance Log'!$B:$B=A21)*('Issuance Log'!$G:$G=$B$4),'Issuance Log'!$D:$D),0)),"-")</f>
        <v>-</v>
      </c>
    </row>
    <row r="22" spans="1:5" x14ac:dyDescent="0.25">
      <c r="A22" s="4" t="s">
        <v>39</v>
      </c>
      <c r="B22" s="4" t="s">
        <v>40</v>
      </c>
      <c r="C22" s="5">
        <f>IFERROR(SUMIFS('Issuance Log'!$D:$D,'Issuance Log'!$B:$B,A22,'Issuance Log'!$G:$G,$B$4),0)</f>
        <v>0</v>
      </c>
      <c r="D22" s="5">
        <f>IFERROR(COUNTIFS('Issuance Log'!$B:$B,A22,'Issuance Log'!$G:$G,$B$4),0)</f>
        <v>0</v>
      </c>
      <c r="E22" s="5" t="str">
        <f ca="1">IFERROR(INDEX('Issuance Log'!$E:$E,MATCH(MAXIFS('Issuance Log'!$D:$D,'Issuance Log'!$B:$B,A22,'Issuance Log'!$G:$G,$B$4),IF(('Issuance Log'!$B:$B=A22)*('Issuance Log'!$G:$G=$B$4),'Issuance Log'!$D:$D),0)),"-")</f>
        <v>-</v>
      </c>
    </row>
    <row r="23" spans="1:5" x14ac:dyDescent="0.25">
      <c r="A23" s="2" t="s">
        <v>41</v>
      </c>
      <c r="B23" s="2" t="s">
        <v>42</v>
      </c>
      <c r="C23" s="3">
        <f>IFERROR(SUMIFS('Issuance Log'!$D:$D,'Issuance Log'!$B:$B,A23,'Issuance Log'!$G:$G,$B$4),0)</f>
        <v>0</v>
      </c>
      <c r="D23" s="3">
        <f>IFERROR(COUNTIFS('Issuance Log'!$B:$B,A23,'Issuance Log'!$G:$G,$B$4),0)</f>
        <v>0</v>
      </c>
      <c r="E23" s="3" t="str">
        <f ca="1">IFERROR(INDEX('Issuance Log'!$E:$E,MATCH(MAXIFS('Issuance Log'!$D:$D,'Issuance Log'!$B:$B,A23,'Issuance Log'!$G:$G,$B$4),IF(('Issuance Log'!$B:$B=A23)*('Issuance Log'!$G:$G=$B$4),'Issuance Log'!$D:$D),0)),"-")</f>
        <v>-</v>
      </c>
    </row>
    <row r="24" spans="1:5" x14ac:dyDescent="0.25">
      <c r="A24" s="4" t="s">
        <v>43</v>
      </c>
      <c r="B24" s="4" t="s">
        <v>44</v>
      </c>
      <c r="C24" s="5">
        <f>IFERROR(SUMIFS('Issuance Log'!$D:$D,'Issuance Log'!$B:$B,A24,'Issuance Log'!$G:$G,$B$4),0)</f>
        <v>0</v>
      </c>
      <c r="D24" s="5">
        <f>IFERROR(COUNTIFS('Issuance Log'!$B:$B,A24,'Issuance Log'!$G:$G,$B$4),0)</f>
        <v>0</v>
      </c>
      <c r="E24" s="5" t="str">
        <f ca="1">IFERROR(INDEX('Issuance Log'!$E:$E,MATCH(MAXIFS('Issuance Log'!$D:$D,'Issuance Log'!$B:$B,A24,'Issuance Log'!$G:$G,$B$4),IF(('Issuance Log'!$B:$B=A24)*('Issuance Log'!$G:$G=$B$4),'Issuance Log'!$D:$D),0)),"-")</f>
        <v>-</v>
      </c>
    </row>
    <row r="25" spans="1:5" x14ac:dyDescent="0.25">
      <c r="A25" s="2" t="s">
        <v>45</v>
      </c>
      <c r="B25" s="2" t="s">
        <v>46</v>
      </c>
      <c r="C25" s="3">
        <f>IFERROR(SUMIFS('Issuance Log'!$D:$D,'Issuance Log'!$B:$B,A25,'Issuance Log'!$G:$G,$B$4),0)</f>
        <v>0</v>
      </c>
      <c r="D25" s="3">
        <f>IFERROR(COUNTIFS('Issuance Log'!$B:$B,A25,'Issuance Log'!$G:$G,$B$4),0)</f>
        <v>0</v>
      </c>
      <c r="E25" s="3" t="str">
        <f ca="1">IFERROR(INDEX('Issuance Log'!$E:$E,MATCH(MAXIFS('Issuance Log'!$D:$D,'Issuance Log'!$B:$B,A25,'Issuance Log'!$G:$G,$B$4),IF(('Issuance Log'!$B:$B=A25)*('Issuance Log'!$G:$G=$B$4),'Issuance Log'!$D:$D),0)),"-")</f>
        <v>-</v>
      </c>
    </row>
    <row r="26" spans="1:5" x14ac:dyDescent="0.25">
      <c r="A26" s="4" t="s">
        <v>47</v>
      </c>
      <c r="B26" s="4" t="s">
        <v>48</v>
      </c>
      <c r="C26" s="5">
        <f>IFERROR(SUMIFS('Issuance Log'!$D:$D,'Issuance Log'!$B:$B,A26,'Issuance Log'!$G:$G,$B$4),0)</f>
        <v>0</v>
      </c>
      <c r="D26" s="5">
        <f>IFERROR(COUNTIFS('Issuance Log'!$B:$B,A26,'Issuance Log'!$G:$G,$B$4),0)</f>
        <v>0</v>
      </c>
      <c r="E26" s="5" t="str">
        <f ca="1">IFERROR(INDEX('Issuance Log'!$E:$E,MATCH(MAXIFS('Issuance Log'!$D:$D,'Issuance Log'!$B:$B,A26,'Issuance Log'!$G:$G,$B$4),IF(('Issuance Log'!$B:$B=A26)*('Issuance Log'!$G:$G=$B$4),'Issuance Log'!$D:$D),0)),"-")</f>
        <v>-</v>
      </c>
    </row>
    <row r="27" spans="1:5" x14ac:dyDescent="0.25">
      <c r="A27" s="2" t="s">
        <v>49</v>
      </c>
      <c r="B27" s="2" t="s">
        <v>50</v>
      </c>
      <c r="C27" s="3">
        <f>IFERROR(SUMIFS('Issuance Log'!$D:$D,'Issuance Log'!$B:$B,A27,'Issuance Log'!$G:$G,$B$4),0)</f>
        <v>0</v>
      </c>
      <c r="D27" s="3">
        <f>IFERROR(COUNTIFS('Issuance Log'!$B:$B,A27,'Issuance Log'!$G:$G,$B$4),0)</f>
        <v>0</v>
      </c>
      <c r="E27" s="3" t="str">
        <f ca="1">IFERROR(INDEX('Issuance Log'!$E:$E,MATCH(MAXIFS('Issuance Log'!$D:$D,'Issuance Log'!$B:$B,A27,'Issuance Log'!$G:$G,$B$4),IF(('Issuance Log'!$B:$B=A27)*('Issuance Log'!$G:$G=$B$4),'Issuance Log'!$D:$D),0)),"-")</f>
        <v>-</v>
      </c>
    </row>
    <row r="28" spans="1:5" x14ac:dyDescent="0.25">
      <c r="A28" s="4" t="s">
        <v>51</v>
      </c>
      <c r="B28" s="4" t="s">
        <v>52</v>
      </c>
      <c r="C28" s="5">
        <f>IFERROR(SUMIFS('Issuance Log'!$D:$D,'Issuance Log'!$B:$B,A28,'Issuance Log'!$G:$G,$B$4),0)</f>
        <v>0</v>
      </c>
      <c r="D28" s="5">
        <f>IFERROR(COUNTIFS('Issuance Log'!$B:$B,A28,'Issuance Log'!$G:$G,$B$4),0)</f>
        <v>0</v>
      </c>
      <c r="E28" s="5" t="str">
        <f ca="1">IFERROR(INDEX('Issuance Log'!$E:$E,MATCH(MAXIFS('Issuance Log'!$D:$D,'Issuance Log'!$B:$B,A28,'Issuance Log'!$G:$G,$B$4),IF(('Issuance Log'!$B:$B=A28)*('Issuance Log'!$G:$G=$B$4),'Issuance Log'!$D:$D),0)),"-")</f>
        <v>-</v>
      </c>
    </row>
    <row r="29" spans="1:5" x14ac:dyDescent="0.25">
      <c r="A29" s="2" t="s">
        <v>53</v>
      </c>
      <c r="B29" s="2" t="s">
        <v>54</v>
      </c>
      <c r="C29" s="3">
        <f>IFERROR(SUMIFS('Issuance Log'!$D:$D,'Issuance Log'!$B:$B,A29,'Issuance Log'!$G:$G,$B$4),0)</f>
        <v>0</v>
      </c>
      <c r="D29" s="3">
        <f>IFERROR(COUNTIFS('Issuance Log'!$B:$B,A29,'Issuance Log'!$G:$G,$B$4),0)</f>
        <v>0</v>
      </c>
      <c r="E29" s="3" t="str">
        <f ca="1">IFERROR(INDEX('Issuance Log'!$E:$E,MATCH(MAXIFS('Issuance Log'!$D:$D,'Issuance Log'!$B:$B,A29,'Issuance Log'!$G:$G,$B$4),IF(('Issuance Log'!$B:$B=A29)*('Issuance Log'!$G:$G=$B$4),'Issuance Log'!$D:$D),0)),"-")</f>
        <v>-</v>
      </c>
    </row>
    <row r="30" spans="1:5" x14ac:dyDescent="0.25">
      <c r="A30" s="4" t="s">
        <v>55</v>
      </c>
      <c r="B30" s="4" t="s">
        <v>56</v>
      </c>
      <c r="C30" s="5">
        <f>IFERROR(SUMIFS('Issuance Log'!$D:$D,'Issuance Log'!$B:$B,A30,'Issuance Log'!$G:$G,$B$4),0)</f>
        <v>0</v>
      </c>
      <c r="D30" s="5">
        <f>IFERROR(COUNTIFS('Issuance Log'!$B:$B,A30,'Issuance Log'!$G:$G,$B$4),0)</f>
        <v>0</v>
      </c>
      <c r="E30" s="5" t="str">
        <f ca="1">IFERROR(INDEX('Issuance Log'!$E:$E,MATCH(MAXIFS('Issuance Log'!$D:$D,'Issuance Log'!$B:$B,A30,'Issuance Log'!$G:$G,$B$4),IF(('Issuance Log'!$B:$B=A30)*('Issuance Log'!$G:$G=$B$4),'Issuance Log'!$D:$D),0)),"-")</f>
        <v>-</v>
      </c>
    </row>
    <row r="31" spans="1:5" x14ac:dyDescent="0.25">
      <c r="A31" s="2" t="s">
        <v>57</v>
      </c>
      <c r="B31" s="2" t="s">
        <v>58</v>
      </c>
      <c r="C31" s="3">
        <f>IFERROR(SUMIFS('Issuance Log'!$D:$D,'Issuance Log'!$B:$B,A31,'Issuance Log'!$G:$G,$B$4),0)</f>
        <v>0</v>
      </c>
      <c r="D31" s="3">
        <f>IFERROR(COUNTIFS('Issuance Log'!$B:$B,A31,'Issuance Log'!$G:$G,$B$4),0)</f>
        <v>0</v>
      </c>
      <c r="E31" s="3" t="str">
        <f ca="1">IFERROR(INDEX('Issuance Log'!$E:$E,MATCH(MAXIFS('Issuance Log'!$D:$D,'Issuance Log'!$B:$B,A31,'Issuance Log'!$G:$G,$B$4),IF(('Issuance Log'!$B:$B=A31)*('Issuance Log'!$G:$G=$B$4),'Issuance Log'!$D:$D),0)),"-")</f>
        <v>-</v>
      </c>
    </row>
    <row r="32" spans="1:5" x14ac:dyDescent="0.25">
      <c r="A32" s="4" t="s">
        <v>59</v>
      </c>
      <c r="B32" s="4" t="s">
        <v>60</v>
      </c>
      <c r="C32" s="5">
        <f>IFERROR(SUMIFS('Issuance Log'!$D:$D,'Issuance Log'!$B:$B,A32,'Issuance Log'!$G:$G,$B$4),0)</f>
        <v>0</v>
      </c>
      <c r="D32" s="5">
        <f>IFERROR(COUNTIFS('Issuance Log'!$B:$B,A32,'Issuance Log'!$G:$G,$B$4),0)</f>
        <v>0</v>
      </c>
      <c r="E32" s="5" t="str">
        <f ca="1">IFERROR(INDEX('Issuance Log'!$E:$E,MATCH(MAXIFS('Issuance Log'!$D:$D,'Issuance Log'!$B:$B,A32,'Issuance Log'!$G:$G,$B$4),IF(('Issuance Log'!$B:$B=A32)*('Issuance Log'!$G:$G=$B$4),'Issuance Log'!$D:$D),0)),"-")</f>
        <v>-</v>
      </c>
    </row>
    <row r="33" spans="1:5" x14ac:dyDescent="0.25">
      <c r="A33" s="2" t="s">
        <v>61</v>
      </c>
      <c r="B33" s="2" t="s">
        <v>62</v>
      </c>
      <c r="C33" s="3">
        <f>IFERROR(SUMIFS('Issuance Log'!$D:$D,'Issuance Log'!$B:$B,A33,'Issuance Log'!$G:$G,$B$4),0)</f>
        <v>0</v>
      </c>
      <c r="D33" s="3">
        <f>IFERROR(COUNTIFS('Issuance Log'!$B:$B,A33,'Issuance Log'!$G:$G,$B$4),0)</f>
        <v>0</v>
      </c>
      <c r="E33" s="3" t="str">
        <f ca="1">IFERROR(INDEX('Issuance Log'!$E:$E,MATCH(MAXIFS('Issuance Log'!$D:$D,'Issuance Log'!$B:$B,A33,'Issuance Log'!$G:$G,$B$4),IF(('Issuance Log'!$B:$B=A33)*('Issuance Log'!$G:$G=$B$4),'Issuance Log'!$D:$D),0)),"-")</f>
        <v>-</v>
      </c>
    </row>
    <row r="34" spans="1:5" x14ac:dyDescent="0.25">
      <c r="A34" s="4" t="s">
        <v>63</v>
      </c>
      <c r="B34" s="4" t="s">
        <v>64</v>
      </c>
      <c r="C34" s="5">
        <f>IFERROR(SUMIFS('Issuance Log'!$D:$D,'Issuance Log'!$B:$B,A34,'Issuance Log'!$G:$G,$B$4),0)</f>
        <v>0</v>
      </c>
      <c r="D34" s="5">
        <f>IFERROR(COUNTIFS('Issuance Log'!$B:$B,A34,'Issuance Log'!$G:$G,$B$4),0)</f>
        <v>0</v>
      </c>
      <c r="E34" s="5" t="str">
        <f ca="1">IFERROR(INDEX('Issuance Log'!$E:$E,MATCH(MAXIFS('Issuance Log'!$D:$D,'Issuance Log'!$B:$B,A34,'Issuance Log'!$G:$G,$B$4),IF(('Issuance Log'!$B:$B=A34)*('Issuance Log'!$G:$G=$B$4),'Issuance Log'!$D:$D),0)),"-")</f>
        <v>-</v>
      </c>
    </row>
    <row r="35" spans="1:5" x14ac:dyDescent="0.25">
      <c r="A35" s="2" t="s">
        <v>65</v>
      </c>
      <c r="B35" s="2" t="s">
        <v>66</v>
      </c>
      <c r="C35" s="3">
        <f>IFERROR(SUMIFS('Issuance Log'!$D:$D,'Issuance Log'!$B:$B,A35,'Issuance Log'!$G:$G,$B$4),0)</f>
        <v>0</v>
      </c>
      <c r="D35" s="3">
        <f>IFERROR(COUNTIFS('Issuance Log'!$B:$B,A35,'Issuance Log'!$G:$G,$B$4),0)</f>
        <v>0</v>
      </c>
      <c r="E35" s="3" t="str">
        <f ca="1">IFERROR(INDEX('Issuance Log'!$E:$E,MATCH(MAXIFS('Issuance Log'!$D:$D,'Issuance Log'!$B:$B,A35,'Issuance Log'!$G:$G,$B$4),IF(('Issuance Log'!$B:$B=A35)*('Issuance Log'!$G:$G=$B$4),'Issuance Log'!$D:$D),0)),"-")</f>
        <v>-</v>
      </c>
    </row>
    <row r="36" spans="1:5" x14ac:dyDescent="0.25">
      <c r="A36" s="4" t="s">
        <v>67</v>
      </c>
      <c r="B36" s="4" t="s">
        <v>68</v>
      </c>
      <c r="C36" s="5">
        <f>IFERROR(SUMIFS('Issuance Log'!$D:$D,'Issuance Log'!$B:$B,A36,'Issuance Log'!$G:$G,$B$4),0)</f>
        <v>0</v>
      </c>
      <c r="D36" s="5">
        <f>IFERROR(COUNTIFS('Issuance Log'!$B:$B,A36,'Issuance Log'!$G:$G,$B$4),0)</f>
        <v>0</v>
      </c>
      <c r="E36" s="5" t="str">
        <f ca="1">IFERROR(INDEX('Issuance Log'!$E:$E,MATCH(MAXIFS('Issuance Log'!$D:$D,'Issuance Log'!$B:$B,A36,'Issuance Log'!$G:$G,$B$4),IF(('Issuance Log'!$B:$B=A36)*('Issuance Log'!$G:$G=$B$4),'Issuance Log'!$D:$D),0)),"-")</f>
        <v>-</v>
      </c>
    </row>
    <row r="37" spans="1:5" x14ac:dyDescent="0.25">
      <c r="A37" s="2" t="s">
        <v>69</v>
      </c>
      <c r="B37" s="2" t="s">
        <v>70</v>
      </c>
      <c r="C37" s="3">
        <f>IFERROR(SUMIFS('Issuance Log'!$D:$D,'Issuance Log'!$B:$B,A37,'Issuance Log'!$G:$G,$B$4),0)</f>
        <v>0</v>
      </c>
      <c r="D37" s="3">
        <f>IFERROR(COUNTIFS('Issuance Log'!$B:$B,A37,'Issuance Log'!$G:$G,$B$4),0)</f>
        <v>0</v>
      </c>
      <c r="E37" s="3" t="str">
        <f ca="1">IFERROR(INDEX('Issuance Log'!$E:$E,MATCH(MAXIFS('Issuance Log'!$D:$D,'Issuance Log'!$B:$B,A37,'Issuance Log'!$G:$G,$B$4),IF(('Issuance Log'!$B:$B=A37)*('Issuance Log'!$G:$G=$B$4),'Issuance Log'!$D:$D),0)),"-")</f>
        <v>-</v>
      </c>
    </row>
    <row r="38" spans="1:5" x14ac:dyDescent="0.25">
      <c r="A38" s="4" t="s">
        <v>71</v>
      </c>
      <c r="B38" s="4" t="s">
        <v>72</v>
      </c>
      <c r="C38" s="5">
        <f>IFERROR(SUMIFS('Issuance Log'!$D:$D,'Issuance Log'!$B:$B,A38,'Issuance Log'!$G:$G,$B$4),0)</f>
        <v>0</v>
      </c>
      <c r="D38" s="5">
        <f>IFERROR(COUNTIFS('Issuance Log'!$B:$B,A38,'Issuance Log'!$G:$G,$B$4),0)</f>
        <v>0</v>
      </c>
      <c r="E38" s="5" t="str">
        <f ca="1">IFERROR(INDEX('Issuance Log'!$E:$E,MATCH(MAXIFS('Issuance Log'!$D:$D,'Issuance Log'!$B:$B,A38,'Issuance Log'!$G:$G,$B$4),IF(('Issuance Log'!$B:$B=A38)*('Issuance Log'!$G:$G=$B$4),'Issuance Log'!$D:$D),0)),"-")</f>
        <v>-</v>
      </c>
    </row>
    <row r="39" spans="1:5" x14ac:dyDescent="0.25">
      <c r="A39" s="2" t="s">
        <v>73</v>
      </c>
      <c r="B39" s="2" t="s">
        <v>74</v>
      </c>
      <c r="C39" s="3">
        <f>IFERROR(SUMIFS('Issuance Log'!$D:$D,'Issuance Log'!$B:$B,A39,'Issuance Log'!$G:$G,$B$4),0)</f>
        <v>0</v>
      </c>
      <c r="D39" s="3">
        <f>IFERROR(COUNTIFS('Issuance Log'!$B:$B,A39,'Issuance Log'!$G:$G,$B$4),0)</f>
        <v>0</v>
      </c>
      <c r="E39" s="3" t="str">
        <f ca="1">IFERROR(INDEX('Issuance Log'!$E:$E,MATCH(MAXIFS('Issuance Log'!$D:$D,'Issuance Log'!$B:$B,A39,'Issuance Log'!$G:$G,$B$4),IF(('Issuance Log'!$B:$B=A39)*('Issuance Log'!$G:$G=$B$4),'Issuance Log'!$D:$D),0)),"-")</f>
        <v>-</v>
      </c>
    </row>
    <row r="40" spans="1:5" x14ac:dyDescent="0.25">
      <c r="A40" s="4" t="s">
        <v>75</v>
      </c>
      <c r="B40" s="4" t="s">
        <v>76</v>
      </c>
      <c r="C40" s="5">
        <f>IFERROR(SUMIFS('Issuance Log'!$D:$D,'Issuance Log'!$B:$B,A40,'Issuance Log'!$G:$G,$B$4),0)</f>
        <v>0</v>
      </c>
      <c r="D40" s="5">
        <f>IFERROR(COUNTIFS('Issuance Log'!$B:$B,A40,'Issuance Log'!$G:$G,$B$4),0)</f>
        <v>0</v>
      </c>
      <c r="E40" s="5" t="str">
        <f ca="1">IFERROR(INDEX('Issuance Log'!$E:$E,MATCH(MAXIFS('Issuance Log'!$D:$D,'Issuance Log'!$B:$B,A40,'Issuance Log'!$G:$G,$B$4),IF(('Issuance Log'!$B:$B=A40)*('Issuance Log'!$G:$G=$B$4),'Issuance Log'!$D:$D),0)),"-")</f>
        <v>-</v>
      </c>
    </row>
    <row r="41" spans="1:5" x14ac:dyDescent="0.25">
      <c r="A41" s="2" t="s">
        <v>77</v>
      </c>
      <c r="B41" s="2" t="s">
        <v>78</v>
      </c>
      <c r="C41" s="3">
        <f>IFERROR(SUMIFS('Issuance Log'!$D:$D,'Issuance Log'!$B:$B,A41,'Issuance Log'!$G:$G,$B$4),0)</f>
        <v>0</v>
      </c>
      <c r="D41" s="3">
        <f>IFERROR(COUNTIFS('Issuance Log'!$B:$B,A41,'Issuance Log'!$G:$G,$B$4),0)</f>
        <v>0</v>
      </c>
      <c r="E41" s="3" t="str">
        <f ca="1">IFERROR(INDEX('Issuance Log'!$E:$E,MATCH(MAXIFS('Issuance Log'!$D:$D,'Issuance Log'!$B:$B,A41,'Issuance Log'!$G:$G,$B$4),IF(('Issuance Log'!$B:$B=A41)*('Issuance Log'!$G:$G=$B$4),'Issuance Log'!$D:$D),0)),"-")</f>
        <v>-</v>
      </c>
    </row>
    <row r="42" spans="1:5" x14ac:dyDescent="0.25">
      <c r="A42" s="4" t="s">
        <v>79</v>
      </c>
      <c r="B42" s="4" t="s">
        <v>80</v>
      </c>
      <c r="C42" s="5">
        <f>IFERROR(SUMIFS('Issuance Log'!$D:$D,'Issuance Log'!$B:$B,A42,'Issuance Log'!$G:$G,$B$4),0)</f>
        <v>0</v>
      </c>
      <c r="D42" s="5">
        <f>IFERROR(COUNTIFS('Issuance Log'!$B:$B,A42,'Issuance Log'!$G:$G,$B$4),0)</f>
        <v>0</v>
      </c>
      <c r="E42" s="5" t="str">
        <f ca="1">IFERROR(INDEX('Issuance Log'!$E:$E,MATCH(MAXIFS('Issuance Log'!$D:$D,'Issuance Log'!$B:$B,A42,'Issuance Log'!$G:$G,$B$4),IF(('Issuance Log'!$B:$B=A42)*('Issuance Log'!$G:$G=$B$4),'Issuance Log'!$D:$D),0)),"-")</f>
        <v>-</v>
      </c>
    </row>
    <row r="43" spans="1:5" x14ac:dyDescent="0.25">
      <c r="A43" s="2" t="s">
        <v>81</v>
      </c>
      <c r="B43" s="2" t="s">
        <v>82</v>
      </c>
      <c r="C43" s="3">
        <f>IFERROR(SUMIFS('Issuance Log'!$D:$D,'Issuance Log'!$B:$B,A43,'Issuance Log'!$G:$G,$B$4),0)</f>
        <v>0</v>
      </c>
      <c r="D43" s="3">
        <f>IFERROR(COUNTIFS('Issuance Log'!$B:$B,A43,'Issuance Log'!$G:$G,$B$4),0)</f>
        <v>0</v>
      </c>
      <c r="E43" s="3" t="str">
        <f ca="1">IFERROR(INDEX('Issuance Log'!$E:$E,MATCH(MAXIFS('Issuance Log'!$D:$D,'Issuance Log'!$B:$B,A43,'Issuance Log'!$G:$G,$B$4),IF(('Issuance Log'!$B:$B=A43)*('Issuance Log'!$G:$G=$B$4),'Issuance Log'!$D:$D),0)),"-")</f>
        <v>-</v>
      </c>
    </row>
    <row r="44" spans="1:5" x14ac:dyDescent="0.25">
      <c r="A44" s="4" t="s">
        <v>83</v>
      </c>
      <c r="B44" s="4" t="s">
        <v>84</v>
      </c>
      <c r="C44" s="5">
        <f>IFERROR(SUMIFS('Issuance Log'!$D:$D,'Issuance Log'!$B:$B,A44,'Issuance Log'!$G:$G,$B$4),0)</f>
        <v>0</v>
      </c>
      <c r="D44" s="5">
        <f>IFERROR(COUNTIFS('Issuance Log'!$B:$B,A44,'Issuance Log'!$G:$G,$B$4),0)</f>
        <v>0</v>
      </c>
      <c r="E44" s="5" t="str">
        <f ca="1">IFERROR(INDEX('Issuance Log'!$E:$E,MATCH(MAXIFS('Issuance Log'!$D:$D,'Issuance Log'!$B:$B,A44,'Issuance Log'!$G:$G,$B$4),IF(('Issuance Log'!$B:$B=A44)*('Issuance Log'!$G:$G=$B$4),'Issuance Log'!$D:$D),0)),"-")</f>
        <v>-</v>
      </c>
    </row>
    <row r="45" spans="1:5" x14ac:dyDescent="0.25">
      <c r="A45" s="2" t="s">
        <v>85</v>
      </c>
      <c r="B45" s="2" t="s">
        <v>86</v>
      </c>
      <c r="C45" s="3">
        <f>IFERROR(SUMIFS('Issuance Log'!$D:$D,'Issuance Log'!$B:$B,A45,'Issuance Log'!$G:$G,$B$4),0)</f>
        <v>0</v>
      </c>
      <c r="D45" s="3">
        <f>IFERROR(COUNTIFS('Issuance Log'!$B:$B,A45,'Issuance Log'!$G:$G,$B$4),0)</f>
        <v>0</v>
      </c>
      <c r="E45" s="3" t="str">
        <f ca="1">IFERROR(INDEX('Issuance Log'!$E:$E,MATCH(MAXIFS('Issuance Log'!$D:$D,'Issuance Log'!$B:$B,A45,'Issuance Log'!$G:$G,$B$4),IF(('Issuance Log'!$B:$B=A45)*('Issuance Log'!$G:$G=$B$4),'Issuance Log'!$D:$D),0)),"-")</f>
        <v>-</v>
      </c>
    </row>
    <row r="46" spans="1:5" x14ac:dyDescent="0.25">
      <c r="A46" s="4" t="s">
        <v>87</v>
      </c>
      <c r="B46" s="4" t="s">
        <v>88</v>
      </c>
      <c r="C46" s="5">
        <f>IFERROR(SUMIFS('Issuance Log'!$D:$D,'Issuance Log'!$B:$B,A46,'Issuance Log'!$G:$G,$B$4),0)</f>
        <v>0</v>
      </c>
      <c r="D46" s="5">
        <f>IFERROR(COUNTIFS('Issuance Log'!$B:$B,A46,'Issuance Log'!$G:$G,$B$4),0)</f>
        <v>0</v>
      </c>
      <c r="E46" s="5" t="str">
        <f ca="1">IFERROR(INDEX('Issuance Log'!$E:$E,MATCH(MAXIFS('Issuance Log'!$D:$D,'Issuance Log'!$B:$B,A46,'Issuance Log'!$G:$G,$B$4),IF(('Issuance Log'!$B:$B=A46)*('Issuance Log'!$G:$G=$B$4),'Issuance Log'!$D:$D),0)),"-")</f>
        <v>-</v>
      </c>
    </row>
    <row r="47" spans="1:5" x14ac:dyDescent="0.25">
      <c r="A47" s="2" t="s">
        <v>89</v>
      </c>
      <c r="B47" s="2" t="s">
        <v>90</v>
      </c>
      <c r="C47" s="3">
        <f>IFERROR(SUMIFS('Issuance Log'!$D:$D,'Issuance Log'!$B:$B,A47,'Issuance Log'!$G:$G,$B$4),0)</f>
        <v>0</v>
      </c>
      <c r="D47" s="3">
        <f>IFERROR(COUNTIFS('Issuance Log'!$B:$B,A47,'Issuance Log'!$G:$G,$B$4),0)</f>
        <v>0</v>
      </c>
      <c r="E47" s="3" t="str">
        <f ca="1">IFERROR(INDEX('Issuance Log'!$E:$E,MATCH(MAXIFS('Issuance Log'!$D:$D,'Issuance Log'!$B:$B,A47,'Issuance Log'!$G:$G,$B$4),IF(('Issuance Log'!$B:$B=A47)*('Issuance Log'!$G:$G=$B$4),'Issuance Log'!$D:$D),0)),"-")</f>
        <v>-</v>
      </c>
    </row>
    <row r="48" spans="1:5" x14ac:dyDescent="0.25">
      <c r="A48" s="4" t="s">
        <v>91</v>
      </c>
      <c r="B48" s="4" t="s">
        <v>92</v>
      </c>
      <c r="C48" s="5">
        <f>IFERROR(SUMIFS('Issuance Log'!$D:$D,'Issuance Log'!$B:$B,A48,'Issuance Log'!$G:$G,$B$4),0)</f>
        <v>0</v>
      </c>
      <c r="D48" s="5">
        <f>IFERROR(COUNTIFS('Issuance Log'!$B:$B,A48,'Issuance Log'!$G:$G,$B$4),0)</f>
        <v>0</v>
      </c>
      <c r="E48" s="5" t="str">
        <f ca="1">IFERROR(INDEX('Issuance Log'!$E:$E,MATCH(MAXIFS('Issuance Log'!$D:$D,'Issuance Log'!$B:$B,A48,'Issuance Log'!$G:$G,$B$4),IF(('Issuance Log'!$B:$B=A48)*('Issuance Log'!$G:$G=$B$4),'Issuance Log'!$D:$D),0)),"-")</f>
        <v>-</v>
      </c>
    </row>
    <row r="49" spans="1:5" x14ac:dyDescent="0.25">
      <c r="A49" s="2" t="s">
        <v>93</v>
      </c>
      <c r="B49" s="2" t="s">
        <v>94</v>
      </c>
      <c r="C49" s="3">
        <f>IFERROR(SUMIFS('Issuance Log'!$D:$D,'Issuance Log'!$B:$B,A49,'Issuance Log'!$G:$G,$B$4),0)</f>
        <v>0</v>
      </c>
      <c r="D49" s="3">
        <f>IFERROR(COUNTIFS('Issuance Log'!$B:$B,A49,'Issuance Log'!$G:$G,$B$4),0)</f>
        <v>0</v>
      </c>
      <c r="E49" s="3" t="str">
        <f ca="1">IFERROR(INDEX('Issuance Log'!$E:$E,MATCH(MAXIFS('Issuance Log'!$D:$D,'Issuance Log'!$B:$B,A49,'Issuance Log'!$G:$G,$B$4),IF(('Issuance Log'!$B:$B=A49)*('Issuance Log'!$G:$G=$B$4),'Issuance Log'!$D:$D),0)),"-")</f>
        <v>-</v>
      </c>
    </row>
    <row r="50" spans="1:5" x14ac:dyDescent="0.25">
      <c r="A50" s="4" t="s">
        <v>95</v>
      </c>
      <c r="B50" s="4" t="s">
        <v>96</v>
      </c>
      <c r="C50" s="5">
        <f>IFERROR(SUMIFS('Issuance Log'!$D:$D,'Issuance Log'!$B:$B,A50,'Issuance Log'!$G:$G,$B$4),0)</f>
        <v>0</v>
      </c>
      <c r="D50" s="5">
        <f>IFERROR(COUNTIFS('Issuance Log'!$B:$B,A50,'Issuance Log'!$G:$G,$B$4),0)</f>
        <v>0</v>
      </c>
      <c r="E50" s="5" t="str">
        <f ca="1">IFERROR(INDEX('Issuance Log'!$E:$E,MATCH(MAXIFS('Issuance Log'!$D:$D,'Issuance Log'!$B:$B,A50,'Issuance Log'!$G:$G,$B$4),IF(('Issuance Log'!$B:$B=A50)*('Issuance Log'!$G:$G=$B$4),'Issuance Log'!$D:$D),0)),"-")</f>
        <v>-</v>
      </c>
    </row>
    <row r="51" spans="1:5" x14ac:dyDescent="0.25">
      <c r="A51" s="2" t="s">
        <v>97</v>
      </c>
      <c r="B51" s="2" t="s">
        <v>98</v>
      </c>
      <c r="C51" s="3">
        <f>IFERROR(SUMIFS('Issuance Log'!$D:$D,'Issuance Log'!$B:$B,A51,'Issuance Log'!$G:$G,$B$4),0)</f>
        <v>0</v>
      </c>
      <c r="D51" s="3">
        <f>IFERROR(COUNTIFS('Issuance Log'!$B:$B,A51,'Issuance Log'!$G:$G,$B$4),0)</f>
        <v>0</v>
      </c>
      <c r="E51" s="3" t="str">
        <f ca="1">IFERROR(INDEX('Issuance Log'!$E:$E,MATCH(MAXIFS('Issuance Log'!$D:$D,'Issuance Log'!$B:$B,A51,'Issuance Log'!$G:$G,$B$4),IF(('Issuance Log'!$B:$B=A51)*('Issuance Log'!$G:$G=$B$4),'Issuance Log'!$D:$D),0)),"-")</f>
        <v>-</v>
      </c>
    </row>
    <row r="52" spans="1:5" x14ac:dyDescent="0.25">
      <c r="A52" s="4" t="s">
        <v>99</v>
      </c>
      <c r="B52" s="4" t="s">
        <v>100</v>
      </c>
      <c r="C52" s="5">
        <f>IFERROR(SUMIFS('Issuance Log'!$D:$D,'Issuance Log'!$B:$B,A52,'Issuance Log'!$G:$G,$B$4),0)</f>
        <v>0</v>
      </c>
      <c r="D52" s="5">
        <f>IFERROR(COUNTIFS('Issuance Log'!$B:$B,A52,'Issuance Log'!$G:$G,$B$4),0)</f>
        <v>0</v>
      </c>
      <c r="E52" s="5" t="str">
        <f ca="1">IFERROR(INDEX('Issuance Log'!$E:$E,MATCH(MAXIFS('Issuance Log'!$D:$D,'Issuance Log'!$B:$B,A52,'Issuance Log'!$G:$G,$B$4),IF(('Issuance Log'!$B:$B=A52)*('Issuance Log'!$G:$G=$B$4),'Issuance Log'!$D:$D),0)),"-")</f>
        <v>-</v>
      </c>
    </row>
    <row r="53" spans="1:5" x14ac:dyDescent="0.25">
      <c r="A53" s="2" t="s">
        <v>101</v>
      </c>
      <c r="B53" s="2" t="s">
        <v>100</v>
      </c>
      <c r="C53" s="3">
        <f>IFERROR(SUMIFS('Issuance Log'!$D:$D,'Issuance Log'!$B:$B,A53,'Issuance Log'!$G:$G,$B$4),0)</f>
        <v>0</v>
      </c>
      <c r="D53" s="3">
        <f>IFERROR(COUNTIFS('Issuance Log'!$B:$B,A53,'Issuance Log'!$G:$G,$B$4),0)</f>
        <v>0</v>
      </c>
      <c r="E53" s="3" t="str">
        <f ca="1">IFERROR(INDEX('Issuance Log'!$E:$E,MATCH(MAXIFS('Issuance Log'!$D:$D,'Issuance Log'!$B:$B,A53,'Issuance Log'!$G:$G,$B$4),IF(('Issuance Log'!$B:$B=A53)*('Issuance Log'!$G:$G=$B$4),'Issuance Log'!$D:$D),0)),"-")</f>
        <v>-</v>
      </c>
    </row>
    <row r="54" spans="1:5" x14ac:dyDescent="0.25">
      <c r="A54" s="4" t="s">
        <v>102</v>
      </c>
      <c r="B54" s="4" t="s">
        <v>103</v>
      </c>
      <c r="C54" s="5">
        <f>IFERROR(SUMIFS('Issuance Log'!$D:$D,'Issuance Log'!$B:$B,A54,'Issuance Log'!$G:$G,$B$4),0)</f>
        <v>0</v>
      </c>
      <c r="D54" s="5">
        <f>IFERROR(COUNTIFS('Issuance Log'!$B:$B,A54,'Issuance Log'!$G:$G,$B$4),0)</f>
        <v>0</v>
      </c>
      <c r="E54" s="5" t="str">
        <f ca="1">IFERROR(INDEX('Issuance Log'!$E:$E,MATCH(MAXIFS('Issuance Log'!$D:$D,'Issuance Log'!$B:$B,A54,'Issuance Log'!$G:$G,$B$4),IF(('Issuance Log'!$B:$B=A54)*('Issuance Log'!$G:$G=$B$4),'Issuance Log'!$D:$D),0)),"-")</f>
        <v>-</v>
      </c>
    </row>
    <row r="55" spans="1:5" x14ac:dyDescent="0.25">
      <c r="A55" s="2" t="s">
        <v>104</v>
      </c>
      <c r="B55" s="2" t="s">
        <v>105</v>
      </c>
      <c r="C55" s="3">
        <f>IFERROR(SUMIFS('Issuance Log'!$D:$D,'Issuance Log'!$B:$B,A55,'Issuance Log'!$G:$G,$B$4),0)</f>
        <v>0</v>
      </c>
      <c r="D55" s="3">
        <f>IFERROR(COUNTIFS('Issuance Log'!$B:$B,A55,'Issuance Log'!$G:$G,$B$4),0)</f>
        <v>0</v>
      </c>
      <c r="E55" s="3" t="str">
        <f ca="1">IFERROR(INDEX('Issuance Log'!$E:$E,MATCH(MAXIFS('Issuance Log'!$D:$D,'Issuance Log'!$B:$B,A55,'Issuance Log'!$G:$G,$B$4),IF(('Issuance Log'!$B:$B=A55)*('Issuance Log'!$G:$G=$B$4),'Issuance Log'!$D:$D),0)),"-")</f>
        <v>-</v>
      </c>
    </row>
    <row r="56" spans="1:5" x14ac:dyDescent="0.25">
      <c r="A56" s="4" t="s">
        <v>106</v>
      </c>
      <c r="B56" s="4" t="s">
        <v>107</v>
      </c>
      <c r="C56" s="5">
        <f>IFERROR(SUMIFS('Issuance Log'!$D:$D,'Issuance Log'!$B:$B,A56,'Issuance Log'!$G:$G,$B$4),0)</f>
        <v>0</v>
      </c>
      <c r="D56" s="5">
        <f>IFERROR(COUNTIFS('Issuance Log'!$B:$B,A56,'Issuance Log'!$G:$G,$B$4),0)</f>
        <v>0</v>
      </c>
      <c r="E56" s="5" t="str">
        <f ca="1">IFERROR(INDEX('Issuance Log'!$E:$E,MATCH(MAXIFS('Issuance Log'!$D:$D,'Issuance Log'!$B:$B,A56,'Issuance Log'!$G:$G,$B$4),IF(('Issuance Log'!$B:$B=A56)*('Issuance Log'!$G:$G=$B$4),'Issuance Log'!$D:$D),0)),"-")</f>
        <v>-</v>
      </c>
    </row>
    <row r="57" spans="1:5" x14ac:dyDescent="0.25">
      <c r="A57" s="2" t="s">
        <v>108</v>
      </c>
      <c r="B57" s="2" t="s">
        <v>109</v>
      </c>
      <c r="C57" s="3">
        <f>IFERROR(SUMIFS('Issuance Log'!$D:$D,'Issuance Log'!$B:$B,A57,'Issuance Log'!$G:$G,$B$4),0)</f>
        <v>0</v>
      </c>
      <c r="D57" s="3">
        <f>IFERROR(COUNTIFS('Issuance Log'!$B:$B,A57,'Issuance Log'!$G:$G,$B$4),0)</f>
        <v>0</v>
      </c>
      <c r="E57" s="3" t="str">
        <f ca="1">IFERROR(INDEX('Issuance Log'!$E:$E,MATCH(MAXIFS('Issuance Log'!$D:$D,'Issuance Log'!$B:$B,A57,'Issuance Log'!$G:$G,$B$4),IF(('Issuance Log'!$B:$B=A57)*('Issuance Log'!$G:$G=$B$4),'Issuance Log'!$D:$D),0)),"-")</f>
        <v>-</v>
      </c>
    </row>
    <row r="58" spans="1:5" x14ac:dyDescent="0.25">
      <c r="A58" s="4" t="s">
        <v>110</v>
      </c>
      <c r="B58" s="4" t="s">
        <v>111</v>
      </c>
      <c r="C58" s="5">
        <f>IFERROR(SUMIFS('Issuance Log'!$D:$D,'Issuance Log'!$B:$B,A58,'Issuance Log'!$G:$G,$B$4),0)</f>
        <v>0</v>
      </c>
      <c r="D58" s="5">
        <f>IFERROR(COUNTIFS('Issuance Log'!$B:$B,A58,'Issuance Log'!$G:$G,$B$4),0)</f>
        <v>0</v>
      </c>
      <c r="E58" s="5" t="str">
        <f ca="1">IFERROR(INDEX('Issuance Log'!$E:$E,MATCH(MAXIFS('Issuance Log'!$D:$D,'Issuance Log'!$B:$B,A58,'Issuance Log'!$G:$G,$B$4),IF(('Issuance Log'!$B:$B=A58)*('Issuance Log'!$G:$G=$B$4),'Issuance Log'!$D:$D),0)),"-")</f>
        <v>-</v>
      </c>
    </row>
    <row r="59" spans="1:5" x14ac:dyDescent="0.25">
      <c r="A59" s="2" t="s">
        <v>112</v>
      </c>
      <c r="B59" s="2" t="s">
        <v>113</v>
      </c>
      <c r="C59" s="3">
        <f>IFERROR(SUMIFS('Issuance Log'!$D:$D,'Issuance Log'!$B:$B,A59,'Issuance Log'!$G:$G,$B$4),0)</f>
        <v>0</v>
      </c>
      <c r="D59" s="3">
        <f>IFERROR(COUNTIFS('Issuance Log'!$B:$B,A59,'Issuance Log'!$G:$G,$B$4),0)</f>
        <v>0</v>
      </c>
      <c r="E59" s="3" t="str">
        <f ca="1">IFERROR(INDEX('Issuance Log'!$E:$E,MATCH(MAXIFS('Issuance Log'!$D:$D,'Issuance Log'!$B:$B,A59,'Issuance Log'!$G:$G,$B$4),IF(('Issuance Log'!$B:$B=A59)*('Issuance Log'!$G:$G=$B$4),'Issuance Log'!$D:$D),0)),"-")</f>
        <v>-</v>
      </c>
    </row>
    <row r="60" spans="1:5" x14ac:dyDescent="0.25">
      <c r="A60" s="4" t="s">
        <v>114</v>
      </c>
      <c r="B60" s="4" t="s">
        <v>115</v>
      </c>
      <c r="C60" s="5">
        <f>IFERROR(SUMIFS('Issuance Log'!$D:$D,'Issuance Log'!$B:$B,A60,'Issuance Log'!$G:$G,$B$4),0)</f>
        <v>0</v>
      </c>
      <c r="D60" s="5">
        <f>IFERROR(COUNTIFS('Issuance Log'!$B:$B,A60,'Issuance Log'!$G:$G,$B$4),0)</f>
        <v>0</v>
      </c>
      <c r="E60" s="5" t="str">
        <f ca="1">IFERROR(INDEX('Issuance Log'!$E:$E,MATCH(MAXIFS('Issuance Log'!$D:$D,'Issuance Log'!$B:$B,A60,'Issuance Log'!$G:$G,$B$4),IF(('Issuance Log'!$B:$B=A60)*('Issuance Log'!$G:$G=$B$4),'Issuance Log'!$D:$D),0)),"-")</f>
        <v>-</v>
      </c>
    </row>
    <row r="61" spans="1:5" x14ac:dyDescent="0.25">
      <c r="A61" s="2" t="s">
        <v>116</v>
      </c>
      <c r="B61" s="2" t="s">
        <v>117</v>
      </c>
      <c r="C61" s="3">
        <f>IFERROR(SUMIFS('Issuance Log'!$D:$D,'Issuance Log'!$B:$B,A61,'Issuance Log'!$G:$G,$B$4),0)</f>
        <v>0</v>
      </c>
      <c r="D61" s="3">
        <f>IFERROR(COUNTIFS('Issuance Log'!$B:$B,A61,'Issuance Log'!$G:$G,$B$4),0)</f>
        <v>0</v>
      </c>
      <c r="E61" s="3" t="str">
        <f ca="1">IFERROR(INDEX('Issuance Log'!$E:$E,MATCH(MAXIFS('Issuance Log'!$D:$D,'Issuance Log'!$B:$B,A61,'Issuance Log'!$G:$G,$B$4),IF(('Issuance Log'!$B:$B=A61)*('Issuance Log'!$G:$G=$B$4),'Issuance Log'!$D:$D),0)),"-")</f>
        <v>-</v>
      </c>
    </row>
    <row r="62" spans="1:5" x14ac:dyDescent="0.25">
      <c r="A62" s="4" t="s">
        <v>118</v>
      </c>
      <c r="B62" s="4" t="s">
        <v>119</v>
      </c>
      <c r="C62" s="5">
        <f>IFERROR(SUMIFS('Issuance Log'!$D:$D,'Issuance Log'!$B:$B,A62,'Issuance Log'!$G:$G,$B$4),0)</f>
        <v>0</v>
      </c>
      <c r="D62" s="5">
        <f>IFERROR(COUNTIFS('Issuance Log'!$B:$B,A62,'Issuance Log'!$G:$G,$B$4),0)</f>
        <v>0</v>
      </c>
      <c r="E62" s="5" t="str">
        <f ca="1">IFERROR(INDEX('Issuance Log'!$E:$E,MATCH(MAXIFS('Issuance Log'!$D:$D,'Issuance Log'!$B:$B,A62,'Issuance Log'!$G:$G,$B$4),IF(('Issuance Log'!$B:$B=A62)*('Issuance Log'!$G:$G=$B$4),'Issuance Log'!$D:$D),0)),"-")</f>
        <v>-</v>
      </c>
    </row>
    <row r="63" spans="1:5" x14ac:dyDescent="0.25">
      <c r="A63" s="2" t="s">
        <v>120</v>
      </c>
      <c r="B63" s="2" t="s">
        <v>121</v>
      </c>
      <c r="C63" s="3">
        <f>IFERROR(SUMIFS('Issuance Log'!$D:$D,'Issuance Log'!$B:$B,A63,'Issuance Log'!$G:$G,$B$4),0)</f>
        <v>0</v>
      </c>
      <c r="D63" s="3">
        <f>IFERROR(COUNTIFS('Issuance Log'!$B:$B,A63,'Issuance Log'!$G:$G,$B$4),0)</f>
        <v>0</v>
      </c>
      <c r="E63" s="3" t="str">
        <f ca="1">IFERROR(INDEX('Issuance Log'!$E:$E,MATCH(MAXIFS('Issuance Log'!$D:$D,'Issuance Log'!$B:$B,A63,'Issuance Log'!$G:$G,$B$4),IF(('Issuance Log'!$B:$B=A63)*('Issuance Log'!$G:$G=$B$4),'Issuance Log'!$D:$D),0)),"-")</f>
        <v>-</v>
      </c>
    </row>
    <row r="64" spans="1:5" x14ac:dyDescent="0.25">
      <c r="A64" s="4" t="s">
        <v>122</v>
      </c>
      <c r="B64" s="4" t="s">
        <v>123</v>
      </c>
      <c r="C64" s="5">
        <f>IFERROR(SUMIFS('Issuance Log'!$D:$D,'Issuance Log'!$B:$B,A64,'Issuance Log'!$G:$G,$B$4),0)</f>
        <v>0</v>
      </c>
      <c r="D64" s="5">
        <f>IFERROR(COUNTIFS('Issuance Log'!$B:$B,A64,'Issuance Log'!$G:$G,$B$4),0)</f>
        <v>0</v>
      </c>
      <c r="E64" s="5" t="str">
        <f ca="1">IFERROR(INDEX('Issuance Log'!$E:$E,MATCH(MAXIFS('Issuance Log'!$D:$D,'Issuance Log'!$B:$B,A64,'Issuance Log'!$G:$G,$B$4),IF(('Issuance Log'!$B:$B=A64)*('Issuance Log'!$G:$G=$B$4),'Issuance Log'!$D:$D),0)),"-")</f>
        <v>-</v>
      </c>
    </row>
    <row r="65" spans="1:5" x14ac:dyDescent="0.25">
      <c r="A65" s="2" t="s">
        <v>124</v>
      </c>
      <c r="B65" s="2" t="s">
        <v>123</v>
      </c>
      <c r="C65" s="3">
        <f>IFERROR(SUMIFS('Issuance Log'!$D:$D,'Issuance Log'!$B:$B,A65,'Issuance Log'!$G:$G,$B$4),0)</f>
        <v>0</v>
      </c>
      <c r="D65" s="3">
        <f>IFERROR(COUNTIFS('Issuance Log'!$B:$B,A65,'Issuance Log'!$G:$G,$B$4),0)</f>
        <v>0</v>
      </c>
      <c r="E65" s="3" t="str">
        <f ca="1">IFERROR(INDEX('Issuance Log'!$E:$E,MATCH(MAXIFS('Issuance Log'!$D:$D,'Issuance Log'!$B:$B,A65,'Issuance Log'!$G:$G,$B$4),IF(('Issuance Log'!$B:$B=A65)*('Issuance Log'!$G:$G=$B$4),'Issuance Log'!$D:$D),0)),"-")</f>
        <v>-</v>
      </c>
    </row>
    <row r="66" spans="1:5" x14ac:dyDescent="0.25">
      <c r="A66" s="4" t="s">
        <v>125</v>
      </c>
      <c r="B66" s="4" t="s">
        <v>126</v>
      </c>
      <c r="C66" s="5">
        <f>IFERROR(SUMIFS('Issuance Log'!$D:$D,'Issuance Log'!$B:$B,A66,'Issuance Log'!$G:$G,$B$4),0)</f>
        <v>0</v>
      </c>
      <c r="D66" s="5">
        <f>IFERROR(COUNTIFS('Issuance Log'!$B:$B,A66,'Issuance Log'!$G:$G,$B$4),0)</f>
        <v>0</v>
      </c>
      <c r="E66" s="5" t="str">
        <f ca="1">IFERROR(INDEX('Issuance Log'!$E:$E,MATCH(MAXIFS('Issuance Log'!$D:$D,'Issuance Log'!$B:$B,A66,'Issuance Log'!$G:$G,$B$4),IF(('Issuance Log'!$B:$B=A66)*('Issuance Log'!$G:$G=$B$4),'Issuance Log'!$D:$D),0)),"-")</f>
        <v>-</v>
      </c>
    </row>
    <row r="67" spans="1:5" x14ac:dyDescent="0.25">
      <c r="A67" s="2" t="s">
        <v>127</v>
      </c>
      <c r="B67" s="2" t="s">
        <v>128</v>
      </c>
      <c r="C67" s="3">
        <f>IFERROR(SUMIFS('Issuance Log'!$D:$D,'Issuance Log'!$B:$B,A67,'Issuance Log'!$G:$G,$B$4),0)</f>
        <v>0</v>
      </c>
      <c r="D67" s="3">
        <f>IFERROR(COUNTIFS('Issuance Log'!$B:$B,A67,'Issuance Log'!$G:$G,$B$4),0)</f>
        <v>0</v>
      </c>
      <c r="E67" s="3" t="str">
        <f ca="1">IFERROR(INDEX('Issuance Log'!$E:$E,MATCH(MAXIFS('Issuance Log'!$D:$D,'Issuance Log'!$B:$B,A67,'Issuance Log'!$G:$G,$B$4),IF(('Issuance Log'!$B:$B=A67)*('Issuance Log'!$G:$G=$B$4),'Issuance Log'!$D:$D),0)),"-")</f>
        <v>-</v>
      </c>
    </row>
    <row r="68" spans="1:5" x14ac:dyDescent="0.25">
      <c r="A68" s="4" t="s">
        <v>129</v>
      </c>
      <c r="B68" s="4" t="s">
        <v>130</v>
      </c>
      <c r="C68" s="5">
        <f>IFERROR(SUMIFS('Issuance Log'!$D:$D,'Issuance Log'!$B:$B,A68,'Issuance Log'!$G:$G,$B$4),0)</f>
        <v>0</v>
      </c>
      <c r="D68" s="5">
        <f>IFERROR(COUNTIFS('Issuance Log'!$B:$B,A68,'Issuance Log'!$G:$G,$B$4),0)</f>
        <v>0</v>
      </c>
      <c r="E68" s="5" t="str">
        <f ca="1">IFERROR(INDEX('Issuance Log'!$E:$E,MATCH(MAXIFS('Issuance Log'!$D:$D,'Issuance Log'!$B:$B,A68,'Issuance Log'!$G:$G,$B$4),IF(('Issuance Log'!$B:$B=A68)*('Issuance Log'!$G:$G=$B$4),'Issuance Log'!$D:$D),0)),"-")</f>
        <v>-</v>
      </c>
    </row>
    <row r="69" spans="1:5" x14ac:dyDescent="0.25">
      <c r="A69" s="2" t="s">
        <v>131</v>
      </c>
      <c r="B69" s="2" t="s">
        <v>132</v>
      </c>
      <c r="C69" s="3">
        <f>IFERROR(SUMIFS('Issuance Log'!$D:$D,'Issuance Log'!$B:$B,A69,'Issuance Log'!$G:$G,$B$4),0)</f>
        <v>0</v>
      </c>
      <c r="D69" s="3">
        <f>IFERROR(COUNTIFS('Issuance Log'!$B:$B,A69,'Issuance Log'!$G:$G,$B$4),0)</f>
        <v>0</v>
      </c>
      <c r="E69" s="3" t="str">
        <f ca="1">IFERROR(INDEX('Issuance Log'!$E:$E,MATCH(MAXIFS('Issuance Log'!$D:$D,'Issuance Log'!$B:$B,A69,'Issuance Log'!$G:$G,$B$4),IF(('Issuance Log'!$B:$B=A69)*('Issuance Log'!$G:$G=$B$4),'Issuance Log'!$D:$D),0)),"-")</f>
        <v>-</v>
      </c>
    </row>
    <row r="70" spans="1:5" x14ac:dyDescent="0.25">
      <c r="A70" s="4" t="s">
        <v>133</v>
      </c>
      <c r="B70" s="4" t="s">
        <v>134</v>
      </c>
      <c r="C70" s="5">
        <f>IFERROR(SUMIFS('Issuance Log'!$D:$D,'Issuance Log'!$B:$B,A70,'Issuance Log'!$G:$G,$B$4),0)</f>
        <v>0</v>
      </c>
      <c r="D70" s="5">
        <f>IFERROR(COUNTIFS('Issuance Log'!$B:$B,A70,'Issuance Log'!$G:$G,$B$4),0)</f>
        <v>0</v>
      </c>
      <c r="E70" s="5" t="str">
        <f ca="1">IFERROR(INDEX('Issuance Log'!$E:$E,MATCH(MAXIFS('Issuance Log'!$D:$D,'Issuance Log'!$B:$B,A70,'Issuance Log'!$G:$G,$B$4),IF(('Issuance Log'!$B:$B=A70)*('Issuance Log'!$G:$G=$B$4),'Issuance Log'!$D:$D),0)),"-")</f>
        <v>-</v>
      </c>
    </row>
    <row r="71" spans="1:5" x14ac:dyDescent="0.25">
      <c r="A71" s="2" t="s">
        <v>135</v>
      </c>
      <c r="B71" s="2" t="s">
        <v>132</v>
      </c>
      <c r="C71" s="3">
        <f>IFERROR(SUMIFS('Issuance Log'!$D:$D,'Issuance Log'!$B:$B,A71,'Issuance Log'!$G:$G,$B$4),0)</f>
        <v>0</v>
      </c>
      <c r="D71" s="3">
        <f>IFERROR(COUNTIFS('Issuance Log'!$B:$B,A71,'Issuance Log'!$G:$G,$B$4),0)</f>
        <v>0</v>
      </c>
      <c r="E71" s="3" t="str">
        <f ca="1">IFERROR(INDEX('Issuance Log'!$E:$E,MATCH(MAXIFS('Issuance Log'!$D:$D,'Issuance Log'!$B:$B,A71,'Issuance Log'!$G:$G,$B$4),IF(('Issuance Log'!$B:$B=A71)*('Issuance Log'!$G:$G=$B$4),'Issuance Log'!$D:$D),0)),"-")</f>
        <v>-</v>
      </c>
    </row>
    <row r="72" spans="1:5" x14ac:dyDescent="0.25">
      <c r="A72" s="4" t="s">
        <v>136</v>
      </c>
      <c r="B72" s="4" t="s">
        <v>123</v>
      </c>
      <c r="C72" s="5">
        <f>IFERROR(SUMIFS('Issuance Log'!$D:$D,'Issuance Log'!$B:$B,A72,'Issuance Log'!$G:$G,$B$4),0)</f>
        <v>0</v>
      </c>
      <c r="D72" s="5">
        <f>IFERROR(COUNTIFS('Issuance Log'!$B:$B,A72,'Issuance Log'!$G:$G,$B$4),0)</f>
        <v>0</v>
      </c>
      <c r="E72" s="5" t="str">
        <f ca="1">IFERROR(INDEX('Issuance Log'!$E:$E,MATCH(MAXIFS('Issuance Log'!$D:$D,'Issuance Log'!$B:$B,A72,'Issuance Log'!$G:$G,$B$4),IF(('Issuance Log'!$B:$B=A72)*('Issuance Log'!$G:$G=$B$4),'Issuance Log'!$D:$D),0)),"-")</f>
        <v>-</v>
      </c>
    </row>
    <row r="73" spans="1:5" x14ac:dyDescent="0.25">
      <c r="A73" s="2" t="s">
        <v>137</v>
      </c>
      <c r="B73" s="2" t="s">
        <v>138</v>
      </c>
      <c r="C73" s="3">
        <f>IFERROR(SUMIFS('Issuance Log'!$D:$D,'Issuance Log'!$B:$B,A73,'Issuance Log'!$G:$G,$B$4),0)</f>
        <v>0</v>
      </c>
      <c r="D73" s="3">
        <f>IFERROR(COUNTIFS('Issuance Log'!$B:$B,A73,'Issuance Log'!$G:$G,$B$4),0)</f>
        <v>0</v>
      </c>
      <c r="E73" s="3" t="str">
        <f ca="1">IFERROR(INDEX('Issuance Log'!$E:$E,MATCH(MAXIFS('Issuance Log'!$D:$D,'Issuance Log'!$B:$B,A73,'Issuance Log'!$G:$G,$B$4),IF(('Issuance Log'!$B:$B=A73)*('Issuance Log'!$G:$G=$B$4),'Issuance Log'!$D:$D),0)),"-")</f>
        <v>-</v>
      </c>
    </row>
    <row r="74" spans="1:5" x14ac:dyDescent="0.25">
      <c r="A74" s="4" t="s">
        <v>139</v>
      </c>
      <c r="B74" s="4" t="s">
        <v>140</v>
      </c>
      <c r="C74" s="5">
        <f>IFERROR(SUMIFS('Issuance Log'!$D:$D,'Issuance Log'!$B:$B,A74,'Issuance Log'!$G:$G,$B$4),0)</f>
        <v>0</v>
      </c>
      <c r="D74" s="5">
        <f>IFERROR(COUNTIFS('Issuance Log'!$B:$B,A74,'Issuance Log'!$G:$G,$B$4),0)</f>
        <v>0</v>
      </c>
      <c r="E74" s="5" t="str">
        <f ca="1">IFERROR(INDEX('Issuance Log'!$E:$E,MATCH(MAXIFS('Issuance Log'!$D:$D,'Issuance Log'!$B:$B,A74,'Issuance Log'!$G:$G,$B$4),IF(('Issuance Log'!$B:$B=A74)*('Issuance Log'!$G:$G=$B$4),'Issuance Log'!$D:$D),0)),"-")</f>
        <v>-</v>
      </c>
    </row>
    <row r="75" spans="1:5" x14ac:dyDescent="0.25">
      <c r="A75" s="2" t="s">
        <v>141</v>
      </c>
      <c r="B75" s="2" t="s">
        <v>140</v>
      </c>
      <c r="C75" s="3">
        <f>IFERROR(SUMIFS('Issuance Log'!$D:$D,'Issuance Log'!$B:$B,A75,'Issuance Log'!$G:$G,$B$4),0)</f>
        <v>0</v>
      </c>
      <c r="D75" s="3">
        <f>IFERROR(COUNTIFS('Issuance Log'!$B:$B,A75,'Issuance Log'!$G:$G,$B$4),0)</f>
        <v>0</v>
      </c>
      <c r="E75" s="3" t="str">
        <f ca="1">IFERROR(INDEX('Issuance Log'!$E:$E,MATCH(MAXIFS('Issuance Log'!$D:$D,'Issuance Log'!$B:$B,A75,'Issuance Log'!$G:$G,$B$4),IF(('Issuance Log'!$B:$B=A75)*('Issuance Log'!$G:$G=$B$4),'Issuance Log'!$D:$D),0)),"-")</f>
        <v>-</v>
      </c>
    </row>
    <row r="76" spans="1:5" x14ac:dyDescent="0.25">
      <c r="A76" s="4" t="s">
        <v>142</v>
      </c>
      <c r="B76" s="4" t="s">
        <v>107</v>
      </c>
      <c r="C76" s="5">
        <f>IFERROR(SUMIFS('Issuance Log'!$D:$D,'Issuance Log'!$B:$B,A76,'Issuance Log'!$G:$G,$B$4),0)</f>
        <v>0</v>
      </c>
      <c r="D76" s="5">
        <f>IFERROR(COUNTIFS('Issuance Log'!$B:$B,A76,'Issuance Log'!$G:$G,$B$4),0)</f>
        <v>0</v>
      </c>
      <c r="E76" s="5" t="str">
        <f ca="1">IFERROR(INDEX('Issuance Log'!$E:$E,MATCH(MAXIFS('Issuance Log'!$D:$D,'Issuance Log'!$B:$B,A76,'Issuance Log'!$G:$G,$B$4),IF(('Issuance Log'!$B:$B=A76)*('Issuance Log'!$G:$G=$B$4),'Issuance Log'!$D:$D),0)),"-")</f>
        <v>-</v>
      </c>
    </row>
    <row r="77" spans="1:5" x14ac:dyDescent="0.25">
      <c r="A77" s="2" t="s">
        <v>143</v>
      </c>
      <c r="B77" s="2" t="s">
        <v>144</v>
      </c>
      <c r="C77" s="3">
        <f>IFERROR(SUMIFS('Issuance Log'!$D:$D,'Issuance Log'!$B:$B,A77,'Issuance Log'!$G:$G,$B$4),0)</f>
        <v>0</v>
      </c>
      <c r="D77" s="3">
        <f>IFERROR(COUNTIFS('Issuance Log'!$B:$B,A77,'Issuance Log'!$G:$G,$B$4),0)</f>
        <v>0</v>
      </c>
      <c r="E77" s="3" t="str">
        <f ca="1">IFERROR(INDEX('Issuance Log'!$E:$E,MATCH(MAXIFS('Issuance Log'!$D:$D,'Issuance Log'!$B:$B,A77,'Issuance Log'!$G:$G,$B$4),IF(('Issuance Log'!$B:$B=A77)*('Issuance Log'!$G:$G=$B$4),'Issuance Log'!$D:$D),0)),"-")</f>
        <v>-</v>
      </c>
    </row>
    <row r="78" spans="1:5" x14ac:dyDescent="0.25">
      <c r="A78" s="4" t="s">
        <v>145</v>
      </c>
      <c r="B78" s="4" t="s">
        <v>146</v>
      </c>
      <c r="C78" s="5">
        <f>IFERROR(SUMIFS('Issuance Log'!$D:$D,'Issuance Log'!$B:$B,A78,'Issuance Log'!$G:$G,$B$4),0)</f>
        <v>0</v>
      </c>
      <c r="D78" s="5">
        <f>IFERROR(COUNTIFS('Issuance Log'!$B:$B,A78,'Issuance Log'!$G:$G,$B$4),0)</f>
        <v>0</v>
      </c>
      <c r="E78" s="5" t="str">
        <f ca="1">IFERROR(INDEX('Issuance Log'!$E:$E,MATCH(MAXIFS('Issuance Log'!$D:$D,'Issuance Log'!$B:$B,A78,'Issuance Log'!$G:$G,$B$4),IF(('Issuance Log'!$B:$B=A78)*('Issuance Log'!$G:$G=$B$4),'Issuance Log'!$D:$D),0)),"-")</f>
        <v>-</v>
      </c>
    </row>
    <row r="79" spans="1:5" x14ac:dyDescent="0.25">
      <c r="A79" s="2" t="s">
        <v>147</v>
      </c>
      <c r="B79" s="2" t="s">
        <v>148</v>
      </c>
      <c r="C79" s="3">
        <f>IFERROR(SUMIFS('Issuance Log'!$D:$D,'Issuance Log'!$B:$B,A79,'Issuance Log'!$G:$G,$B$4),0)</f>
        <v>0</v>
      </c>
      <c r="D79" s="3">
        <f>IFERROR(COUNTIFS('Issuance Log'!$B:$B,A79,'Issuance Log'!$G:$G,$B$4),0)</f>
        <v>0</v>
      </c>
      <c r="E79" s="3" t="str">
        <f ca="1">IFERROR(INDEX('Issuance Log'!$E:$E,MATCH(MAXIFS('Issuance Log'!$D:$D,'Issuance Log'!$B:$B,A79,'Issuance Log'!$G:$G,$B$4),IF(('Issuance Log'!$B:$B=A79)*('Issuance Log'!$G:$G=$B$4),'Issuance Log'!$D:$D),0)),"-")</f>
        <v>-</v>
      </c>
    </row>
    <row r="80" spans="1:5" x14ac:dyDescent="0.25">
      <c r="A80" s="4" t="s">
        <v>149</v>
      </c>
      <c r="B80" s="4" t="s">
        <v>150</v>
      </c>
      <c r="C80" s="5">
        <f>IFERROR(SUMIFS('Issuance Log'!$D:$D,'Issuance Log'!$B:$B,A80,'Issuance Log'!$G:$G,$B$4),0)</f>
        <v>0</v>
      </c>
      <c r="D80" s="5">
        <f>IFERROR(COUNTIFS('Issuance Log'!$B:$B,A80,'Issuance Log'!$G:$G,$B$4),0)</f>
        <v>0</v>
      </c>
      <c r="E80" s="5" t="str">
        <f ca="1">IFERROR(INDEX('Issuance Log'!$E:$E,MATCH(MAXIFS('Issuance Log'!$D:$D,'Issuance Log'!$B:$B,A80,'Issuance Log'!$G:$G,$B$4),IF(('Issuance Log'!$B:$B=A80)*('Issuance Log'!$G:$G=$B$4),'Issuance Log'!$D:$D),0)),"-")</f>
        <v>-</v>
      </c>
    </row>
    <row r="81" spans="1:5" x14ac:dyDescent="0.25">
      <c r="A81" s="2" t="s">
        <v>151</v>
      </c>
      <c r="B81" s="2" t="s">
        <v>152</v>
      </c>
      <c r="C81" s="3">
        <f>IFERROR(SUMIFS('Issuance Log'!$D:$D,'Issuance Log'!$B:$B,A81,'Issuance Log'!$G:$G,$B$4),0)</f>
        <v>0</v>
      </c>
      <c r="D81" s="3">
        <f>IFERROR(COUNTIFS('Issuance Log'!$B:$B,A81,'Issuance Log'!$G:$G,$B$4),0)</f>
        <v>0</v>
      </c>
      <c r="E81" s="3" t="str">
        <f ca="1">IFERROR(INDEX('Issuance Log'!$E:$E,MATCH(MAXIFS('Issuance Log'!$D:$D,'Issuance Log'!$B:$B,A81,'Issuance Log'!$G:$G,$B$4),IF(('Issuance Log'!$B:$B=A81)*('Issuance Log'!$G:$G=$B$4),'Issuance Log'!$D:$D),0)),"-")</f>
        <v>-</v>
      </c>
    </row>
    <row r="82" spans="1:5" x14ac:dyDescent="0.25">
      <c r="A82" s="4" t="s">
        <v>153</v>
      </c>
      <c r="B82" s="4" t="s">
        <v>154</v>
      </c>
      <c r="C82" s="5">
        <f>IFERROR(SUMIFS('Issuance Log'!$D:$D,'Issuance Log'!$B:$B,A82,'Issuance Log'!$G:$G,$B$4),0)</f>
        <v>0</v>
      </c>
      <c r="D82" s="5">
        <f>IFERROR(COUNTIFS('Issuance Log'!$B:$B,A82,'Issuance Log'!$G:$G,$B$4),0)</f>
        <v>0</v>
      </c>
      <c r="E82" s="5" t="str">
        <f ca="1">IFERROR(INDEX('Issuance Log'!$E:$E,MATCH(MAXIFS('Issuance Log'!$D:$D,'Issuance Log'!$B:$B,A82,'Issuance Log'!$G:$G,$B$4),IF(('Issuance Log'!$B:$B=A82)*('Issuance Log'!$G:$G=$B$4),'Issuance Log'!$D:$D),0)),"-")</f>
        <v>-</v>
      </c>
    </row>
    <row r="83" spans="1:5" x14ac:dyDescent="0.25">
      <c r="A83" s="2" t="s">
        <v>155</v>
      </c>
      <c r="B83" s="2" t="s">
        <v>156</v>
      </c>
      <c r="C83" s="3">
        <f>IFERROR(SUMIFS('Issuance Log'!$D:$D,'Issuance Log'!$B:$B,A83,'Issuance Log'!$G:$G,$B$4),0)</f>
        <v>0</v>
      </c>
      <c r="D83" s="3">
        <f>IFERROR(COUNTIFS('Issuance Log'!$B:$B,A83,'Issuance Log'!$G:$G,$B$4),0)</f>
        <v>0</v>
      </c>
      <c r="E83" s="3" t="str">
        <f ca="1">IFERROR(INDEX('Issuance Log'!$E:$E,MATCH(MAXIFS('Issuance Log'!$D:$D,'Issuance Log'!$B:$B,A83,'Issuance Log'!$G:$G,$B$4),IF(('Issuance Log'!$B:$B=A83)*('Issuance Log'!$G:$G=$B$4),'Issuance Log'!$D:$D),0)),"-")</f>
        <v>-</v>
      </c>
    </row>
    <row r="84" spans="1:5" x14ac:dyDescent="0.25">
      <c r="A84" s="4" t="s">
        <v>157</v>
      </c>
      <c r="B84" s="4" t="s">
        <v>158</v>
      </c>
      <c r="C84" s="5">
        <f>IFERROR(SUMIFS('Issuance Log'!$D:$D,'Issuance Log'!$B:$B,A84,'Issuance Log'!$G:$G,$B$4),0)</f>
        <v>0</v>
      </c>
      <c r="D84" s="5">
        <f>IFERROR(COUNTIFS('Issuance Log'!$B:$B,A84,'Issuance Log'!$G:$G,$B$4),0)</f>
        <v>0</v>
      </c>
      <c r="E84" s="5" t="str">
        <f ca="1">IFERROR(INDEX('Issuance Log'!$E:$E,MATCH(MAXIFS('Issuance Log'!$D:$D,'Issuance Log'!$B:$B,A84,'Issuance Log'!$G:$G,$B$4),IF(('Issuance Log'!$B:$B=A84)*('Issuance Log'!$G:$G=$B$4),'Issuance Log'!$D:$D),0)),"-")</f>
        <v>-</v>
      </c>
    </row>
    <row r="85" spans="1:5" x14ac:dyDescent="0.25">
      <c r="A85" s="2" t="s">
        <v>159</v>
      </c>
      <c r="B85" s="2" t="s">
        <v>160</v>
      </c>
      <c r="C85" s="3">
        <f>IFERROR(SUMIFS('Issuance Log'!$D:$D,'Issuance Log'!$B:$B,A85,'Issuance Log'!$G:$G,$B$4),0)</f>
        <v>0</v>
      </c>
      <c r="D85" s="3">
        <f>IFERROR(COUNTIFS('Issuance Log'!$B:$B,A85,'Issuance Log'!$G:$G,$B$4),0)</f>
        <v>0</v>
      </c>
      <c r="E85" s="3" t="str">
        <f ca="1">IFERROR(INDEX('Issuance Log'!$E:$E,MATCH(MAXIFS('Issuance Log'!$D:$D,'Issuance Log'!$B:$B,A85,'Issuance Log'!$G:$G,$B$4),IF(('Issuance Log'!$B:$B=A85)*('Issuance Log'!$G:$G=$B$4),'Issuance Log'!$D:$D),0)),"-")</f>
        <v>-</v>
      </c>
    </row>
    <row r="86" spans="1:5" x14ac:dyDescent="0.25">
      <c r="A86" s="4" t="s">
        <v>161</v>
      </c>
      <c r="B86" s="4" t="s">
        <v>162</v>
      </c>
      <c r="C86" s="5">
        <f>IFERROR(SUMIFS('Issuance Log'!$D:$D,'Issuance Log'!$B:$B,A86,'Issuance Log'!$G:$G,$B$4),0)</f>
        <v>0</v>
      </c>
      <c r="D86" s="5">
        <f>IFERROR(COUNTIFS('Issuance Log'!$B:$B,A86,'Issuance Log'!$G:$G,$B$4),0)</f>
        <v>0</v>
      </c>
      <c r="E86" s="5" t="str">
        <f ca="1">IFERROR(INDEX('Issuance Log'!$E:$E,MATCH(MAXIFS('Issuance Log'!$D:$D,'Issuance Log'!$B:$B,A86,'Issuance Log'!$G:$G,$B$4),IF(('Issuance Log'!$B:$B=A86)*('Issuance Log'!$G:$G=$B$4),'Issuance Log'!$D:$D),0)),"-")</f>
        <v>-</v>
      </c>
    </row>
    <row r="87" spans="1:5" x14ac:dyDescent="0.25">
      <c r="A87" s="2" t="s">
        <v>163</v>
      </c>
      <c r="B87" s="2" t="s">
        <v>164</v>
      </c>
      <c r="C87" s="3">
        <f>IFERROR(SUMIFS('Issuance Log'!$D:$D,'Issuance Log'!$B:$B,A87,'Issuance Log'!$G:$G,$B$4),0)</f>
        <v>0</v>
      </c>
      <c r="D87" s="3">
        <f>IFERROR(COUNTIFS('Issuance Log'!$B:$B,A87,'Issuance Log'!$G:$G,$B$4),0)</f>
        <v>0</v>
      </c>
      <c r="E87" s="3" t="str">
        <f ca="1">IFERROR(INDEX('Issuance Log'!$E:$E,MATCH(MAXIFS('Issuance Log'!$D:$D,'Issuance Log'!$B:$B,A87,'Issuance Log'!$G:$G,$B$4),IF(('Issuance Log'!$B:$B=A87)*('Issuance Log'!$G:$G=$B$4),'Issuance Log'!$D:$D),0)),"-")</f>
        <v>-</v>
      </c>
    </row>
    <row r="88" spans="1:5" x14ac:dyDescent="0.25">
      <c r="A88" s="4" t="s">
        <v>165</v>
      </c>
      <c r="B88" s="4" t="s">
        <v>166</v>
      </c>
      <c r="C88" s="5">
        <f>IFERROR(SUMIFS('Issuance Log'!$D:$D,'Issuance Log'!$B:$B,A88,'Issuance Log'!$G:$G,$B$4),0)</f>
        <v>0</v>
      </c>
      <c r="D88" s="5">
        <f>IFERROR(COUNTIFS('Issuance Log'!$B:$B,A88,'Issuance Log'!$G:$G,$B$4),0)</f>
        <v>0</v>
      </c>
      <c r="E88" s="5" t="str">
        <f ca="1">IFERROR(INDEX('Issuance Log'!$E:$E,MATCH(MAXIFS('Issuance Log'!$D:$D,'Issuance Log'!$B:$B,A88,'Issuance Log'!$G:$G,$B$4),IF(('Issuance Log'!$B:$B=A88)*('Issuance Log'!$G:$G=$B$4),'Issuance Log'!$D:$D),0)),"-")</f>
        <v>-</v>
      </c>
    </row>
    <row r="89" spans="1:5" x14ac:dyDescent="0.25">
      <c r="A89" s="2" t="s">
        <v>167</v>
      </c>
      <c r="B89" s="2" t="s">
        <v>168</v>
      </c>
      <c r="C89" s="3">
        <f>IFERROR(SUMIFS('Issuance Log'!$D:$D,'Issuance Log'!$B:$B,A89,'Issuance Log'!$G:$G,$B$4),0)</f>
        <v>0</v>
      </c>
      <c r="D89" s="3">
        <f>IFERROR(COUNTIFS('Issuance Log'!$B:$B,A89,'Issuance Log'!$G:$G,$B$4),0)</f>
        <v>0</v>
      </c>
      <c r="E89" s="3" t="str">
        <f ca="1">IFERROR(INDEX('Issuance Log'!$E:$E,MATCH(MAXIFS('Issuance Log'!$D:$D,'Issuance Log'!$B:$B,A89,'Issuance Log'!$G:$G,$B$4),IF(('Issuance Log'!$B:$B=A89)*('Issuance Log'!$G:$G=$B$4),'Issuance Log'!$D:$D),0)),"-")</f>
        <v>-</v>
      </c>
    </row>
    <row r="90" spans="1:5" x14ac:dyDescent="0.25">
      <c r="A90" s="4" t="s">
        <v>169</v>
      </c>
      <c r="B90" s="4" t="s">
        <v>170</v>
      </c>
      <c r="C90" s="5">
        <f>IFERROR(SUMIFS('Issuance Log'!$D:$D,'Issuance Log'!$B:$B,A90,'Issuance Log'!$G:$G,$B$4),0)</f>
        <v>0</v>
      </c>
      <c r="D90" s="5">
        <f>IFERROR(COUNTIFS('Issuance Log'!$B:$B,A90,'Issuance Log'!$G:$G,$B$4),0)</f>
        <v>0</v>
      </c>
      <c r="E90" s="5" t="str">
        <f ca="1">IFERROR(INDEX('Issuance Log'!$E:$E,MATCH(MAXIFS('Issuance Log'!$D:$D,'Issuance Log'!$B:$B,A90,'Issuance Log'!$G:$G,$B$4),IF(('Issuance Log'!$B:$B=A90)*('Issuance Log'!$G:$G=$B$4),'Issuance Log'!$D:$D),0)),"-")</f>
        <v>-</v>
      </c>
    </row>
    <row r="91" spans="1:5" x14ac:dyDescent="0.25">
      <c r="A91" s="2" t="s">
        <v>171</v>
      </c>
      <c r="B91" s="2" t="s">
        <v>150</v>
      </c>
      <c r="C91" s="3">
        <f>IFERROR(SUMIFS('Issuance Log'!$D:$D,'Issuance Log'!$B:$B,A91,'Issuance Log'!$G:$G,$B$4),0)</f>
        <v>0</v>
      </c>
      <c r="D91" s="3">
        <f>IFERROR(COUNTIFS('Issuance Log'!$B:$B,A91,'Issuance Log'!$G:$G,$B$4),0)</f>
        <v>0</v>
      </c>
      <c r="E91" s="3" t="str">
        <f ca="1">IFERROR(INDEX('Issuance Log'!$E:$E,MATCH(MAXIFS('Issuance Log'!$D:$D,'Issuance Log'!$B:$B,A91,'Issuance Log'!$G:$G,$B$4),IF(('Issuance Log'!$B:$B=A91)*('Issuance Log'!$G:$G=$B$4),'Issuance Log'!$D:$D),0)),"-")</f>
        <v>-</v>
      </c>
    </row>
    <row r="92" spans="1:5" x14ac:dyDescent="0.25">
      <c r="A92" s="4" t="s">
        <v>172</v>
      </c>
      <c r="B92" s="4" t="s">
        <v>173</v>
      </c>
      <c r="C92" s="5">
        <f>IFERROR(SUMIFS('Issuance Log'!$D:$D,'Issuance Log'!$B:$B,A92,'Issuance Log'!$G:$G,$B$4),0)</f>
        <v>0</v>
      </c>
      <c r="D92" s="5">
        <f>IFERROR(COUNTIFS('Issuance Log'!$B:$B,A92,'Issuance Log'!$G:$G,$B$4),0)</f>
        <v>0</v>
      </c>
      <c r="E92" s="5" t="str">
        <f ca="1">IFERROR(INDEX('Issuance Log'!$E:$E,MATCH(MAXIFS('Issuance Log'!$D:$D,'Issuance Log'!$B:$B,A92,'Issuance Log'!$G:$G,$B$4),IF(('Issuance Log'!$B:$B=A92)*('Issuance Log'!$G:$G=$B$4),'Issuance Log'!$D:$D),0)),"-")</f>
        <v>-</v>
      </c>
    </row>
    <row r="93" spans="1:5" x14ac:dyDescent="0.25">
      <c r="A93" s="2" t="s">
        <v>174</v>
      </c>
      <c r="B93" s="2" t="s">
        <v>175</v>
      </c>
      <c r="C93" s="3">
        <f>IFERROR(SUMIFS('Issuance Log'!$D:$D,'Issuance Log'!$B:$B,A93,'Issuance Log'!$G:$G,$B$4),0)</f>
        <v>0</v>
      </c>
      <c r="D93" s="3">
        <f>IFERROR(COUNTIFS('Issuance Log'!$B:$B,A93,'Issuance Log'!$G:$G,$B$4),0)</f>
        <v>0</v>
      </c>
      <c r="E93" s="3" t="str">
        <f ca="1">IFERROR(INDEX('Issuance Log'!$E:$E,MATCH(MAXIFS('Issuance Log'!$D:$D,'Issuance Log'!$B:$B,A93,'Issuance Log'!$G:$G,$B$4),IF(('Issuance Log'!$B:$B=A93)*('Issuance Log'!$G:$G=$B$4),'Issuance Log'!$D:$D),0)),"-")</f>
        <v>-</v>
      </c>
    </row>
    <row r="94" spans="1:5" x14ac:dyDescent="0.25">
      <c r="A94" s="4" t="s">
        <v>176</v>
      </c>
      <c r="B94" s="4" t="s">
        <v>177</v>
      </c>
      <c r="C94" s="5">
        <f>IFERROR(SUMIFS('Issuance Log'!$D:$D,'Issuance Log'!$B:$B,A94,'Issuance Log'!$G:$G,$B$4),0)</f>
        <v>0</v>
      </c>
      <c r="D94" s="5">
        <f>IFERROR(COUNTIFS('Issuance Log'!$B:$B,A94,'Issuance Log'!$G:$G,$B$4),0)</f>
        <v>0</v>
      </c>
      <c r="E94" s="5" t="str">
        <f ca="1">IFERROR(INDEX('Issuance Log'!$E:$E,MATCH(MAXIFS('Issuance Log'!$D:$D,'Issuance Log'!$B:$B,A94,'Issuance Log'!$G:$G,$B$4),IF(('Issuance Log'!$B:$B=A94)*('Issuance Log'!$G:$G=$B$4),'Issuance Log'!$D:$D),0)),"-")</f>
        <v>-</v>
      </c>
    </row>
    <row r="95" spans="1:5" x14ac:dyDescent="0.25">
      <c r="A95" s="2" t="s">
        <v>178</v>
      </c>
      <c r="B95" s="2" t="s">
        <v>179</v>
      </c>
      <c r="C95" s="3">
        <f>IFERROR(SUMIFS('Issuance Log'!$D:$D,'Issuance Log'!$B:$B,A95,'Issuance Log'!$G:$G,$B$4),0)</f>
        <v>0</v>
      </c>
      <c r="D95" s="3">
        <f>IFERROR(COUNTIFS('Issuance Log'!$B:$B,A95,'Issuance Log'!$G:$G,$B$4),0)</f>
        <v>0</v>
      </c>
      <c r="E95" s="3" t="str">
        <f ca="1">IFERROR(INDEX('Issuance Log'!$E:$E,MATCH(MAXIFS('Issuance Log'!$D:$D,'Issuance Log'!$B:$B,A95,'Issuance Log'!$G:$G,$B$4),IF(('Issuance Log'!$B:$B=A95)*('Issuance Log'!$G:$G=$B$4),'Issuance Log'!$D:$D),0)),"-")</f>
        <v>-</v>
      </c>
    </row>
    <row r="96" spans="1:5" x14ac:dyDescent="0.25">
      <c r="A96" s="4" t="s">
        <v>180</v>
      </c>
      <c r="B96" s="4" t="s">
        <v>181</v>
      </c>
      <c r="C96" s="5">
        <f>IFERROR(SUMIFS('Issuance Log'!$D:$D,'Issuance Log'!$B:$B,A96,'Issuance Log'!$G:$G,$B$4),0)</f>
        <v>0</v>
      </c>
      <c r="D96" s="5">
        <f>IFERROR(COUNTIFS('Issuance Log'!$B:$B,A96,'Issuance Log'!$G:$G,$B$4),0)</f>
        <v>0</v>
      </c>
      <c r="E96" s="5" t="str">
        <f ca="1">IFERROR(INDEX('Issuance Log'!$E:$E,MATCH(MAXIFS('Issuance Log'!$D:$D,'Issuance Log'!$B:$B,A96,'Issuance Log'!$G:$G,$B$4),IF(('Issuance Log'!$B:$B=A96)*('Issuance Log'!$G:$G=$B$4),'Issuance Log'!$D:$D),0)),"-")</f>
        <v>-</v>
      </c>
    </row>
    <row r="97" spans="1:5" x14ac:dyDescent="0.25">
      <c r="A97" s="2" t="s">
        <v>182</v>
      </c>
      <c r="B97" s="2" t="s">
        <v>183</v>
      </c>
      <c r="C97" s="3">
        <f>IFERROR(SUMIFS('Issuance Log'!$D:$D,'Issuance Log'!$B:$B,A97,'Issuance Log'!$G:$G,$B$4),0)</f>
        <v>0</v>
      </c>
      <c r="D97" s="3">
        <f>IFERROR(COUNTIFS('Issuance Log'!$B:$B,A97,'Issuance Log'!$G:$G,$B$4),0)</f>
        <v>0</v>
      </c>
      <c r="E97" s="3" t="str">
        <f ca="1">IFERROR(INDEX('Issuance Log'!$E:$E,MATCH(MAXIFS('Issuance Log'!$D:$D,'Issuance Log'!$B:$B,A97,'Issuance Log'!$G:$G,$B$4),IF(('Issuance Log'!$B:$B=A97)*('Issuance Log'!$G:$G=$B$4),'Issuance Log'!$D:$D),0)),"-")</f>
        <v>-</v>
      </c>
    </row>
    <row r="98" spans="1:5" x14ac:dyDescent="0.25">
      <c r="A98" s="4" t="s">
        <v>184</v>
      </c>
      <c r="B98" s="4" t="s">
        <v>185</v>
      </c>
      <c r="C98" s="5">
        <f>IFERROR(SUMIFS('Issuance Log'!$D:$D,'Issuance Log'!$B:$B,A98,'Issuance Log'!$G:$G,$B$4),0)</f>
        <v>0</v>
      </c>
      <c r="D98" s="5">
        <f>IFERROR(COUNTIFS('Issuance Log'!$B:$B,A98,'Issuance Log'!$G:$G,$B$4),0)</f>
        <v>0</v>
      </c>
      <c r="E98" s="5" t="str">
        <f ca="1">IFERROR(INDEX('Issuance Log'!$E:$E,MATCH(MAXIFS('Issuance Log'!$D:$D,'Issuance Log'!$B:$B,A98,'Issuance Log'!$G:$G,$B$4),IF(('Issuance Log'!$B:$B=A98)*('Issuance Log'!$G:$G=$B$4),'Issuance Log'!$D:$D),0)),"-")</f>
        <v>-</v>
      </c>
    </row>
    <row r="99" spans="1:5" x14ac:dyDescent="0.25">
      <c r="A99" s="2" t="s">
        <v>186</v>
      </c>
      <c r="B99" s="2" t="s">
        <v>187</v>
      </c>
      <c r="C99" s="3">
        <f>IFERROR(SUMIFS('Issuance Log'!$D:$D,'Issuance Log'!$B:$B,A99,'Issuance Log'!$G:$G,$B$4),0)</f>
        <v>0</v>
      </c>
      <c r="D99" s="3">
        <f>IFERROR(COUNTIFS('Issuance Log'!$B:$B,A99,'Issuance Log'!$G:$G,$B$4),0)</f>
        <v>0</v>
      </c>
      <c r="E99" s="3" t="str">
        <f ca="1">IFERROR(INDEX('Issuance Log'!$E:$E,MATCH(MAXIFS('Issuance Log'!$D:$D,'Issuance Log'!$B:$B,A99,'Issuance Log'!$G:$G,$B$4),IF(('Issuance Log'!$B:$B=A99)*('Issuance Log'!$G:$G=$B$4),'Issuance Log'!$D:$D),0)),"-")</f>
        <v>-</v>
      </c>
    </row>
    <row r="100" spans="1:5" x14ac:dyDescent="0.25">
      <c r="A100" s="4" t="s">
        <v>188</v>
      </c>
      <c r="B100" s="4" t="s">
        <v>189</v>
      </c>
      <c r="C100" s="5">
        <f>IFERROR(SUMIFS('Issuance Log'!$D:$D,'Issuance Log'!$B:$B,A100,'Issuance Log'!$G:$G,$B$4),0)</f>
        <v>0</v>
      </c>
      <c r="D100" s="5">
        <f>IFERROR(COUNTIFS('Issuance Log'!$B:$B,A100,'Issuance Log'!$G:$G,$B$4),0)</f>
        <v>0</v>
      </c>
      <c r="E100" s="5" t="str">
        <f ca="1">IFERROR(INDEX('Issuance Log'!$E:$E,MATCH(MAXIFS('Issuance Log'!$D:$D,'Issuance Log'!$B:$B,A100,'Issuance Log'!$G:$G,$B$4),IF(('Issuance Log'!$B:$B=A100)*('Issuance Log'!$G:$G=$B$4),'Issuance Log'!$D:$D),0)),"-")</f>
        <v>-</v>
      </c>
    </row>
    <row r="101" spans="1:5" x14ac:dyDescent="0.25">
      <c r="A101" s="2" t="s">
        <v>190</v>
      </c>
      <c r="B101" s="2" t="s">
        <v>191</v>
      </c>
      <c r="C101" s="3">
        <f>IFERROR(SUMIFS('Issuance Log'!$D:$D,'Issuance Log'!$B:$B,A101,'Issuance Log'!$G:$G,$B$4),0)</f>
        <v>0</v>
      </c>
      <c r="D101" s="3">
        <f>IFERROR(COUNTIFS('Issuance Log'!$B:$B,A101,'Issuance Log'!$G:$G,$B$4),0)</f>
        <v>0</v>
      </c>
      <c r="E101" s="3" t="str">
        <f ca="1">IFERROR(INDEX('Issuance Log'!$E:$E,MATCH(MAXIFS('Issuance Log'!$D:$D,'Issuance Log'!$B:$B,A101,'Issuance Log'!$G:$G,$B$4),IF(('Issuance Log'!$B:$B=A101)*('Issuance Log'!$G:$G=$B$4),'Issuance Log'!$D:$D),0)),"-")</f>
        <v>-</v>
      </c>
    </row>
    <row r="102" spans="1:5" x14ac:dyDescent="0.25">
      <c r="A102" s="4" t="s">
        <v>192</v>
      </c>
      <c r="B102" s="4" t="s">
        <v>193</v>
      </c>
      <c r="C102" s="5">
        <f>IFERROR(SUMIFS('Issuance Log'!$D:$D,'Issuance Log'!$B:$B,A102,'Issuance Log'!$G:$G,$B$4),0)</f>
        <v>0</v>
      </c>
      <c r="D102" s="5">
        <f>IFERROR(COUNTIFS('Issuance Log'!$B:$B,A102,'Issuance Log'!$G:$G,$B$4),0)</f>
        <v>0</v>
      </c>
      <c r="E102" s="5" t="str">
        <f ca="1">IFERROR(INDEX('Issuance Log'!$E:$E,MATCH(MAXIFS('Issuance Log'!$D:$D,'Issuance Log'!$B:$B,A102,'Issuance Log'!$G:$G,$B$4),IF(('Issuance Log'!$B:$B=A102)*('Issuance Log'!$G:$G=$B$4),'Issuance Log'!$D:$D),0)),"-")</f>
        <v>-</v>
      </c>
    </row>
    <row r="103" spans="1:5" x14ac:dyDescent="0.25">
      <c r="A103" s="2" t="s">
        <v>194</v>
      </c>
      <c r="B103" s="2" t="s">
        <v>195</v>
      </c>
      <c r="C103" s="3">
        <f>IFERROR(SUMIFS('Issuance Log'!$D:$D,'Issuance Log'!$B:$B,A103,'Issuance Log'!$G:$G,$B$4),0)</f>
        <v>0</v>
      </c>
      <c r="D103" s="3">
        <f>IFERROR(COUNTIFS('Issuance Log'!$B:$B,A103,'Issuance Log'!$G:$G,$B$4),0)</f>
        <v>0</v>
      </c>
      <c r="E103" s="3" t="str">
        <f ca="1">IFERROR(INDEX('Issuance Log'!$E:$E,MATCH(MAXIFS('Issuance Log'!$D:$D,'Issuance Log'!$B:$B,A103,'Issuance Log'!$G:$G,$B$4),IF(('Issuance Log'!$B:$B=A103)*('Issuance Log'!$G:$G=$B$4),'Issuance Log'!$D:$D),0)),"-")</f>
        <v>-</v>
      </c>
    </row>
    <row r="104" spans="1:5" x14ac:dyDescent="0.25">
      <c r="A104" s="4" t="s">
        <v>196</v>
      </c>
      <c r="B104" s="4" t="s">
        <v>197</v>
      </c>
      <c r="C104" s="5">
        <f>IFERROR(SUMIFS('Issuance Log'!$D:$D,'Issuance Log'!$B:$B,A104,'Issuance Log'!$G:$G,$B$4),0)</f>
        <v>0</v>
      </c>
      <c r="D104" s="5">
        <f>IFERROR(COUNTIFS('Issuance Log'!$B:$B,A104,'Issuance Log'!$G:$G,$B$4),0)</f>
        <v>0</v>
      </c>
      <c r="E104" s="5" t="str">
        <f ca="1">IFERROR(INDEX('Issuance Log'!$E:$E,MATCH(MAXIFS('Issuance Log'!$D:$D,'Issuance Log'!$B:$B,A104,'Issuance Log'!$G:$G,$B$4),IF(('Issuance Log'!$B:$B=A104)*('Issuance Log'!$G:$G=$B$4),'Issuance Log'!$D:$D),0)),"-")</f>
        <v>-</v>
      </c>
    </row>
    <row r="105" spans="1:5" x14ac:dyDescent="0.25">
      <c r="A105" s="2" t="s">
        <v>198</v>
      </c>
      <c r="B105" s="2" t="s">
        <v>199</v>
      </c>
      <c r="C105" s="3">
        <f>IFERROR(SUMIFS('Issuance Log'!$D:$D,'Issuance Log'!$B:$B,A105,'Issuance Log'!$G:$G,$B$4),0)</f>
        <v>0</v>
      </c>
      <c r="D105" s="3">
        <f>IFERROR(COUNTIFS('Issuance Log'!$B:$B,A105,'Issuance Log'!$G:$G,$B$4),0)</f>
        <v>0</v>
      </c>
      <c r="E105" s="3" t="str">
        <f ca="1">IFERROR(INDEX('Issuance Log'!$E:$E,MATCH(MAXIFS('Issuance Log'!$D:$D,'Issuance Log'!$B:$B,A105,'Issuance Log'!$G:$G,$B$4),IF(('Issuance Log'!$B:$B=A105)*('Issuance Log'!$G:$G=$B$4),'Issuance Log'!$D:$D),0)),"-")</f>
        <v>-</v>
      </c>
    </row>
    <row r="106" spans="1:5" x14ac:dyDescent="0.25">
      <c r="A106" s="4" t="s">
        <v>200</v>
      </c>
      <c r="B106" s="4" t="s">
        <v>201</v>
      </c>
      <c r="C106" s="5">
        <f>IFERROR(SUMIFS('Issuance Log'!$D:$D,'Issuance Log'!$B:$B,A106,'Issuance Log'!$G:$G,$B$4),0)</f>
        <v>0</v>
      </c>
      <c r="D106" s="5">
        <f>IFERROR(COUNTIFS('Issuance Log'!$B:$B,A106,'Issuance Log'!$G:$G,$B$4),0)</f>
        <v>0</v>
      </c>
      <c r="E106" s="5" t="str">
        <f ca="1">IFERROR(INDEX('Issuance Log'!$E:$E,MATCH(MAXIFS('Issuance Log'!$D:$D,'Issuance Log'!$B:$B,A106,'Issuance Log'!$G:$G,$B$4),IF(('Issuance Log'!$B:$B=A106)*('Issuance Log'!$G:$G=$B$4),'Issuance Log'!$D:$D),0)),"-")</f>
        <v>-</v>
      </c>
    </row>
    <row r="107" spans="1:5" x14ac:dyDescent="0.25">
      <c r="A107" s="2" t="s">
        <v>202</v>
      </c>
      <c r="B107" s="2" t="s">
        <v>203</v>
      </c>
      <c r="C107" s="3">
        <f>IFERROR(SUMIFS('Issuance Log'!$D:$D,'Issuance Log'!$B:$B,A107,'Issuance Log'!$G:$G,$B$4),0)</f>
        <v>0</v>
      </c>
      <c r="D107" s="3">
        <f>IFERROR(COUNTIFS('Issuance Log'!$B:$B,A107,'Issuance Log'!$G:$G,$B$4),0)</f>
        <v>0</v>
      </c>
      <c r="E107" s="3" t="str">
        <f ca="1">IFERROR(INDEX('Issuance Log'!$E:$E,MATCH(MAXIFS('Issuance Log'!$D:$D,'Issuance Log'!$B:$B,A107,'Issuance Log'!$G:$G,$B$4),IF(('Issuance Log'!$B:$B=A107)*('Issuance Log'!$G:$G=$B$4),'Issuance Log'!$D:$D),0)),"-")</f>
        <v>-</v>
      </c>
    </row>
    <row r="108" spans="1:5" x14ac:dyDescent="0.25">
      <c r="A108" s="4" t="s">
        <v>204</v>
      </c>
      <c r="B108" s="4" t="s">
        <v>205</v>
      </c>
      <c r="C108" s="5">
        <f>IFERROR(SUMIFS('Issuance Log'!$D:$D,'Issuance Log'!$B:$B,A108,'Issuance Log'!$G:$G,$B$4),0)</f>
        <v>0</v>
      </c>
      <c r="D108" s="5">
        <f>IFERROR(COUNTIFS('Issuance Log'!$B:$B,A108,'Issuance Log'!$G:$G,$B$4),0)</f>
        <v>0</v>
      </c>
      <c r="E108" s="5" t="str">
        <f ca="1">IFERROR(INDEX('Issuance Log'!$E:$E,MATCH(MAXIFS('Issuance Log'!$D:$D,'Issuance Log'!$B:$B,A108,'Issuance Log'!$G:$G,$B$4),IF(('Issuance Log'!$B:$B=A108)*('Issuance Log'!$G:$G=$B$4),'Issuance Log'!$D:$D),0)),"-")</f>
        <v>-</v>
      </c>
    </row>
    <row r="109" spans="1:5" x14ac:dyDescent="0.25">
      <c r="A109" s="2" t="s">
        <v>206</v>
      </c>
      <c r="B109" s="2" t="s">
        <v>207</v>
      </c>
      <c r="C109" s="3">
        <f>IFERROR(SUMIFS('Issuance Log'!$D:$D,'Issuance Log'!$B:$B,A109,'Issuance Log'!$G:$G,$B$4),0)</f>
        <v>0</v>
      </c>
      <c r="D109" s="3">
        <f>IFERROR(COUNTIFS('Issuance Log'!$B:$B,A109,'Issuance Log'!$G:$G,$B$4),0)</f>
        <v>0</v>
      </c>
      <c r="E109" s="3" t="str">
        <f ca="1">IFERROR(INDEX('Issuance Log'!$E:$E,MATCH(MAXIFS('Issuance Log'!$D:$D,'Issuance Log'!$B:$B,A109,'Issuance Log'!$G:$G,$B$4),IF(('Issuance Log'!$B:$B=A109)*('Issuance Log'!$G:$G=$B$4),'Issuance Log'!$D:$D),0)),"-")</f>
        <v>-</v>
      </c>
    </row>
    <row r="110" spans="1:5" x14ac:dyDescent="0.25">
      <c r="A110" s="4" t="s">
        <v>208</v>
      </c>
      <c r="B110" s="4" t="s">
        <v>209</v>
      </c>
      <c r="C110" s="5">
        <f>IFERROR(SUMIFS('Issuance Log'!$D:$D,'Issuance Log'!$B:$B,A110,'Issuance Log'!$G:$G,$B$4),0)</f>
        <v>0</v>
      </c>
      <c r="D110" s="5">
        <f>IFERROR(COUNTIFS('Issuance Log'!$B:$B,A110,'Issuance Log'!$G:$G,$B$4),0)</f>
        <v>0</v>
      </c>
      <c r="E110" s="5" t="str">
        <f ca="1">IFERROR(INDEX('Issuance Log'!$E:$E,MATCH(MAXIFS('Issuance Log'!$D:$D,'Issuance Log'!$B:$B,A110,'Issuance Log'!$G:$G,$B$4),IF(('Issuance Log'!$B:$B=A110)*('Issuance Log'!$G:$G=$B$4),'Issuance Log'!$D:$D),0)),"-")</f>
        <v>-</v>
      </c>
    </row>
    <row r="111" spans="1:5" x14ac:dyDescent="0.25">
      <c r="A111" s="2" t="s">
        <v>210</v>
      </c>
      <c r="B111" s="2" t="s">
        <v>211</v>
      </c>
      <c r="C111" s="3">
        <f>IFERROR(SUMIFS('Issuance Log'!$D:$D,'Issuance Log'!$B:$B,A111,'Issuance Log'!$G:$G,$B$4),0)</f>
        <v>0</v>
      </c>
      <c r="D111" s="3">
        <f>IFERROR(COUNTIFS('Issuance Log'!$B:$B,A111,'Issuance Log'!$G:$G,$B$4),0)</f>
        <v>0</v>
      </c>
      <c r="E111" s="3" t="str">
        <f ca="1">IFERROR(INDEX('Issuance Log'!$E:$E,MATCH(MAXIFS('Issuance Log'!$D:$D,'Issuance Log'!$B:$B,A111,'Issuance Log'!$G:$G,$B$4),IF(('Issuance Log'!$B:$B=A111)*('Issuance Log'!$G:$G=$B$4),'Issuance Log'!$D:$D),0)),"-")</f>
        <v>-</v>
      </c>
    </row>
    <row r="112" spans="1:5" x14ac:dyDescent="0.25">
      <c r="A112" s="4" t="s">
        <v>212</v>
      </c>
      <c r="B112" s="4" t="s">
        <v>213</v>
      </c>
      <c r="C112" s="5">
        <f>IFERROR(SUMIFS('Issuance Log'!$D:$D,'Issuance Log'!$B:$B,A112,'Issuance Log'!$G:$G,$B$4),0)</f>
        <v>0</v>
      </c>
      <c r="D112" s="5">
        <f>IFERROR(COUNTIFS('Issuance Log'!$B:$B,A112,'Issuance Log'!$G:$G,$B$4),0)</f>
        <v>0</v>
      </c>
      <c r="E112" s="5" t="str">
        <f ca="1">IFERROR(INDEX('Issuance Log'!$E:$E,MATCH(MAXIFS('Issuance Log'!$D:$D,'Issuance Log'!$B:$B,A112,'Issuance Log'!$G:$G,$B$4),IF(('Issuance Log'!$B:$B=A112)*('Issuance Log'!$G:$G=$B$4),'Issuance Log'!$D:$D),0)),"-")</f>
        <v>-</v>
      </c>
    </row>
    <row r="113" spans="1:5" x14ac:dyDescent="0.25">
      <c r="A113" s="2" t="s">
        <v>214</v>
      </c>
      <c r="B113" s="2" t="s">
        <v>215</v>
      </c>
      <c r="C113" s="3">
        <f>IFERROR(SUMIFS('Issuance Log'!$D:$D,'Issuance Log'!$B:$B,A113,'Issuance Log'!$G:$G,$B$4),0)</f>
        <v>0</v>
      </c>
      <c r="D113" s="3">
        <f>IFERROR(COUNTIFS('Issuance Log'!$B:$B,A113,'Issuance Log'!$G:$G,$B$4),0)</f>
        <v>0</v>
      </c>
      <c r="E113" s="3" t="str">
        <f ca="1">IFERROR(INDEX('Issuance Log'!$E:$E,MATCH(MAXIFS('Issuance Log'!$D:$D,'Issuance Log'!$B:$B,A113,'Issuance Log'!$G:$G,$B$4),IF(('Issuance Log'!$B:$B=A113)*('Issuance Log'!$G:$G=$B$4),'Issuance Log'!$D:$D),0)),"-")</f>
        <v>-</v>
      </c>
    </row>
    <row r="114" spans="1:5" x14ac:dyDescent="0.25">
      <c r="A114" s="4" t="s">
        <v>216</v>
      </c>
      <c r="B114" s="4" t="s">
        <v>217</v>
      </c>
      <c r="C114" s="5">
        <f>IFERROR(SUMIFS('Issuance Log'!$D:$D,'Issuance Log'!$B:$B,A114,'Issuance Log'!$G:$G,$B$4),0)</f>
        <v>0</v>
      </c>
      <c r="D114" s="5">
        <f>IFERROR(COUNTIFS('Issuance Log'!$B:$B,A114,'Issuance Log'!$G:$G,$B$4),0)</f>
        <v>0</v>
      </c>
      <c r="E114" s="5" t="str">
        <f ca="1">IFERROR(INDEX('Issuance Log'!$E:$E,MATCH(MAXIFS('Issuance Log'!$D:$D,'Issuance Log'!$B:$B,A114,'Issuance Log'!$G:$G,$B$4),IF(('Issuance Log'!$B:$B=A114)*('Issuance Log'!$G:$G=$B$4),'Issuance Log'!$D:$D),0)),"-")</f>
        <v>-</v>
      </c>
    </row>
    <row r="115" spans="1:5" x14ac:dyDescent="0.25">
      <c r="A115" s="2" t="s">
        <v>218</v>
      </c>
      <c r="B115" s="2" t="s">
        <v>219</v>
      </c>
      <c r="C115" s="3">
        <f>IFERROR(SUMIFS('Issuance Log'!$D:$D,'Issuance Log'!$B:$B,A115,'Issuance Log'!$G:$G,$B$4),0)</f>
        <v>0</v>
      </c>
      <c r="D115" s="3">
        <f>IFERROR(COUNTIFS('Issuance Log'!$B:$B,A115,'Issuance Log'!$G:$G,$B$4),0)</f>
        <v>0</v>
      </c>
      <c r="E115" s="3" t="str">
        <f ca="1">IFERROR(INDEX('Issuance Log'!$E:$E,MATCH(MAXIFS('Issuance Log'!$D:$D,'Issuance Log'!$B:$B,A115,'Issuance Log'!$G:$G,$B$4),IF(('Issuance Log'!$B:$B=A115)*('Issuance Log'!$G:$G=$B$4),'Issuance Log'!$D:$D),0)),"-")</f>
        <v>-</v>
      </c>
    </row>
    <row r="116" spans="1:5" x14ac:dyDescent="0.25">
      <c r="A116" s="4" t="s">
        <v>220</v>
      </c>
      <c r="B116" s="4" t="s">
        <v>221</v>
      </c>
      <c r="C116" s="5">
        <f>IFERROR(SUMIFS('Issuance Log'!$D:$D,'Issuance Log'!$B:$B,A116,'Issuance Log'!$G:$G,$B$4),0)</f>
        <v>0</v>
      </c>
      <c r="D116" s="5">
        <f>IFERROR(COUNTIFS('Issuance Log'!$B:$B,A116,'Issuance Log'!$G:$G,$B$4),0)</f>
        <v>0</v>
      </c>
      <c r="E116" s="5" t="str">
        <f ca="1">IFERROR(INDEX('Issuance Log'!$E:$E,MATCH(MAXIFS('Issuance Log'!$D:$D,'Issuance Log'!$B:$B,A116,'Issuance Log'!$G:$G,$B$4),IF(('Issuance Log'!$B:$B=A116)*('Issuance Log'!$G:$G=$B$4),'Issuance Log'!$D:$D),0)),"-")</f>
        <v>-</v>
      </c>
    </row>
    <row r="117" spans="1:5" x14ac:dyDescent="0.25">
      <c r="A117" s="2" t="s">
        <v>222</v>
      </c>
      <c r="B117" s="2" t="s">
        <v>223</v>
      </c>
      <c r="C117" s="3">
        <f>IFERROR(SUMIFS('Issuance Log'!$D:$D,'Issuance Log'!$B:$B,A117,'Issuance Log'!$G:$G,$B$4),0)</f>
        <v>0</v>
      </c>
      <c r="D117" s="3">
        <f>IFERROR(COUNTIFS('Issuance Log'!$B:$B,A117,'Issuance Log'!$G:$G,$B$4),0)</f>
        <v>0</v>
      </c>
      <c r="E117" s="3" t="str">
        <f ca="1">IFERROR(INDEX('Issuance Log'!$E:$E,MATCH(MAXIFS('Issuance Log'!$D:$D,'Issuance Log'!$B:$B,A117,'Issuance Log'!$G:$G,$B$4),IF(('Issuance Log'!$B:$B=A117)*('Issuance Log'!$G:$G=$B$4),'Issuance Log'!$D:$D),0)),"-")</f>
        <v>-</v>
      </c>
    </row>
    <row r="118" spans="1:5" x14ac:dyDescent="0.25">
      <c r="A118" s="4" t="s">
        <v>224</v>
      </c>
      <c r="B118" s="4" t="s">
        <v>225</v>
      </c>
      <c r="C118" s="5">
        <f>IFERROR(SUMIFS('Issuance Log'!$D:$D,'Issuance Log'!$B:$B,A118,'Issuance Log'!$G:$G,$B$4),0)</f>
        <v>0</v>
      </c>
      <c r="D118" s="5">
        <f>IFERROR(COUNTIFS('Issuance Log'!$B:$B,A118,'Issuance Log'!$G:$G,$B$4),0)</f>
        <v>0</v>
      </c>
      <c r="E118" s="5" t="str">
        <f ca="1">IFERROR(INDEX('Issuance Log'!$E:$E,MATCH(MAXIFS('Issuance Log'!$D:$D,'Issuance Log'!$B:$B,A118,'Issuance Log'!$G:$G,$B$4),IF(('Issuance Log'!$B:$B=A118)*('Issuance Log'!$G:$G=$B$4),'Issuance Log'!$D:$D),0)),"-")</f>
        <v>-</v>
      </c>
    </row>
    <row r="119" spans="1:5" x14ac:dyDescent="0.25">
      <c r="A119" s="2" t="s">
        <v>226</v>
      </c>
      <c r="B119" s="2" t="s">
        <v>227</v>
      </c>
      <c r="C119" s="3">
        <f>IFERROR(SUMIFS('Issuance Log'!$D:$D,'Issuance Log'!$B:$B,A119,'Issuance Log'!$G:$G,$B$4),0)</f>
        <v>0</v>
      </c>
      <c r="D119" s="3">
        <f>IFERROR(COUNTIFS('Issuance Log'!$B:$B,A119,'Issuance Log'!$G:$G,$B$4),0)</f>
        <v>0</v>
      </c>
      <c r="E119" s="3" t="str">
        <f ca="1">IFERROR(INDEX('Issuance Log'!$E:$E,MATCH(MAXIFS('Issuance Log'!$D:$D,'Issuance Log'!$B:$B,A119,'Issuance Log'!$G:$G,$B$4),IF(('Issuance Log'!$B:$B=A119)*('Issuance Log'!$G:$G=$B$4),'Issuance Log'!$D:$D),0)),"-")</f>
        <v>-</v>
      </c>
    </row>
    <row r="120" spans="1:5" x14ac:dyDescent="0.25">
      <c r="A120" s="4" t="s">
        <v>228</v>
      </c>
      <c r="B120" s="4" t="s">
        <v>229</v>
      </c>
      <c r="C120" s="5">
        <f>IFERROR(SUMIFS('Issuance Log'!$D:$D,'Issuance Log'!$B:$B,A120,'Issuance Log'!$G:$G,$B$4),0)</f>
        <v>0</v>
      </c>
      <c r="D120" s="5">
        <f>IFERROR(COUNTIFS('Issuance Log'!$B:$B,A120,'Issuance Log'!$G:$G,$B$4),0)</f>
        <v>0</v>
      </c>
      <c r="E120" s="5" t="str">
        <f ca="1">IFERROR(INDEX('Issuance Log'!$E:$E,MATCH(MAXIFS('Issuance Log'!$D:$D,'Issuance Log'!$B:$B,A120,'Issuance Log'!$G:$G,$B$4),IF(('Issuance Log'!$B:$B=A120)*('Issuance Log'!$G:$G=$B$4),'Issuance Log'!$D:$D),0)),"-")</f>
        <v>-</v>
      </c>
    </row>
    <row r="121" spans="1:5" x14ac:dyDescent="0.25">
      <c r="A121" s="2" t="s">
        <v>230</v>
      </c>
      <c r="B121" s="2" t="s">
        <v>231</v>
      </c>
      <c r="C121" s="3">
        <f>IFERROR(SUMIFS('Issuance Log'!$D:$D,'Issuance Log'!$B:$B,A121,'Issuance Log'!$G:$G,$B$4),0)</f>
        <v>0</v>
      </c>
      <c r="D121" s="3">
        <f>IFERROR(COUNTIFS('Issuance Log'!$B:$B,A121,'Issuance Log'!$G:$G,$B$4),0)</f>
        <v>0</v>
      </c>
      <c r="E121" s="3" t="str">
        <f ca="1">IFERROR(INDEX('Issuance Log'!$E:$E,MATCH(MAXIFS('Issuance Log'!$D:$D,'Issuance Log'!$B:$B,A121,'Issuance Log'!$G:$G,$B$4),IF(('Issuance Log'!$B:$B=A121)*('Issuance Log'!$G:$G=$B$4),'Issuance Log'!$D:$D),0)),"-")</f>
        <v>-</v>
      </c>
    </row>
    <row r="122" spans="1:5" x14ac:dyDescent="0.25">
      <c r="A122" s="4" t="s">
        <v>232</v>
      </c>
      <c r="B122" s="4" t="s">
        <v>233</v>
      </c>
      <c r="C122" s="5">
        <f>IFERROR(SUMIFS('Issuance Log'!$D:$D,'Issuance Log'!$B:$B,A122,'Issuance Log'!$G:$G,$B$4),0)</f>
        <v>0</v>
      </c>
      <c r="D122" s="5">
        <f>IFERROR(COUNTIFS('Issuance Log'!$B:$B,A122,'Issuance Log'!$G:$G,$B$4),0)</f>
        <v>0</v>
      </c>
      <c r="E122" s="5" t="str">
        <f ca="1">IFERROR(INDEX('Issuance Log'!$E:$E,MATCH(MAXIFS('Issuance Log'!$D:$D,'Issuance Log'!$B:$B,A122,'Issuance Log'!$G:$G,$B$4),IF(('Issuance Log'!$B:$B=A122)*('Issuance Log'!$G:$G=$B$4),'Issuance Log'!$D:$D),0)),"-")</f>
        <v>-</v>
      </c>
    </row>
    <row r="123" spans="1:5" x14ac:dyDescent="0.25">
      <c r="A123" s="2" t="s">
        <v>234</v>
      </c>
      <c r="B123" s="2" t="s">
        <v>235</v>
      </c>
      <c r="C123" s="3">
        <f>IFERROR(SUMIFS('Issuance Log'!$D:$D,'Issuance Log'!$B:$B,A123,'Issuance Log'!$G:$G,$B$4),0)</f>
        <v>0</v>
      </c>
      <c r="D123" s="3">
        <f>IFERROR(COUNTIFS('Issuance Log'!$B:$B,A123,'Issuance Log'!$G:$G,$B$4),0)</f>
        <v>0</v>
      </c>
      <c r="E123" s="3" t="str">
        <f ca="1">IFERROR(INDEX('Issuance Log'!$E:$E,MATCH(MAXIFS('Issuance Log'!$D:$D,'Issuance Log'!$B:$B,A123,'Issuance Log'!$G:$G,$B$4),IF(('Issuance Log'!$B:$B=A123)*('Issuance Log'!$G:$G=$B$4),'Issuance Log'!$D:$D),0)),"-")</f>
        <v>-</v>
      </c>
    </row>
    <row r="124" spans="1:5" x14ac:dyDescent="0.25">
      <c r="A124" s="4" t="s">
        <v>236</v>
      </c>
      <c r="B124" s="4" t="s">
        <v>237</v>
      </c>
      <c r="C124" s="5">
        <f>IFERROR(SUMIFS('Issuance Log'!$D:$D,'Issuance Log'!$B:$B,A124,'Issuance Log'!$G:$G,$B$4),0)</f>
        <v>0</v>
      </c>
      <c r="D124" s="5">
        <f>IFERROR(COUNTIFS('Issuance Log'!$B:$B,A124,'Issuance Log'!$G:$G,$B$4),0)</f>
        <v>0</v>
      </c>
      <c r="E124" s="5" t="str">
        <f ca="1">IFERROR(INDEX('Issuance Log'!$E:$E,MATCH(MAXIFS('Issuance Log'!$D:$D,'Issuance Log'!$B:$B,A124,'Issuance Log'!$G:$G,$B$4),IF(('Issuance Log'!$B:$B=A124)*('Issuance Log'!$G:$G=$B$4),'Issuance Log'!$D:$D),0)),"-")</f>
        <v>-</v>
      </c>
    </row>
    <row r="125" spans="1:5" x14ac:dyDescent="0.25">
      <c r="A125" s="2" t="s">
        <v>238</v>
      </c>
      <c r="B125" s="2" t="s">
        <v>239</v>
      </c>
      <c r="C125" s="3">
        <f>IFERROR(SUMIFS('Issuance Log'!$D:$D,'Issuance Log'!$B:$B,A125,'Issuance Log'!$G:$G,$B$4),0)</f>
        <v>0</v>
      </c>
      <c r="D125" s="3">
        <f>IFERROR(COUNTIFS('Issuance Log'!$B:$B,A125,'Issuance Log'!$G:$G,$B$4),0)</f>
        <v>0</v>
      </c>
      <c r="E125" s="3" t="str">
        <f ca="1">IFERROR(INDEX('Issuance Log'!$E:$E,MATCH(MAXIFS('Issuance Log'!$D:$D,'Issuance Log'!$B:$B,A125,'Issuance Log'!$G:$G,$B$4),IF(('Issuance Log'!$B:$B=A125)*('Issuance Log'!$G:$G=$B$4),'Issuance Log'!$D:$D),0)),"-")</f>
        <v>-</v>
      </c>
    </row>
    <row r="126" spans="1:5" x14ac:dyDescent="0.25">
      <c r="A126" s="4" t="s">
        <v>240</v>
      </c>
      <c r="B126" s="4" t="s">
        <v>241</v>
      </c>
      <c r="C126" s="5">
        <f>IFERROR(SUMIFS('Issuance Log'!$D:$D,'Issuance Log'!$B:$B,A126,'Issuance Log'!$G:$G,$B$4),0)</f>
        <v>0</v>
      </c>
      <c r="D126" s="5">
        <f>IFERROR(COUNTIFS('Issuance Log'!$B:$B,A126,'Issuance Log'!$G:$G,$B$4),0)</f>
        <v>0</v>
      </c>
      <c r="E126" s="5" t="str">
        <f ca="1">IFERROR(INDEX('Issuance Log'!$E:$E,MATCH(MAXIFS('Issuance Log'!$D:$D,'Issuance Log'!$B:$B,A126,'Issuance Log'!$G:$G,$B$4),IF(('Issuance Log'!$B:$B=A126)*('Issuance Log'!$G:$G=$B$4),'Issuance Log'!$D:$D),0)),"-")</f>
        <v>-</v>
      </c>
    </row>
    <row r="127" spans="1:5" x14ac:dyDescent="0.25">
      <c r="A127" s="2" t="s">
        <v>242</v>
      </c>
      <c r="B127" s="2" t="s">
        <v>243</v>
      </c>
      <c r="C127" s="3">
        <f>IFERROR(SUMIFS('Issuance Log'!$D:$D,'Issuance Log'!$B:$B,A127,'Issuance Log'!$G:$G,$B$4),0)</f>
        <v>0</v>
      </c>
      <c r="D127" s="3">
        <f>IFERROR(COUNTIFS('Issuance Log'!$B:$B,A127,'Issuance Log'!$G:$G,$B$4),0)</f>
        <v>0</v>
      </c>
      <c r="E127" s="3" t="str">
        <f ca="1">IFERROR(INDEX('Issuance Log'!$E:$E,MATCH(MAXIFS('Issuance Log'!$D:$D,'Issuance Log'!$B:$B,A127,'Issuance Log'!$G:$G,$B$4),IF(('Issuance Log'!$B:$B=A127)*('Issuance Log'!$G:$G=$B$4),'Issuance Log'!$D:$D),0)),"-")</f>
        <v>-</v>
      </c>
    </row>
    <row r="128" spans="1:5" x14ac:dyDescent="0.25">
      <c r="A128" s="4" t="s">
        <v>244</v>
      </c>
      <c r="B128" s="4" t="s">
        <v>245</v>
      </c>
      <c r="C128" s="5">
        <f>IFERROR(SUMIFS('Issuance Log'!$D:$D,'Issuance Log'!$B:$B,A128,'Issuance Log'!$G:$G,$B$4),0)</f>
        <v>0</v>
      </c>
      <c r="D128" s="5">
        <f>IFERROR(COUNTIFS('Issuance Log'!$B:$B,A128,'Issuance Log'!$G:$G,$B$4),0)</f>
        <v>0</v>
      </c>
      <c r="E128" s="5" t="str">
        <f ca="1">IFERROR(INDEX('Issuance Log'!$E:$E,MATCH(MAXIFS('Issuance Log'!$D:$D,'Issuance Log'!$B:$B,A128,'Issuance Log'!$G:$G,$B$4),IF(('Issuance Log'!$B:$B=A128)*('Issuance Log'!$G:$G=$B$4),'Issuance Log'!$D:$D),0)),"-")</f>
        <v>-</v>
      </c>
    </row>
    <row r="129" spans="1:5" x14ac:dyDescent="0.25">
      <c r="A129" s="2" t="s">
        <v>246</v>
      </c>
      <c r="B129" s="2" t="s">
        <v>247</v>
      </c>
      <c r="C129" s="3">
        <f>IFERROR(SUMIFS('Issuance Log'!$D:$D,'Issuance Log'!$B:$B,A129,'Issuance Log'!$G:$G,$B$4),0)</f>
        <v>0</v>
      </c>
      <c r="D129" s="3">
        <f>IFERROR(COUNTIFS('Issuance Log'!$B:$B,A129,'Issuance Log'!$G:$G,$B$4),0)</f>
        <v>0</v>
      </c>
      <c r="E129" s="3" t="str">
        <f ca="1">IFERROR(INDEX('Issuance Log'!$E:$E,MATCH(MAXIFS('Issuance Log'!$D:$D,'Issuance Log'!$B:$B,A129,'Issuance Log'!$G:$G,$B$4),IF(('Issuance Log'!$B:$B=A129)*('Issuance Log'!$G:$G=$B$4),'Issuance Log'!$D:$D),0)),"-")</f>
        <v>-</v>
      </c>
    </row>
    <row r="130" spans="1:5" x14ac:dyDescent="0.25">
      <c r="A130" s="4" t="s">
        <v>248</v>
      </c>
      <c r="B130" s="4" t="s">
        <v>249</v>
      </c>
      <c r="C130" s="5">
        <f>IFERROR(SUMIFS('Issuance Log'!$D:$D,'Issuance Log'!$B:$B,A130,'Issuance Log'!$G:$G,$B$4),0)</f>
        <v>0</v>
      </c>
      <c r="D130" s="5">
        <f>IFERROR(COUNTIFS('Issuance Log'!$B:$B,A130,'Issuance Log'!$G:$G,$B$4),0)</f>
        <v>0</v>
      </c>
      <c r="E130" s="5" t="str">
        <f ca="1">IFERROR(INDEX('Issuance Log'!$E:$E,MATCH(MAXIFS('Issuance Log'!$D:$D,'Issuance Log'!$B:$B,A130,'Issuance Log'!$G:$G,$B$4),IF(('Issuance Log'!$B:$B=A130)*('Issuance Log'!$G:$G=$B$4),'Issuance Log'!$D:$D),0)),"-")</f>
        <v>-</v>
      </c>
    </row>
    <row r="131" spans="1:5" x14ac:dyDescent="0.25">
      <c r="A131" s="2" t="s">
        <v>250</v>
      </c>
      <c r="B131" s="2" t="s">
        <v>251</v>
      </c>
      <c r="C131" s="3">
        <f>IFERROR(SUMIFS('Issuance Log'!$D:$D,'Issuance Log'!$B:$B,A131,'Issuance Log'!$G:$G,$B$4),0)</f>
        <v>0</v>
      </c>
      <c r="D131" s="3">
        <f>IFERROR(COUNTIFS('Issuance Log'!$B:$B,A131,'Issuance Log'!$G:$G,$B$4),0)</f>
        <v>0</v>
      </c>
      <c r="E131" s="3" t="str">
        <f ca="1">IFERROR(INDEX('Issuance Log'!$E:$E,MATCH(MAXIFS('Issuance Log'!$D:$D,'Issuance Log'!$B:$B,A131,'Issuance Log'!$G:$G,$B$4),IF(('Issuance Log'!$B:$B=A131)*('Issuance Log'!$G:$G=$B$4),'Issuance Log'!$D:$D),0)),"-")</f>
        <v>-</v>
      </c>
    </row>
    <row r="132" spans="1:5" x14ac:dyDescent="0.25">
      <c r="A132" s="4" t="s">
        <v>252</v>
      </c>
      <c r="B132" s="4" t="s">
        <v>253</v>
      </c>
      <c r="C132" s="5">
        <f>IFERROR(SUMIFS('Issuance Log'!$D:$D,'Issuance Log'!$B:$B,A132,'Issuance Log'!$G:$G,$B$4),0)</f>
        <v>0</v>
      </c>
      <c r="D132" s="5">
        <f>IFERROR(COUNTIFS('Issuance Log'!$B:$B,A132,'Issuance Log'!$G:$G,$B$4),0)</f>
        <v>0</v>
      </c>
      <c r="E132" s="5" t="str">
        <f ca="1">IFERROR(INDEX('Issuance Log'!$E:$E,MATCH(MAXIFS('Issuance Log'!$D:$D,'Issuance Log'!$B:$B,A132,'Issuance Log'!$G:$G,$B$4),IF(('Issuance Log'!$B:$B=A132)*('Issuance Log'!$G:$G=$B$4),'Issuance Log'!$D:$D),0)),"-")</f>
        <v>-</v>
      </c>
    </row>
    <row r="133" spans="1:5" x14ac:dyDescent="0.25">
      <c r="A133" s="2" t="s">
        <v>254</v>
      </c>
      <c r="B133" s="2" t="s">
        <v>255</v>
      </c>
      <c r="C133" s="3">
        <f>IFERROR(SUMIFS('Issuance Log'!$D:$D,'Issuance Log'!$B:$B,A133,'Issuance Log'!$G:$G,$B$4),0)</f>
        <v>0</v>
      </c>
      <c r="D133" s="3">
        <f>IFERROR(COUNTIFS('Issuance Log'!$B:$B,A133,'Issuance Log'!$G:$G,$B$4),0)</f>
        <v>0</v>
      </c>
      <c r="E133" s="3" t="str">
        <f ca="1">IFERROR(INDEX('Issuance Log'!$E:$E,MATCH(MAXIFS('Issuance Log'!$D:$D,'Issuance Log'!$B:$B,A133,'Issuance Log'!$G:$G,$B$4),IF(('Issuance Log'!$B:$B=A133)*('Issuance Log'!$G:$G=$B$4),'Issuance Log'!$D:$D),0)),"-")</f>
        <v>-</v>
      </c>
    </row>
    <row r="134" spans="1:5" x14ac:dyDescent="0.25">
      <c r="A134" s="4" t="s">
        <v>256</v>
      </c>
      <c r="B134" s="4" t="s">
        <v>257</v>
      </c>
      <c r="C134" s="5">
        <f>IFERROR(SUMIFS('Issuance Log'!$D:$D,'Issuance Log'!$B:$B,A134,'Issuance Log'!$G:$G,$B$4),0)</f>
        <v>0</v>
      </c>
      <c r="D134" s="5">
        <f>IFERROR(COUNTIFS('Issuance Log'!$B:$B,A134,'Issuance Log'!$G:$G,$B$4),0)</f>
        <v>0</v>
      </c>
      <c r="E134" s="5" t="str">
        <f ca="1">IFERROR(INDEX('Issuance Log'!$E:$E,MATCH(MAXIFS('Issuance Log'!$D:$D,'Issuance Log'!$B:$B,A134,'Issuance Log'!$G:$G,$B$4),IF(('Issuance Log'!$B:$B=A134)*('Issuance Log'!$G:$G=$B$4),'Issuance Log'!$D:$D),0)),"-")</f>
        <v>-</v>
      </c>
    </row>
    <row r="135" spans="1:5" x14ac:dyDescent="0.25">
      <c r="A135" s="2" t="s">
        <v>258</v>
      </c>
      <c r="B135" s="2" t="s">
        <v>259</v>
      </c>
      <c r="C135" s="3">
        <f>IFERROR(SUMIFS('Issuance Log'!$D:$D,'Issuance Log'!$B:$B,A135,'Issuance Log'!$G:$G,$B$4),0)</f>
        <v>0</v>
      </c>
      <c r="D135" s="3">
        <f>IFERROR(COUNTIFS('Issuance Log'!$B:$B,A135,'Issuance Log'!$G:$G,$B$4),0)</f>
        <v>0</v>
      </c>
      <c r="E135" s="3" t="str">
        <f ca="1">IFERROR(INDEX('Issuance Log'!$E:$E,MATCH(MAXIFS('Issuance Log'!$D:$D,'Issuance Log'!$B:$B,A135,'Issuance Log'!$G:$G,$B$4),IF(('Issuance Log'!$B:$B=A135)*('Issuance Log'!$G:$G=$B$4),'Issuance Log'!$D:$D),0)),"-")</f>
        <v>-</v>
      </c>
    </row>
    <row r="136" spans="1:5" x14ac:dyDescent="0.25">
      <c r="A136" s="4" t="s">
        <v>260</v>
      </c>
      <c r="B136" s="4" t="s">
        <v>261</v>
      </c>
      <c r="C136" s="5">
        <f>IFERROR(SUMIFS('Issuance Log'!$D:$D,'Issuance Log'!$B:$B,A136,'Issuance Log'!$G:$G,$B$4),0)</f>
        <v>0</v>
      </c>
      <c r="D136" s="5">
        <f>IFERROR(COUNTIFS('Issuance Log'!$B:$B,A136,'Issuance Log'!$G:$G,$B$4),0)</f>
        <v>0</v>
      </c>
      <c r="E136" s="5" t="str">
        <f ca="1">IFERROR(INDEX('Issuance Log'!$E:$E,MATCH(MAXIFS('Issuance Log'!$D:$D,'Issuance Log'!$B:$B,A136,'Issuance Log'!$G:$G,$B$4),IF(('Issuance Log'!$B:$B=A136)*('Issuance Log'!$G:$G=$B$4),'Issuance Log'!$D:$D),0)),"-")</f>
        <v>-</v>
      </c>
    </row>
    <row r="137" spans="1:5" x14ac:dyDescent="0.25">
      <c r="A137" s="2" t="s">
        <v>262</v>
      </c>
      <c r="B137" s="2" t="s">
        <v>263</v>
      </c>
      <c r="C137" s="3">
        <f>IFERROR(SUMIFS('Issuance Log'!$D:$D,'Issuance Log'!$B:$B,A137,'Issuance Log'!$G:$G,$B$4),0)</f>
        <v>0</v>
      </c>
      <c r="D137" s="3">
        <f>IFERROR(COUNTIFS('Issuance Log'!$B:$B,A137,'Issuance Log'!$G:$G,$B$4),0)</f>
        <v>0</v>
      </c>
      <c r="E137" s="3" t="str">
        <f ca="1">IFERROR(INDEX('Issuance Log'!$E:$E,MATCH(MAXIFS('Issuance Log'!$D:$D,'Issuance Log'!$B:$B,A137,'Issuance Log'!$G:$G,$B$4),IF(('Issuance Log'!$B:$B=A137)*('Issuance Log'!$G:$G=$B$4),'Issuance Log'!$D:$D),0)),"-")</f>
        <v>-</v>
      </c>
    </row>
    <row r="138" spans="1:5" x14ac:dyDescent="0.25">
      <c r="A138" s="4" t="s">
        <v>264</v>
      </c>
      <c r="B138" s="4" t="s">
        <v>265</v>
      </c>
      <c r="C138" s="5">
        <f>IFERROR(SUMIFS('Issuance Log'!$D:$D,'Issuance Log'!$B:$B,A138,'Issuance Log'!$G:$G,$B$4),0)</f>
        <v>0</v>
      </c>
      <c r="D138" s="5">
        <f>IFERROR(COUNTIFS('Issuance Log'!$B:$B,A138,'Issuance Log'!$G:$G,$B$4),0)</f>
        <v>0</v>
      </c>
      <c r="E138" s="5" t="str">
        <f ca="1">IFERROR(INDEX('Issuance Log'!$E:$E,MATCH(MAXIFS('Issuance Log'!$D:$D,'Issuance Log'!$B:$B,A138,'Issuance Log'!$G:$G,$B$4),IF(('Issuance Log'!$B:$B=A138)*('Issuance Log'!$G:$G=$B$4),'Issuance Log'!$D:$D),0)),"-")</f>
        <v>-</v>
      </c>
    </row>
    <row r="139" spans="1:5" x14ac:dyDescent="0.25">
      <c r="A139" s="2" t="s">
        <v>266</v>
      </c>
      <c r="B139" s="2" t="s">
        <v>267</v>
      </c>
      <c r="C139" s="3">
        <f>IFERROR(SUMIFS('Issuance Log'!$D:$D,'Issuance Log'!$B:$B,A139,'Issuance Log'!$G:$G,$B$4),0)</f>
        <v>0</v>
      </c>
      <c r="D139" s="3">
        <f>IFERROR(COUNTIFS('Issuance Log'!$B:$B,A139,'Issuance Log'!$G:$G,$B$4),0)</f>
        <v>0</v>
      </c>
      <c r="E139" s="3" t="str">
        <f ca="1">IFERROR(INDEX('Issuance Log'!$E:$E,MATCH(MAXIFS('Issuance Log'!$D:$D,'Issuance Log'!$B:$B,A139,'Issuance Log'!$G:$G,$B$4),IF(('Issuance Log'!$B:$B=A139)*('Issuance Log'!$G:$G=$B$4),'Issuance Log'!$D:$D),0)),"-")</f>
        <v>-</v>
      </c>
    </row>
    <row r="140" spans="1:5" x14ac:dyDescent="0.25">
      <c r="A140" s="4" t="s">
        <v>268</v>
      </c>
      <c r="B140" s="4" t="s">
        <v>269</v>
      </c>
      <c r="C140" s="5">
        <f>IFERROR(SUMIFS('Issuance Log'!$D:$D,'Issuance Log'!$B:$B,A140,'Issuance Log'!$G:$G,$B$4),0)</f>
        <v>0</v>
      </c>
      <c r="D140" s="5">
        <f>IFERROR(COUNTIFS('Issuance Log'!$B:$B,A140,'Issuance Log'!$G:$G,$B$4),0)</f>
        <v>0</v>
      </c>
      <c r="E140" s="5" t="str">
        <f ca="1">IFERROR(INDEX('Issuance Log'!$E:$E,MATCH(MAXIFS('Issuance Log'!$D:$D,'Issuance Log'!$B:$B,A140,'Issuance Log'!$G:$G,$B$4),IF(('Issuance Log'!$B:$B=A140)*('Issuance Log'!$G:$G=$B$4),'Issuance Log'!$D:$D),0)),"-")</f>
        <v>-</v>
      </c>
    </row>
    <row r="141" spans="1:5" x14ac:dyDescent="0.25">
      <c r="A141" s="2" t="s">
        <v>270</v>
      </c>
      <c r="B141" s="2" t="s">
        <v>271</v>
      </c>
      <c r="C141" s="3">
        <f>IFERROR(SUMIFS('Issuance Log'!$D:$D,'Issuance Log'!$B:$B,A141,'Issuance Log'!$G:$G,$B$4),0)</f>
        <v>0</v>
      </c>
      <c r="D141" s="3">
        <f>IFERROR(COUNTIFS('Issuance Log'!$B:$B,A141,'Issuance Log'!$G:$G,$B$4),0)</f>
        <v>0</v>
      </c>
      <c r="E141" s="3" t="str">
        <f ca="1">IFERROR(INDEX('Issuance Log'!$E:$E,MATCH(MAXIFS('Issuance Log'!$D:$D,'Issuance Log'!$B:$B,A141,'Issuance Log'!$G:$G,$B$4),IF(('Issuance Log'!$B:$B=A141)*('Issuance Log'!$G:$G=$B$4),'Issuance Log'!$D:$D),0)),"-")</f>
        <v>-</v>
      </c>
    </row>
    <row r="142" spans="1:5" x14ac:dyDescent="0.25">
      <c r="A142" s="4" t="s">
        <v>272</v>
      </c>
      <c r="B142" s="4" t="s">
        <v>273</v>
      </c>
      <c r="C142" s="5">
        <f>IFERROR(SUMIFS('Issuance Log'!$D:$D,'Issuance Log'!$B:$B,A142,'Issuance Log'!$G:$G,$B$4),0)</f>
        <v>0</v>
      </c>
      <c r="D142" s="5">
        <f>IFERROR(COUNTIFS('Issuance Log'!$B:$B,A142,'Issuance Log'!$G:$G,$B$4),0)</f>
        <v>0</v>
      </c>
      <c r="E142" s="5" t="str">
        <f ca="1">IFERROR(INDEX('Issuance Log'!$E:$E,MATCH(MAXIFS('Issuance Log'!$D:$D,'Issuance Log'!$B:$B,A142,'Issuance Log'!$G:$G,$B$4),IF(('Issuance Log'!$B:$B=A142)*('Issuance Log'!$G:$G=$B$4),'Issuance Log'!$D:$D),0)),"-")</f>
        <v>-</v>
      </c>
    </row>
    <row r="143" spans="1:5" x14ac:dyDescent="0.25">
      <c r="A143" s="2" t="s">
        <v>274</v>
      </c>
      <c r="B143" s="2" t="s">
        <v>275</v>
      </c>
      <c r="C143" s="3">
        <f>IFERROR(SUMIFS('Issuance Log'!$D:$D,'Issuance Log'!$B:$B,A143,'Issuance Log'!$G:$G,$B$4),0)</f>
        <v>0</v>
      </c>
      <c r="D143" s="3">
        <f>IFERROR(COUNTIFS('Issuance Log'!$B:$B,A143,'Issuance Log'!$G:$G,$B$4),0)</f>
        <v>0</v>
      </c>
      <c r="E143" s="3" t="str">
        <f ca="1">IFERROR(INDEX('Issuance Log'!$E:$E,MATCH(MAXIFS('Issuance Log'!$D:$D,'Issuance Log'!$B:$B,A143,'Issuance Log'!$G:$G,$B$4),IF(('Issuance Log'!$B:$B=A143)*('Issuance Log'!$G:$G=$B$4),'Issuance Log'!$D:$D),0)),"-")</f>
        <v>-</v>
      </c>
    </row>
    <row r="144" spans="1:5" x14ac:dyDescent="0.25">
      <c r="A144" s="4" t="s">
        <v>276</v>
      </c>
      <c r="B144" s="4" t="s">
        <v>277</v>
      </c>
      <c r="C144" s="5">
        <f>IFERROR(SUMIFS('Issuance Log'!$D:$D,'Issuance Log'!$B:$B,A144,'Issuance Log'!$G:$G,$B$4),0)</f>
        <v>0</v>
      </c>
      <c r="D144" s="5">
        <f>IFERROR(COUNTIFS('Issuance Log'!$B:$B,A144,'Issuance Log'!$G:$G,$B$4),0)</f>
        <v>0</v>
      </c>
      <c r="E144" s="5" t="str">
        <f ca="1">IFERROR(INDEX('Issuance Log'!$E:$E,MATCH(MAXIFS('Issuance Log'!$D:$D,'Issuance Log'!$B:$B,A144,'Issuance Log'!$G:$G,$B$4),IF(('Issuance Log'!$B:$B=A144)*('Issuance Log'!$G:$G=$B$4),'Issuance Log'!$D:$D),0)),"-")</f>
        <v>-</v>
      </c>
    </row>
    <row r="145" spans="1:5" x14ac:dyDescent="0.25">
      <c r="A145" s="2" t="s">
        <v>278</v>
      </c>
      <c r="B145" s="2" t="s">
        <v>279</v>
      </c>
      <c r="C145" s="3">
        <f>IFERROR(SUMIFS('Issuance Log'!$D:$D,'Issuance Log'!$B:$B,A145,'Issuance Log'!$G:$G,$B$4),0)</f>
        <v>0</v>
      </c>
      <c r="D145" s="3">
        <f>IFERROR(COUNTIFS('Issuance Log'!$B:$B,A145,'Issuance Log'!$G:$G,$B$4),0)</f>
        <v>0</v>
      </c>
      <c r="E145" s="3" t="str">
        <f ca="1">IFERROR(INDEX('Issuance Log'!$E:$E,MATCH(MAXIFS('Issuance Log'!$D:$D,'Issuance Log'!$B:$B,A145,'Issuance Log'!$G:$G,$B$4),IF(('Issuance Log'!$B:$B=A145)*('Issuance Log'!$G:$G=$B$4),'Issuance Log'!$D:$D),0)),"-")</f>
        <v>-</v>
      </c>
    </row>
    <row r="146" spans="1:5" x14ac:dyDescent="0.25">
      <c r="A146" s="4" t="s">
        <v>280</v>
      </c>
      <c r="B146" s="4" t="s">
        <v>281</v>
      </c>
      <c r="C146" s="5">
        <f>IFERROR(SUMIFS('Issuance Log'!$D:$D,'Issuance Log'!$B:$B,A146,'Issuance Log'!$G:$G,$B$4),0)</f>
        <v>0</v>
      </c>
      <c r="D146" s="5">
        <f>IFERROR(COUNTIFS('Issuance Log'!$B:$B,A146,'Issuance Log'!$G:$G,$B$4),0)</f>
        <v>0</v>
      </c>
      <c r="E146" s="5" t="str">
        <f ca="1">IFERROR(INDEX('Issuance Log'!$E:$E,MATCH(MAXIFS('Issuance Log'!$D:$D,'Issuance Log'!$B:$B,A146,'Issuance Log'!$G:$G,$B$4),IF(('Issuance Log'!$B:$B=A146)*('Issuance Log'!$G:$G=$B$4),'Issuance Log'!$D:$D),0)),"-")</f>
        <v>-</v>
      </c>
    </row>
    <row r="147" spans="1:5" x14ac:dyDescent="0.25">
      <c r="A147" s="2" t="s">
        <v>282</v>
      </c>
      <c r="B147" s="2" t="s">
        <v>283</v>
      </c>
      <c r="C147" s="3">
        <f>IFERROR(SUMIFS('Issuance Log'!$D:$D,'Issuance Log'!$B:$B,A147,'Issuance Log'!$G:$G,$B$4),0)</f>
        <v>0</v>
      </c>
      <c r="D147" s="3">
        <f>IFERROR(COUNTIFS('Issuance Log'!$B:$B,A147,'Issuance Log'!$G:$G,$B$4),0)</f>
        <v>0</v>
      </c>
      <c r="E147" s="3" t="str">
        <f ca="1">IFERROR(INDEX('Issuance Log'!$E:$E,MATCH(MAXIFS('Issuance Log'!$D:$D,'Issuance Log'!$B:$B,A147,'Issuance Log'!$G:$G,$B$4),IF(('Issuance Log'!$B:$B=A147)*('Issuance Log'!$G:$G=$B$4),'Issuance Log'!$D:$D),0)),"-")</f>
        <v>-</v>
      </c>
    </row>
    <row r="148" spans="1:5" x14ac:dyDescent="0.25">
      <c r="A148" s="4" t="s">
        <v>284</v>
      </c>
      <c r="B148" s="4" t="s">
        <v>285</v>
      </c>
      <c r="C148" s="5">
        <f>IFERROR(SUMIFS('Issuance Log'!$D:$D,'Issuance Log'!$B:$B,A148,'Issuance Log'!$G:$G,$B$4),0)</f>
        <v>0</v>
      </c>
      <c r="D148" s="5">
        <f>IFERROR(COUNTIFS('Issuance Log'!$B:$B,A148,'Issuance Log'!$G:$G,$B$4),0)</f>
        <v>0</v>
      </c>
      <c r="E148" s="5" t="str">
        <f ca="1">IFERROR(INDEX('Issuance Log'!$E:$E,MATCH(MAXIFS('Issuance Log'!$D:$D,'Issuance Log'!$B:$B,A148,'Issuance Log'!$G:$G,$B$4),IF(('Issuance Log'!$B:$B=A148)*('Issuance Log'!$G:$G=$B$4),'Issuance Log'!$D:$D),0)),"-")</f>
        <v>-</v>
      </c>
    </row>
    <row r="149" spans="1:5" x14ac:dyDescent="0.25">
      <c r="A149" s="2" t="s">
        <v>286</v>
      </c>
      <c r="B149" s="2" t="s">
        <v>287</v>
      </c>
      <c r="C149" s="3">
        <f>IFERROR(SUMIFS('Issuance Log'!$D:$D,'Issuance Log'!$B:$B,A149,'Issuance Log'!$G:$G,$B$4),0)</f>
        <v>0</v>
      </c>
      <c r="D149" s="3">
        <f>IFERROR(COUNTIFS('Issuance Log'!$B:$B,A149,'Issuance Log'!$G:$G,$B$4),0)</f>
        <v>0</v>
      </c>
      <c r="E149" s="3" t="str">
        <f ca="1">IFERROR(INDEX('Issuance Log'!$E:$E,MATCH(MAXIFS('Issuance Log'!$D:$D,'Issuance Log'!$B:$B,A149,'Issuance Log'!$G:$G,$B$4),IF(('Issuance Log'!$B:$B=A149)*('Issuance Log'!$G:$G=$B$4),'Issuance Log'!$D:$D),0)),"-")</f>
        <v>-</v>
      </c>
    </row>
    <row r="150" spans="1:5" x14ac:dyDescent="0.25">
      <c r="A150" s="4" t="s">
        <v>288</v>
      </c>
      <c r="B150" s="4" t="s">
        <v>289</v>
      </c>
      <c r="C150" s="5">
        <f>IFERROR(SUMIFS('Issuance Log'!$D:$D,'Issuance Log'!$B:$B,A150,'Issuance Log'!$G:$G,$B$4),0)</f>
        <v>0</v>
      </c>
      <c r="D150" s="5">
        <f>IFERROR(COUNTIFS('Issuance Log'!$B:$B,A150,'Issuance Log'!$G:$G,$B$4),0)</f>
        <v>0</v>
      </c>
      <c r="E150" s="5" t="str">
        <f ca="1">IFERROR(INDEX('Issuance Log'!$E:$E,MATCH(MAXIFS('Issuance Log'!$D:$D,'Issuance Log'!$B:$B,A150,'Issuance Log'!$G:$G,$B$4),IF(('Issuance Log'!$B:$B=A150)*('Issuance Log'!$G:$G=$B$4),'Issuance Log'!$D:$D),0)),"-")</f>
        <v>-</v>
      </c>
    </row>
    <row r="151" spans="1:5" x14ac:dyDescent="0.25">
      <c r="A151" s="2" t="s">
        <v>290</v>
      </c>
      <c r="B151" s="2" t="s">
        <v>291</v>
      </c>
      <c r="C151" s="3">
        <f>IFERROR(SUMIFS('Issuance Log'!$D:$D,'Issuance Log'!$B:$B,A151,'Issuance Log'!$G:$G,$B$4),0)</f>
        <v>0</v>
      </c>
      <c r="D151" s="3">
        <f>IFERROR(COUNTIFS('Issuance Log'!$B:$B,A151,'Issuance Log'!$G:$G,$B$4),0)</f>
        <v>0</v>
      </c>
      <c r="E151" s="3" t="str">
        <f ca="1">IFERROR(INDEX('Issuance Log'!$E:$E,MATCH(MAXIFS('Issuance Log'!$D:$D,'Issuance Log'!$B:$B,A151,'Issuance Log'!$G:$G,$B$4),IF(('Issuance Log'!$B:$B=A151)*('Issuance Log'!$G:$G=$B$4),'Issuance Log'!$D:$D),0)),"-")</f>
        <v>-</v>
      </c>
    </row>
    <row r="152" spans="1:5" x14ac:dyDescent="0.25">
      <c r="A152" s="4" t="s">
        <v>292</v>
      </c>
      <c r="B152" s="4" t="s">
        <v>293</v>
      </c>
      <c r="C152" s="5">
        <f>IFERROR(SUMIFS('Issuance Log'!$D:$D,'Issuance Log'!$B:$B,A152,'Issuance Log'!$G:$G,$B$4),0)</f>
        <v>0</v>
      </c>
      <c r="D152" s="5">
        <f>IFERROR(COUNTIFS('Issuance Log'!$B:$B,A152,'Issuance Log'!$G:$G,$B$4),0)</f>
        <v>0</v>
      </c>
      <c r="E152" s="5" t="str">
        <f ca="1">IFERROR(INDEX('Issuance Log'!$E:$E,MATCH(MAXIFS('Issuance Log'!$D:$D,'Issuance Log'!$B:$B,A152,'Issuance Log'!$G:$G,$B$4),IF(('Issuance Log'!$B:$B=A152)*('Issuance Log'!$G:$G=$B$4),'Issuance Log'!$D:$D),0)),"-")</f>
        <v>-</v>
      </c>
    </row>
    <row r="153" spans="1:5" x14ac:dyDescent="0.25">
      <c r="A153" s="2" t="s">
        <v>294</v>
      </c>
      <c r="B153" s="2" t="s">
        <v>295</v>
      </c>
      <c r="C153" s="3">
        <f>IFERROR(SUMIFS('Issuance Log'!$D:$D,'Issuance Log'!$B:$B,A153,'Issuance Log'!$G:$G,$B$4),0)</f>
        <v>0</v>
      </c>
      <c r="D153" s="3">
        <f>IFERROR(COUNTIFS('Issuance Log'!$B:$B,A153,'Issuance Log'!$G:$G,$B$4),0)</f>
        <v>0</v>
      </c>
      <c r="E153" s="3" t="str">
        <f ca="1">IFERROR(INDEX('Issuance Log'!$E:$E,MATCH(MAXIFS('Issuance Log'!$D:$D,'Issuance Log'!$B:$B,A153,'Issuance Log'!$G:$G,$B$4),IF(('Issuance Log'!$B:$B=A153)*('Issuance Log'!$G:$G=$B$4),'Issuance Log'!$D:$D),0)),"-")</f>
        <v>-</v>
      </c>
    </row>
    <row r="154" spans="1:5" x14ac:dyDescent="0.25">
      <c r="A154" s="4" t="s">
        <v>296</v>
      </c>
      <c r="B154" s="4" t="s">
        <v>297</v>
      </c>
      <c r="C154" s="5">
        <f>IFERROR(SUMIFS('Issuance Log'!$D:$D,'Issuance Log'!$B:$B,A154,'Issuance Log'!$G:$G,$B$4),0)</f>
        <v>0</v>
      </c>
      <c r="D154" s="5">
        <f>IFERROR(COUNTIFS('Issuance Log'!$B:$B,A154,'Issuance Log'!$G:$G,$B$4),0)</f>
        <v>0</v>
      </c>
      <c r="E154" s="5" t="str">
        <f ca="1">IFERROR(INDEX('Issuance Log'!$E:$E,MATCH(MAXIFS('Issuance Log'!$D:$D,'Issuance Log'!$B:$B,A154,'Issuance Log'!$G:$G,$B$4),IF(('Issuance Log'!$B:$B=A154)*('Issuance Log'!$G:$G=$B$4),'Issuance Log'!$D:$D),0)),"-")</f>
        <v>-</v>
      </c>
    </row>
    <row r="155" spans="1:5" x14ac:dyDescent="0.25">
      <c r="A155" s="2" t="s">
        <v>298</v>
      </c>
      <c r="B155" s="2" t="s">
        <v>299</v>
      </c>
      <c r="C155" s="3">
        <f>IFERROR(SUMIFS('Issuance Log'!$D:$D,'Issuance Log'!$B:$B,A155,'Issuance Log'!$G:$G,$B$4),0)</f>
        <v>0</v>
      </c>
      <c r="D155" s="3">
        <f>IFERROR(COUNTIFS('Issuance Log'!$B:$B,A155,'Issuance Log'!$G:$G,$B$4),0)</f>
        <v>0</v>
      </c>
      <c r="E155" s="3" t="str">
        <f ca="1">IFERROR(INDEX('Issuance Log'!$E:$E,MATCH(MAXIFS('Issuance Log'!$D:$D,'Issuance Log'!$B:$B,A155,'Issuance Log'!$G:$G,$B$4),IF(('Issuance Log'!$B:$B=A155)*('Issuance Log'!$G:$G=$B$4),'Issuance Log'!$D:$D),0)),"-")</f>
        <v>-</v>
      </c>
    </row>
    <row r="156" spans="1:5" x14ac:dyDescent="0.25">
      <c r="A156" s="4" t="s">
        <v>300</v>
      </c>
      <c r="B156" s="4" t="s">
        <v>301</v>
      </c>
      <c r="C156" s="5">
        <f>IFERROR(SUMIFS('Issuance Log'!$D:$D,'Issuance Log'!$B:$B,A156,'Issuance Log'!$G:$G,$B$4),0)</f>
        <v>0</v>
      </c>
      <c r="D156" s="5">
        <f>IFERROR(COUNTIFS('Issuance Log'!$B:$B,A156,'Issuance Log'!$G:$G,$B$4),0)</f>
        <v>0</v>
      </c>
      <c r="E156" s="5" t="str">
        <f ca="1">IFERROR(INDEX('Issuance Log'!$E:$E,MATCH(MAXIFS('Issuance Log'!$D:$D,'Issuance Log'!$B:$B,A156,'Issuance Log'!$G:$G,$B$4),IF(('Issuance Log'!$B:$B=A156)*('Issuance Log'!$G:$G=$B$4),'Issuance Log'!$D:$D),0)),"-")</f>
        <v>-</v>
      </c>
    </row>
    <row r="157" spans="1:5" x14ac:dyDescent="0.25">
      <c r="A157" s="2" t="s">
        <v>302</v>
      </c>
      <c r="B157" s="2" t="s">
        <v>303</v>
      </c>
      <c r="C157" s="3">
        <f>IFERROR(SUMIFS('Issuance Log'!$D:$D,'Issuance Log'!$B:$B,A157,'Issuance Log'!$G:$G,$B$4),0)</f>
        <v>0</v>
      </c>
      <c r="D157" s="3">
        <f>IFERROR(COUNTIFS('Issuance Log'!$B:$B,A157,'Issuance Log'!$G:$G,$B$4),0)</f>
        <v>0</v>
      </c>
      <c r="E157" s="3" t="str">
        <f ca="1">IFERROR(INDEX('Issuance Log'!$E:$E,MATCH(MAXIFS('Issuance Log'!$D:$D,'Issuance Log'!$B:$B,A157,'Issuance Log'!$G:$G,$B$4),IF(('Issuance Log'!$B:$B=A157)*('Issuance Log'!$G:$G=$B$4),'Issuance Log'!$D:$D),0)),"-")</f>
        <v>-</v>
      </c>
    </row>
    <row r="158" spans="1:5" x14ac:dyDescent="0.25">
      <c r="A158" s="4" t="s">
        <v>304</v>
      </c>
      <c r="B158" s="4" t="s">
        <v>305</v>
      </c>
      <c r="C158" s="5">
        <f>IFERROR(SUMIFS('Issuance Log'!$D:$D,'Issuance Log'!$B:$B,A158,'Issuance Log'!$G:$G,$B$4),0)</f>
        <v>0</v>
      </c>
      <c r="D158" s="5">
        <f>IFERROR(COUNTIFS('Issuance Log'!$B:$B,A158,'Issuance Log'!$G:$G,$B$4),0)</f>
        <v>0</v>
      </c>
      <c r="E158" s="5" t="str">
        <f ca="1">IFERROR(INDEX('Issuance Log'!$E:$E,MATCH(MAXIFS('Issuance Log'!$D:$D,'Issuance Log'!$B:$B,A158,'Issuance Log'!$G:$G,$B$4),IF(('Issuance Log'!$B:$B=A158)*('Issuance Log'!$G:$G=$B$4),'Issuance Log'!$D:$D),0)),"-")</f>
        <v>-</v>
      </c>
    </row>
    <row r="159" spans="1:5" x14ac:dyDescent="0.25">
      <c r="A159" s="2" t="s">
        <v>306</v>
      </c>
      <c r="B159" s="2" t="s">
        <v>307</v>
      </c>
      <c r="C159" s="3">
        <f>IFERROR(SUMIFS('Issuance Log'!$D:$D,'Issuance Log'!$B:$B,A159,'Issuance Log'!$G:$G,$B$4),0)</f>
        <v>0</v>
      </c>
      <c r="D159" s="3">
        <f>IFERROR(COUNTIFS('Issuance Log'!$B:$B,A159,'Issuance Log'!$G:$G,$B$4),0)</f>
        <v>0</v>
      </c>
      <c r="E159" s="3" t="str">
        <f ca="1">IFERROR(INDEX('Issuance Log'!$E:$E,MATCH(MAXIFS('Issuance Log'!$D:$D,'Issuance Log'!$B:$B,A159,'Issuance Log'!$G:$G,$B$4),IF(('Issuance Log'!$B:$B=A159)*('Issuance Log'!$G:$G=$B$4),'Issuance Log'!$D:$D),0)),"-")</f>
        <v>-</v>
      </c>
    </row>
    <row r="160" spans="1:5" x14ac:dyDescent="0.25">
      <c r="A160" s="4" t="s">
        <v>308</v>
      </c>
      <c r="B160" s="4" t="s">
        <v>309</v>
      </c>
      <c r="C160" s="5">
        <f>IFERROR(SUMIFS('Issuance Log'!$D:$D,'Issuance Log'!$B:$B,A160,'Issuance Log'!$G:$G,$B$4),0)</f>
        <v>0</v>
      </c>
      <c r="D160" s="5">
        <f>IFERROR(COUNTIFS('Issuance Log'!$B:$B,A160,'Issuance Log'!$G:$G,$B$4),0)</f>
        <v>0</v>
      </c>
      <c r="E160" s="5" t="str">
        <f ca="1">IFERROR(INDEX('Issuance Log'!$E:$E,MATCH(MAXIFS('Issuance Log'!$D:$D,'Issuance Log'!$B:$B,A160,'Issuance Log'!$G:$G,$B$4),IF(('Issuance Log'!$B:$B=A160)*('Issuance Log'!$G:$G=$B$4),'Issuance Log'!$D:$D),0)),"-")</f>
        <v>-</v>
      </c>
    </row>
    <row r="161" spans="1:5" x14ac:dyDescent="0.25">
      <c r="A161" s="2" t="s">
        <v>310</v>
      </c>
      <c r="B161" s="2" t="s">
        <v>311</v>
      </c>
      <c r="C161" s="3">
        <f>IFERROR(SUMIFS('Issuance Log'!$D:$D,'Issuance Log'!$B:$B,A161,'Issuance Log'!$G:$G,$B$4),0)</f>
        <v>0</v>
      </c>
      <c r="D161" s="3">
        <f>IFERROR(COUNTIFS('Issuance Log'!$B:$B,A161,'Issuance Log'!$G:$G,$B$4),0)</f>
        <v>0</v>
      </c>
      <c r="E161" s="3" t="str">
        <f ca="1">IFERROR(INDEX('Issuance Log'!$E:$E,MATCH(MAXIFS('Issuance Log'!$D:$D,'Issuance Log'!$B:$B,A161,'Issuance Log'!$G:$G,$B$4),IF(('Issuance Log'!$B:$B=A161)*('Issuance Log'!$G:$G=$B$4),'Issuance Log'!$D:$D),0)),"-")</f>
        <v>-</v>
      </c>
    </row>
    <row r="162" spans="1:5" x14ac:dyDescent="0.25">
      <c r="A162" s="4" t="s">
        <v>312</v>
      </c>
      <c r="B162" s="4" t="s">
        <v>313</v>
      </c>
      <c r="C162" s="5">
        <f>IFERROR(SUMIFS('Issuance Log'!$D:$D,'Issuance Log'!$B:$B,A162,'Issuance Log'!$G:$G,$B$4),0)</f>
        <v>0</v>
      </c>
      <c r="D162" s="5">
        <f>IFERROR(COUNTIFS('Issuance Log'!$B:$B,A162,'Issuance Log'!$G:$G,$B$4),0)</f>
        <v>0</v>
      </c>
      <c r="E162" s="5" t="str">
        <f ca="1">IFERROR(INDEX('Issuance Log'!$E:$E,MATCH(MAXIFS('Issuance Log'!$D:$D,'Issuance Log'!$B:$B,A162,'Issuance Log'!$G:$G,$B$4),IF(('Issuance Log'!$B:$B=A162)*('Issuance Log'!$G:$G=$B$4),'Issuance Log'!$D:$D),0)),"-")</f>
        <v>-</v>
      </c>
    </row>
    <row r="163" spans="1:5" x14ac:dyDescent="0.25">
      <c r="A163" s="2" t="s">
        <v>314</v>
      </c>
      <c r="B163" s="2" t="s">
        <v>315</v>
      </c>
      <c r="C163" s="3">
        <f>IFERROR(SUMIFS('Issuance Log'!$D:$D,'Issuance Log'!$B:$B,A163,'Issuance Log'!$G:$G,$B$4),0)</f>
        <v>0</v>
      </c>
      <c r="D163" s="3">
        <f>IFERROR(COUNTIFS('Issuance Log'!$B:$B,A163,'Issuance Log'!$G:$G,$B$4),0)</f>
        <v>0</v>
      </c>
      <c r="E163" s="3" t="str">
        <f ca="1">IFERROR(INDEX('Issuance Log'!$E:$E,MATCH(MAXIFS('Issuance Log'!$D:$D,'Issuance Log'!$B:$B,A163,'Issuance Log'!$G:$G,$B$4),IF(('Issuance Log'!$B:$B=A163)*('Issuance Log'!$G:$G=$B$4),'Issuance Log'!$D:$D),0)),"-")</f>
        <v>-</v>
      </c>
    </row>
    <row r="164" spans="1:5" x14ac:dyDescent="0.25">
      <c r="A164" s="4" t="s">
        <v>316</v>
      </c>
      <c r="B164" s="4" t="s">
        <v>317</v>
      </c>
      <c r="C164" s="5">
        <f>IFERROR(SUMIFS('Issuance Log'!$D:$D,'Issuance Log'!$B:$B,A164,'Issuance Log'!$G:$G,$B$4),0)</f>
        <v>0</v>
      </c>
      <c r="D164" s="5">
        <f>IFERROR(COUNTIFS('Issuance Log'!$B:$B,A164,'Issuance Log'!$G:$G,$B$4),0)</f>
        <v>0</v>
      </c>
      <c r="E164" s="5" t="str">
        <f ca="1">IFERROR(INDEX('Issuance Log'!$E:$E,MATCH(MAXIFS('Issuance Log'!$D:$D,'Issuance Log'!$B:$B,A164,'Issuance Log'!$G:$G,$B$4),IF(('Issuance Log'!$B:$B=A164)*('Issuance Log'!$G:$G=$B$4),'Issuance Log'!$D:$D),0)),"-")</f>
        <v>-</v>
      </c>
    </row>
    <row r="165" spans="1:5" x14ac:dyDescent="0.25">
      <c r="A165" s="2" t="s">
        <v>318</v>
      </c>
      <c r="B165" s="2" t="s">
        <v>319</v>
      </c>
      <c r="C165" s="3">
        <f>IFERROR(SUMIFS('Issuance Log'!$D:$D,'Issuance Log'!$B:$B,A165,'Issuance Log'!$G:$G,$B$4),0)</f>
        <v>0</v>
      </c>
      <c r="D165" s="3">
        <f>IFERROR(COUNTIFS('Issuance Log'!$B:$B,A165,'Issuance Log'!$G:$G,$B$4),0)</f>
        <v>0</v>
      </c>
      <c r="E165" s="3" t="str">
        <f ca="1">IFERROR(INDEX('Issuance Log'!$E:$E,MATCH(MAXIFS('Issuance Log'!$D:$D,'Issuance Log'!$B:$B,A165,'Issuance Log'!$G:$G,$B$4),IF(('Issuance Log'!$B:$B=A165)*('Issuance Log'!$G:$G=$B$4),'Issuance Log'!$D:$D),0)),"-")</f>
        <v>-</v>
      </c>
    </row>
    <row r="166" spans="1:5" x14ac:dyDescent="0.25">
      <c r="A166" s="4" t="s">
        <v>320</v>
      </c>
      <c r="B166" s="4" t="s">
        <v>321</v>
      </c>
      <c r="C166" s="5">
        <f>IFERROR(SUMIFS('Issuance Log'!$D:$D,'Issuance Log'!$B:$B,A166,'Issuance Log'!$G:$G,$B$4),0)</f>
        <v>0</v>
      </c>
      <c r="D166" s="5">
        <f>IFERROR(COUNTIFS('Issuance Log'!$B:$B,A166,'Issuance Log'!$G:$G,$B$4),0)</f>
        <v>0</v>
      </c>
      <c r="E166" s="5" t="str">
        <f ca="1">IFERROR(INDEX('Issuance Log'!$E:$E,MATCH(MAXIFS('Issuance Log'!$D:$D,'Issuance Log'!$B:$B,A166,'Issuance Log'!$G:$G,$B$4),IF(('Issuance Log'!$B:$B=A166)*('Issuance Log'!$G:$G=$B$4),'Issuance Log'!$D:$D),0)),"-")</f>
        <v>-</v>
      </c>
    </row>
    <row r="167" spans="1:5" x14ac:dyDescent="0.25">
      <c r="A167" s="2" t="s">
        <v>322</v>
      </c>
      <c r="B167" s="2" t="s">
        <v>323</v>
      </c>
      <c r="C167" s="3">
        <f>IFERROR(SUMIFS('Issuance Log'!$D:$D,'Issuance Log'!$B:$B,A167,'Issuance Log'!$G:$G,$B$4),0)</f>
        <v>0</v>
      </c>
      <c r="D167" s="3">
        <f>IFERROR(COUNTIFS('Issuance Log'!$B:$B,A167,'Issuance Log'!$G:$G,$B$4),0)</f>
        <v>0</v>
      </c>
      <c r="E167" s="3" t="str">
        <f ca="1">IFERROR(INDEX('Issuance Log'!$E:$E,MATCH(MAXIFS('Issuance Log'!$D:$D,'Issuance Log'!$B:$B,A167,'Issuance Log'!$G:$G,$B$4),IF(('Issuance Log'!$B:$B=A167)*('Issuance Log'!$G:$G=$B$4),'Issuance Log'!$D:$D),0)),"-")</f>
        <v>-</v>
      </c>
    </row>
    <row r="168" spans="1:5" x14ac:dyDescent="0.25">
      <c r="A168" s="4" t="s">
        <v>324</v>
      </c>
      <c r="B168" s="4" t="s">
        <v>325</v>
      </c>
      <c r="C168" s="5">
        <f>IFERROR(SUMIFS('Issuance Log'!$D:$D,'Issuance Log'!$B:$B,A168,'Issuance Log'!$G:$G,$B$4),0)</f>
        <v>0</v>
      </c>
      <c r="D168" s="5">
        <f>IFERROR(COUNTIFS('Issuance Log'!$B:$B,A168,'Issuance Log'!$G:$G,$B$4),0)</f>
        <v>0</v>
      </c>
      <c r="E168" s="5" t="str">
        <f ca="1">IFERROR(INDEX('Issuance Log'!$E:$E,MATCH(MAXIFS('Issuance Log'!$D:$D,'Issuance Log'!$B:$B,A168,'Issuance Log'!$G:$G,$B$4),IF(('Issuance Log'!$B:$B=A168)*('Issuance Log'!$G:$G=$B$4),'Issuance Log'!$D:$D),0)),"-")</f>
        <v>-</v>
      </c>
    </row>
    <row r="169" spans="1:5" x14ac:dyDescent="0.25">
      <c r="A169" s="2" t="s">
        <v>326</v>
      </c>
      <c r="B169" s="2" t="s">
        <v>327</v>
      </c>
      <c r="C169" s="3">
        <f>IFERROR(SUMIFS('Issuance Log'!$D:$D,'Issuance Log'!$B:$B,A169,'Issuance Log'!$G:$G,$B$4),0)</f>
        <v>0</v>
      </c>
      <c r="D169" s="3">
        <f>IFERROR(COUNTIFS('Issuance Log'!$B:$B,A169,'Issuance Log'!$G:$G,$B$4),0)</f>
        <v>0</v>
      </c>
      <c r="E169" s="3" t="str">
        <f ca="1">IFERROR(INDEX('Issuance Log'!$E:$E,MATCH(MAXIFS('Issuance Log'!$D:$D,'Issuance Log'!$B:$B,A169,'Issuance Log'!$G:$G,$B$4),IF(('Issuance Log'!$B:$B=A169)*('Issuance Log'!$G:$G=$B$4),'Issuance Log'!$D:$D),0)),"-")</f>
        <v>-</v>
      </c>
    </row>
    <row r="170" spans="1:5" x14ac:dyDescent="0.25">
      <c r="A170" s="4" t="s">
        <v>328</v>
      </c>
      <c r="B170" s="4" t="s">
        <v>329</v>
      </c>
      <c r="C170" s="5">
        <f>IFERROR(SUMIFS('Issuance Log'!$D:$D,'Issuance Log'!$B:$B,A170,'Issuance Log'!$G:$G,$B$4),0)</f>
        <v>0</v>
      </c>
      <c r="D170" s="5">
        <f>IFERROR(COUNTIFS('Issuance Log'!$B:$B,A170,'Issuance Log'!$G:$G,$B$4),0)</f>
        <v>0</v>
      </c>
      <c r="E170" s="5" t="str">
        <f ca="1">IFERROR(INDEX('Issuance Log'!$E:$E,MATCH(MAXIFS('Issuance Log'!$D:$D,'Issuance Log'!$B:$B,A170,'Issuance Log'!$G:$G,$B$4),IF(('Issuance Log'!$B:$B=A170)*('Issuance Log'!$G:$G=$B$4),'Issuance Log'!$D:$D),0)),"-")</f>
        <v>-</v>
      </c>
    </row>
    <row r="171" spans="1:5" x14ac:dyDescent="0.25">
      <c r="A171" s="2" t="s">
        <v>330</v>
      </c>
      <c r="B171" s="2" t="s">
        <v>331</v>
      </c>
      <c r="C171" s="3">
        <f>IFERROR(SUMIFS('Issuance Log'!$D:$D,'Issuance Log'!$B:$B,A171,'Issuance Log'!$G:$G,$B$4),0)</f>
        <v>0</v>
      </c>
      <c r="D171" s="3">
        <f>IFERROR(COUNTIFS('Issuance Log'!$B:$B,A171,'Issuance Log'!$G:$G,$B$4),0)</f>
        <v>0</v>
      </c>
      <c r="E171" s="3" t="str">
        <f ca="1">IFERROR(INDEX('Issuance Log'!$E:$E,MATCH(MAXIFS('Issuance Log'!$D:$D,'Issuance Log'!$B:$B,A171,'Issuance Log'!$G:$G,$B$4),IF(('Issuance Log'!$B:$B=A171)*('Issuance Log'!$G:$G=$B$4),'Issuance Log'!$D:$D),0)),"-")</f>
        <v>-</v>
      </c>
    </row>
    <row r="172" spans="1:5" x14ac:dyDescent="0.25">
      <c r="A172" s="4" t="s">
        <v>332</v>
      </c>
      <c r="B172" s="4" t="s">
        <v>333</v>
      </c>
      <c r="C172" s="5">
        <f>IFERROR(SUMIFS('Issuance Log'!$D:$D,'Issuance Log'!$B:$B,A172,'Issuance Log'!$G:$G,$B$4),0)</f>
        <v>0</v>
      </c>
      <c r="D172" s="5">
        <f>IFERROR(COUNTIFS('Issuance Log'!$B:$B,A172,'Issuance Log'!$G:$G,$B$4),0)</f>
        <v>0</v>
      </c>
      <c r="E172" s="5" t="str">
        <f ca="1">IFERROR(INDEX('Issuance Log'!$E:$E,MATCH(MAXIFS('Issuance Log'!$D:$D,'Issuance Log'!$B:$B,A172,'Issuance Log'!$G:$G,$B$4),IF(('Issuance Log'!$B:$B=A172)*('Issuance Log'!$G:$G=$B$4),'Issuance Log'!$D:$D),0)),"-")</f>
        <v>-</v>
      </c>
    </row>
    <row r="173" spans="1:5" x14ac:dyDescent="0.25">
      <c r="A173" s="2" t="s">
        <v>334</v>
      </c>
      <c r="B173" s="2" t="s">
        <v>335</v>
      </c>
      <c r="C173" s="3">
        <f>IFERROR(SUMIFS('Issuance Log'!$D:$D,'Issuance Log'!$B:$B,A173,'Issuance Log'!$G:$G,$B$4),0)</f>
        <v>0</v>
      </c>
      <c r="D173" s="3">
        <f>IFERROR(COUNTIFS('Issuance Log'!$B:$B,A173,'Issuance Log'!$G:$G,$B$4),0)</f>
        <v>0</v>
      </c>
      <c r="E173" s="3" t="str">
        <f ca="1">IFERROR(INDEX('Issuance Log'!$E:$E,MATCH(MAXIFS('Issuance Log'!$D:$D,'Issuance Log'!$B:$B,A173,'Issuance Log'!$G:$G,$B$4),IF(('Issuance Log'!$B:$B=A173)*('Issuance Log'!$G:$G=$B$4),'Issuance Log'!$D:$D),0)),"-")</f>
        <v>-</v>
      </c>
    </row>
    <row r="174" spans="1:5" x14ac:dyDescent="0.25">
      <c r="A174" s="4" t="s">
        <v>336</v>
      </c>
      <c r="B174" s="4" t="s">
        <v>337</v>
      </c>
      <c r="C174" s="5">
        <f>IFERROR(SUMIFS('Issuance Log'!$D:$D,'Issuance Log'!$B:$B,A174,'Issuance Log'!$G:$G,$B$4),0)</f>
        <v>0</v>
      </c>
      <c r="D174" s="5">
        <f>IFERROR(COUNTIFS('Issuance Log'!$B:$B,A174,'Issuance Log'!$G:$G,$B$4),0)</f>
        <v>0</v>
      </c>
      <c r="E174" s="5" t="str">
        <f ca="1">IFERROR(INDEX('Issuance Log'!$E:$E,MATCH(MAXIFS('Issuance Log'!$D:$D,'Issuance Log'!$B:$B,A174,'Issuance Log'!$G:$G,$B$4),IF(('Issuance Log'!$B:$B=A174)*('Issuance Log'!$G:$G=$B$4),'Issuance Log'!$D:$D),0)),"-")</f>
        <v>-</v>
      </c>
    </row>
    <row r="175" spans="1:5" x14ac:dyDescent="0.25">
      <c r="A175" s="2" t="s">
        <v>338</v>
      </c>
      <c r="B175" s="2" t="s">
        <v>339</v>
      </c>
      <c r="C175" s="3">
        <f>IFERROR(SUMIFS('Issuance Log'!$D:$D,'Issuance Log'!$B:$B,A175,'Issuance Log'!$G:$G,$B$4),0)</f>
        <v>0</v>
      </c>
      <c r="D175" s="3">
        <f>IFERROR(COUNTIFS('Issuance Log'!$B:$B,A175,'Issuance Log'!$G:$G,$B$4),0)</f>
        <v>0</v>
      </c>
      <c r="E175" s="3" t="str">
        <f ca="1">IFERROR(INDEX('Issuance Log'!$E:$E,MATCH(MAXIFS('Issuance Log'!$D:$D,'Issuance Log'!$B:$B,A175,'Issuance Log'!$G:$G,$B$4),IF(('Issuance Log'!$B:$B=A175)*('Issuance Log'!$G:$G=$B$4),'Issuance Log'!$D:$D),0)),"-")</f>
        <v>-</v>
      </c>
    </row>
    <row r="176" spans="1:5" x14ac:dyDescent="0.25">
      <c r="A176" s="4" t="s">
        <v>340</v>
      </c>
      <c r="B176" s="4" t="s">
        <v>341</v>
      </c>
      <c r="C176" s="5">
        <f>IFERROR(SUMIFS('Issuance Log'!$D:$D,'Issuance Log'!$B:$B,A176,'Issuance Log'!$G:$G,$B$4),0)</f>
        <v>0</v>
      </c>
      <c r="D176" s="5">
        <f>IFERROR(COUNTIFS('Issuance Log'!$B:$B,A176,'Issuance Log'!$G:$G,$B$4),0)</f>
        <v>0</v>
      </c>
      <c r="E176" s="5" t="str">
        <f ca="1">IFERROR(INDEX('Issuance Log'!$E:$E,MATCH(MAXIFS('Issuance Log'!$D:$D,'Issuance Log'!$B:$B,A176,'Issuance Log'!$G:$G,$B$4),IF(('Issuance Log'!$B:$B=A176)*('Issuance Log'!$G:$G=$B$4),'Issuance Log'!$D:$D),0)),"-")</f>
        <v>-</v>
      </c>
    </row>
    <row r="177" spans="1:5" x14ac:dyDescent="0.25">
      <c r="A177" s="2" t="s">
        <v>342</v>
      </c>
      <c r="B177" s="2" t="s">
        <v>343</v>
      </c>
      <c r="C177" s="3">
        <f>IFERROR(SUMIFS('Issuance Log'!$D:$D,'Issuance Log'!$B:$B,A177,'Issuance Log'!$G:$G,$B$4),0)</f>
        <v>0</v>
      </c>
      <c r="D177" s="3">
        <f>IFERROR(COUNTIFS('Issuance Log'!$B:$B,A177,'Issuance Log'!$G:$G,$B$4),0)</f>
        <v>0</v>
      </c>
      <c r="E177" s="3" t="str">
        <f ca="1">IFERROR(INDEX('Issuance Log'!$E:$E,MATCH(MAXIFS('Issuance Log'!$D:$D,'Issuance Log'!$B:$B,A177,'Issuance Log'!$G:$G,$B$4),IF(('Issuance Log'!$B:$B=A177)*('Issuance Log'!$G:$G=$B$4),'Issuance Log'!$D:$D),0)),"-")</f>
        <v>-</v>
      </c>
    </row>
    <row r="178" spans="1:5" x14ac:dyDescent="0.25">
      <c r="A178" s="4" t="s">
        <v>344</v>
      </c>
      <c r="B178" s="4" t="s">
        <v>345</v>
      </c>
      <c r="C178" s="5">
        <f>IFERROR(SUMIFS('Issuance Log'!$D:$D,'Issuance Log'!$B:$B,A178,'Issuance Log'!$G:$G,$B$4),0)</f>
        <v>0</v>
      </c>
      <c r="D178" s="5">
        <f>IFERROR(COUNTIFS('Issuance Log'!$B:$B,A178,'Issuance Log'!$G:$G,$B$4),0)</f>
        <v>0</v>
      </c>
      <c r="E178" s="5" t="str">
        <f ca="1">IFERROR(INDEX('Issuance Log'!$E:$E,MATCH(MAXIFS('Issuance Log'!$D:$D,'Issuance Log'!$B:$B,A178,'Issuance Log'!$G:$G,$B$4),IF(('Issuance Log'!$B:$B=A178)*('Issuance Log'!$G:$G=$B$4),'Issuance Log'!$D:$D),0)),"-")</f>
        <v>-</v>
      </c>
    </row>
    <row r="179" spans="1:5" x14ac:dyDescent="0.25">
      <c r="A179" s="2" t="s">
        <v>346</v>
      </c>
      <c r="B179" s="2" t="s">
        <v>347</v>
      </c>
      <c r="C179" s="3">
        <f>IFERROR(SUMIFS('Issuance Log'!$D:$D,'Issuance Log'!$B:$B,A179,'Issuance Log'!$G:$G,$B$4),0)</f>
        <v>0</v>
      </c>
      <c r="D179" s="3">
        <f>IFERROR(COUNTIFS('Issuance Log'!$B:$B,A179,'Issuance Log'!$G:$G,$B$4),0)</f>
        <v>0</v>
      </c>
      <c r="E179" s="3" t="str">
        <f ca="1">IFERROR(INDEX('Issuance Log'!$E:$E,MATCH(MAXIFS('Issuance Log'!$D:$D,'Issuance Log'!$B:$B,A179,'Issuance Log'!$G:$G,$B$4),IF(('Issuance Log'!$B:$B=A179)*('Issuance Log'!$G:$G=$B$4),'Issuance Log'!$D:$D),0)),"-")</f>
        <v>-</v>
      </c>
    </row>
    <row r="180" spans="1:5" x14ac:dyDescent="0.25">
      <c r="A180" s="4" t="s">
        <v>348</v>
      </c>
      <c r="B180" s="4" t="s">
        <v>349</v>
      </c>
      <c r="C180" s="5">
        <f>IFERROR(SUMIFS('Issuance Log'!$D:$D,'Issuance Log'!$B:$B,A180,'Issuance Log'!$G:$G,$B$4),0)</f>
        <v>0</v>
      </c>
      <c r="D180" s="5">
        <f>IFERROR(COUNTIFS('Issuance Log'!$B:$B,A180,'Issuance Log'!$G:$G,$B$4),0)</f>
        <v>0</v>
      </c>
      <c r="E180" s="5" t="str">
        <f ca="1">IFERROR(INDEX('Issuance Log'!$E:$E,MATCH(MAXIFS('Issuance Log'!$D:$D,'Issuance Log'!$B:$B,A180,'Issuance Log'!$G:$G,$B$4),IF(('Issuance Log'!$B:$B=A180)*('Issuance Log'!$G:$G=$B$4),'Issuance Log'!$D:$D),0)),"-")</f>
        <v>-</v>
      </c>
    </row>
    <row r="181" spans="1:5" x14ac:dyDescent="0.25">
      <c r="A181" s="2" t="s">
        <v>350</v>
      </c>
      <c r="B181" s="2" t="s">
        <v>351</v>
      </c>
      <c r="C181" s="3">
        <f>IFERROR(SUMIFS('Issuance Log'!$D:$D,'Issuance Log'!$B:$B,A181,'Issuance Log'!$G:$G,$B$4),0)</f>
        <v>0</v>
      </c>
      <c r="D181" s="3">
        <f>IFERROR(COUNTIFS('Issuance Log'!$B:$B,A181,'Issuance Log'!$G:$G,$B$4),0)</f>
        <v>0</v>
      </c>
      <c r="E181" s="3" t="str">
        <f ca="1">IFERROR(INDEX('Issuance Log'!$E:$E,MATCH(MAXIFS('Issuance Log'!$D:$D,'Issuance Log'!$B:$B,A181,'Issuance Log'!$G:$G,$B$4),IF(('Issuance Log'!$B:$B=A181)*('Issuance Log'!$G:$G=$B$4),'Issuance Log'!$D:$D),0)),"-")</f>
        <v>-</v>
      </c>
    </row>
    <row r="182" spans="1:5" x14ac:dyDescent="0.25">
      <c r="A182" s="4" t="s">
        <v>352</v>
      </c>
      <c r="B182" s="4" t="s">
        <v>353</v>
      </c>
      <c r="C182" s="5">
        <f>IFERROR(SUMIFS('Issuance Log'!$D:$D,'Issuance Log'!$B:$B,A182,'Issuance Log'!$G:$G,$B$4),0)</f>
        <v>0</v>
      </c>
      <c r="D182" s="5">
        <f>IFERROR(COUNTIFS('Issuance Log'!$B:$B,A182,'Issuance Log'!$G:$G,$B$4),0)</f>
        <v>0</v>
      </c>
      <c r="E182" s="5" t="str">
        <f ca="1">IFERROR(INDEX('Issuance Log'!$E:$E,MATCH(MAXIFS('Issuance Log'!$D:$D,'Issuance Log'!$B:$B,A182,'Issuance Log'!$G:$G,$B$4),IF(('Issuance Log'!$B:$B=A182)*('Issuance Log'!$G:$G=$B$4),'Issuance Log'!$D:$D),0)),"-")</f>
        <v>-</v>
      </c>
    </row>
    <row r="183" spans="1:5" x14ac:dyDescent="0.25">
      <c r="A183" s="2" t="s">
        <v>354</v>
      </c>
      <c r="B183" s="2" t="s">
        <v>355</v>
      </c>
      <c r="C183" s="3">
        <f>IFERROR(SUMIFS('Issuance Log'!$D:$D,'Issuance Log'!$B:$B,A183,'Issuance Log'!$G:$G,$B$4),0)</f>
        <v>0</v>
      </c>
      <c r="D183" s="3">
        <f>IFERROR(COUNTIFS('Issuance Log'!$B:$B,A183,'Issuance Log'!$G:$G,$B$4),0)</f>
        <v>0</v>
      </c>
      <c r="E183" s="3" t="str">
        <f ca="1">IFERROR(INDEX('Issuance Log'!$E:$E,MATCH(MAXIFS('Issuance Log'!$D:$D,'Issuance Log'!$B:$B,A183,'Issuance Log'!$G:$G,$B$4),IF(('Issuance Log'!$B:$B=A183)*('Issuance Log'!$G:$G=$B$4),'Issuance Log'!$D:$D),0)),"-")</f>
        <v>-</v>
      </c>
    </row>
    <row r="184" spans="1:5" x14ac:dyDescent="0.25">
      <c r="A184" s="4" t="s">
        <v>356</v>
      </c>
      <c r="B184" s="4" t="s">
        <v>357</v>
      </c>
      <c r="C184" s="5">
        <f>IFERROR(SUMIFS('Issuance Log'!$D:$D,'Issuance Log'!$B:$B,A184,'Issuance Log'!$G:$G,$B$4),0)</f>
        <v>0</v>
      </c>
      <c r="D184" s="5">
        <f>IFERROR(COUNTIFS('Issuance Log'!$B:$B,A184,'Issuance Log'!$G:$G,$B$4),0)</f>
        <v>0</v>
      </c>
      <c r="E184" s="5" t="str">
        <f ca="1">IFERROR(INDEX('Issuance Log'!$E:$E,MATCH(MAXIFS('Issuance Log'!$D:$D,'Issuance Log'!$B:$B,A184,'Issuance Log'!$G:$G,$B$4),IF(('Issuance Log'!$B:$B=A184)*('Issuance Log'!$G:$G=$B$4),'Issuance Log'!$D:$D),0)),"-")</f>
        <v>-</v>
      </c>
    </row>
    <row r="185" spans="1:5" x14ac:dyDescent="0.25">
      <c r="A185" s="2" t="s">
        <v>358</v>
      </c>
      <c r="B185" s="2" t="s">
        <v>359</v>
      </c>
      <c r="C185" s="3">
        <f>IFERROR(SUMIFS('Issuance Log'!$D:$D,'Issuance Log'!$B:$B,A185,'Issuance Log'!$G:$G,$B$4),0)</f>
        <v>0</v>
      </c>
      <c r="D185" s="3">
        <f>IFERROR(COUNTIFS('Issuance Log'!$B:$B,A185,'Issuance Log'!$G:$G,$B$4),0)</f>
        <v>0</v>
      </c>
      <c r="E185" s="3" t="str">
        <f ca="1">IFERROR(INDEX('Issuance Log'!$E:$E,MATCH(MAXIFS('Issuance Log'!$D:$D,'Issuance Log'!$B:$B,A185,'Issuance Log'!$G:$G,$B$4),IF(('Issuance Log'!$B:$B=A185)*('Issuance Log'!$G:$G=$B$4),'Issuance Log'!$D:$D),0)),"-")</f>
        <v>-</v>
      </c>
    </row>
    <row r="186" spans="1:5" x14ac:dyDescent="0.25">
      <c r="A186" s="4" t="s">
        <v>360</v>
      </c>
      <c r="B186" s="4" t="s">
        <v>361</v>
      </c>
      <c r="C186" s="5">
        <f>IFERROR(SUMIFS('Issuance Log'!$D:$D,'Issuance Log'!$B:$B,A186,'Issuance Log'!$G:$G,$B$4),0)</f>
        <v>0</v>
      </c>
      <c r="D186" s="5">
        <f>IFERROR(COUNTIFS('Issuance Log'!$B:$B,A186,'Issuance Log'!$G:$G,$B$4),0)</f>
        <v>0</v>
      </c>
      <c r="E186" s="5" t="str">
        <f ca="1">IFERROR(INDEX('Issuance Log'!$E:$E,MATCH(MAXIFS('Issuance Log'!$D:$D,'Issuance Log'!$B:$B,A186,'Issuance Log'!$G:$G,$B$4),IF(('Issuance Log'!$B:$B=A186)*('Issuance Log'!$G:$G=$B$4),'Issuance Log'!$D:$D),0)),"-")</f>
        <v>-</v>
      </c>
    </row>
    <row r="187" spans="1:5" x14ac:dyDescent="0.25">
      <c r="A187" s="2" t="s">
        <v>362</v>
      </c>
      <c r="B187" s="2" t="s">
        <v>363</v>
      </c>
      <c r="C187" s="3">
        <f>IFERROR(SUMIFS('Issuance Log'!$D:$D,'Issuance Log'!$B:$B,A187,'Issuance Log'!$G:$G,$B$4),0)</f>
        <v>0</v>
      </c>
      <c r="D187" s="3">
        <f>IFERROR(COUNTIFS('Issuance Log'!$B:$B,A187,'Issuance Log'!$G:$G,$B$4),0)</f>
        <v>0</v>
      </c>
      <c r="E187" s="3" t="str">
        <f ca="1">IFERROR(INDEX('Issuance Log'!$E:$E,MATCH(MAXIFS('Issuance Log'!$D:$D,'Issuance Log'!$B:$B,A187,'Issuance Log'!$G:$G,$B$4),IF(('Issuance Log'!$B:$B=A187)*('Issuance Log'!$G:$G=$B$4),'Issuance Log'!$D:$D),0)),"-")</f>
        <v>-</v>
      </c>
    </row>
    <row r="188" spans="1:5" x14ac:dyDescent="0.25">
      <c r="A188" s="4" t="s">
        <v>364</v>
      </c>
      <c r="B188" s="4" t="s">
        <v>365</v>
      </c>
      <c r="C188" s="5">
        <f>IFERROR(SUMIFS('Issuance Log'!$D:$D,'Issuance Log'!$B:$B,A188,'Issuance Log'!$G:$G,$B$4),0)</f>
        <v>0</v>
      </c>
      <c r="D188" s="5">
        <f>IFERROR(COUNTIFS('Issuance Log'!$B:$B,A188,'Issuance Log'!$G:$G,$B$4),0)</f>
        <v>0</v>
      </c>
      <c r="E188" s="5" t="str">
        <f ca="1">IFERROR(INDEX('Issuance Log'!$E:$E,MATCH(MAXIFS('Issuance Log'!$D:$D,'Issuance Log'!$B:$B,A188,'Issuance Log'!$G:$G,$B$4),IF(('Issuance Log'!$B:$B=A188)*('Issuance Log'!$G:$G=$B$4),'Issuance Log'!$D:$D),0)),"-")</f>
        <v>-</v>
      </c>
    </row>
    <row r="189" spans="1:5" x14ac:dyDescent="0.25">
      <c r="A189" s="2" t="s">
        <v>366</v>
      </c>
      <c r="B189" s="2" t="s">
        <v>367</v>
      </c>
      <c r="C189" s="3">
        <f>IFERROR(SUMIFS('Issuance Log'!$D:$D,'Issuance Log'!$B:$B,A189,'Issuance Log'!$G:$G,$B$4),0)</f>
        <v>0</v>
      </c>
      <c r="D189" s="3">
        <f>IFERROR(COUNTIFS('Issuance Log'!$B:$B,A189,'Issuance Log'!$G:$G,$B$4),0)</f>
        <v>0</v>
      </c>
      <c r="E189" s="3" t="str">
        <f ca="1">IFERROR(INDEX('Issuance Log'!$E:$E,MATCH(MAXIFS('Issuance Log'!$D:$D,'Issuance Log'!$B:$B,A189,'Issuance Log'!$G:$G,$B$4),IF(('Issuance Log'!$B:$B=A189)*('Issuance Log'!$G:$G=$B$4),'Issuance Log'!$D:$D),0)),"-")</f>
        <v>-</v>
      </c>
    </row>
    <row r="190" spans="1:5" x14ac:dyDescent="0.25">
      <c r="A190" s="4" t="s">
        <v>368</v>
      </c>
      <c r="B190" s="4" t="s">
        <v>369</v>
      </c>
      <c r="C190" s="5">
        <f>IFERROR(SUMIFS('Issuance Log'!$D:$D,'Issuance Log'!$B:$B,A190,'Issuance Log'!$G:$G,$B$4),0)</f>
        <v>0</v>
      </c>
      <c r="D190" s="5">
        <f>IFERROR(COUNTIFS('Issuance Log'!$B:$B,A190,'Issuance Log'!$G:$G,$B$4),0)</f>
        <v>0</v>
      </c>
      <c r="E190" s="5" t="str">
        <f ca="1">IFERROR(INDEX('Issuance Log'!$E:$E,MATCH(MAXIFS('Issuance Log'!$D:$D,'Issuance Log'!$B:$B,A190,'Issuance Log'!$G:$G,$B$4),IF(('Issuance Log'!$B:$B=A190)*('Issuance Log'!$G:$G=$B$4),'Issuance Log'!$D:$D),0)),"-")</f>
        <v>-</v>
      </c>
    </row>
    <row r="191" spans="1:5" x14ac:dyDescent="0.25">
      <c r="A191" s="2" t="s">
        <v>370</v>
      </c>
      <c r="B191" s="2" t="s">
        <v>371</v>
      </c>
      <c r="C191" s="3">
        <f>IFERROR(SUMIFS('Issuance Log'!$D:$D,'Issuance Log'!$B:$B,A191,'Issuance Log'!$G:$G,$B$4),0)</f>
        <v>0</v>
      </c>
      <c r="D191" s="3">
        <f>IFERROR(COUNTIFS('Issuance Log'!$B:$B,A191,'Issuance Log'!$G:$G,$B$4),0)</f>
        <v>0</v>
      </c>
      <c r="E191" s="3" t="str">
        <f ca="1">IFERROR(INDEX('Issuance Log'!$E:$E,MATCH(MAXIFS('Issuance Log'!$D:$D,'Issuance Log'!$B:$B,A191,'Issuance Log'!$G:$G,$B$4),IF(('Issuance Log'!$B:$B=A191)*('Issuance Log'!$G:$G=$B$4),'Issuance Log'!$D:$D),0)),"-")</f>
        <v>-</v>
      </c>
    </row>
    <row r="192" spans="1:5" x14ac:dyDescent="0.25">
      <c r="A192" s="4" t="s">
        <v>372</v>
      </c>
      <c r="B192" s="4" t="s">
        <v>373</v>
      </c>
      <c r="C192" s="5">
        <f>IFERROR(SUMIFS('Issuance Log'!$D:$D,'Issuance Log'!$B:$B,A192,'Issuance Log'!$G:$G,$B$4),0)</f>
        <v>0</v>
      </c>
      <c r="D192" s="5">
        <f>IFERROR(COUNTIFS('Issuance Log'!$B:$B,A192,'Issuance Log'!$G:$G,$B$4),0)</f>
        <v>0</v>
      </c>
      <c r="E192" s="5" t="str">
        <f ca="1">IFERROR(INDEX('Issuance Log'!$E:$E,MATCH(MAXIFS('Issuance Log'!$D:$D,'Issuance Log'!$B:$B,A192,'Issuance Log'!$G:$G,$B$4),IF(('Issuance Log'!$B:$B=A192)*('Issuance Log'!$G:$G=$B$4),'Issuance Log'!$D:$D),0)),"-")</f>
        <v>-</v>
      </c>
    </row>
    <row r="193" spans="1:5" x14ac:dyDescent="0.25">
      <c r="A193" s="2" t="s">
        <v>374</v>
      </c>
      <c r="B193" s="2" t="s">
        <v>375</v>
      </c>
      <c r="C193" s="3">
        <f>IFERROR(SUMIFS('Issuance Log'!$D:$D,'Issuance Log'!$B:$B,A193,'Issuance Log'!$G:$G,$B$4),0)</f>
        <v>0</v>
      </c>
      <c r="D193" s="3">
        <f>IFERROR(COUNTIFS('Issuance Log'!$B:$B,A193,'Issuance Log'!$G:$G,$B$4),0)</f>
        <v>0</v>
      </c>
      <c r="E193" s="3" t="str">
        <f ca="1">IFERROR(INDEX('Issuance Log'!$E:$E,MATCH(MAXIFS('Issuance Log'!$D:$D,'Issuance Log'!$B:$B,A193,'Issuance Log'!$G:$G,$B$4),IF(('Issuance Log'!$B:$B=A193)*('Issuance Log'!$G:$G=$B$4),'Issuance Log'!$D:$D),0)),"-")</f>
        <v>-</v>
      </c>
    </row>
    <row r="194" spans="1:5" x14ac:dyDescent="0.25">
      <c r="A194" s="4" t="s">
        <v>376</v>
      </c>
      <c r="B194" s="4" t="s">
        <v>377</v>
      </c>
      <c r="C194" s="5">
        <f>IFERROR(SUMIFS('Issuance Log'!$D:$D,'Issuance Log'!$B:$B,A194,'Issuance Log'!$G:$G,$B$4),0)</f>
        <v>0</v>
      </c>
      <c r="D194" s="5">
        <f>IFERROR(COUNTIFS('Issuance Log'!$B:$B,A194,'Issuance Log'!$G:$G,$B$4),0)</f>
        <v>0</v>
      </c>
      <c r="E194" s="5" t="str">
        <f ca="1">IFERROR(INDEX('Issuance Log'!$E:$E,MATCH(MAXIFS('Issuance Log'!$D:$D,'Issuance Log'!$B:$B,A194,'Issuance Log'!$G:$G,$B$4),IF(('Issuance Log'!$B:$B=A194)*('Issuance Log'!$G:$G=$B$4),'Issuance Log'!$D:$D),0)),"-")</f>
        <v>-</v>
      </c>
    </row>
    <row r="195" spans="1:5" x14ac:dyDescent="0.25">
      <c r="A195" s="2" t="s">
        <v>378</v>
      </c>
      <c r="B195" s="2" t="s">
        <v>379</v>
      </c>
      <c r="C195" s="3">
        <f>IFERROR(SUMIFS('Issuance Log'!$D:$D,'Issuance Log'!$B:$B,A195,'Issuance Log'!$G:$G,$B$4),0)</f>
        <v>0</v>
      </c>
      <c r="D195" s="3">
        <f>IFERROR(COUNTIFS('Issuance Log'!$B:$B,A195,'Issuance Log'!$G:$G,$B$4),0)</f>
        <v>0</v>
      </c>
      <c r="E195" s="3" t="str">
        <f ca="1">IFERROR(INDEX('Issuance Log'!$E:$E,MATCH(MAXIFS('Issuance Log'!$D:$D,'Issuance Log'!$B:$B,A195,'Issuance Log'!$G:$G,$B$4),IF(('Issuance Log'!$B:$B=A195)*('Issuance Log'!$G:$G=$B$4),'Issuance Log'!$D:$D),0)),"-")</f>
        <v>-</v>
      </c>
    </row>
    <row r="196" spans="1:5" x14ac:dyDescent="0.25">
      <c r="A196" s="4" t="s">
        <v>380</v>
      </c>
      <c r="B196" s="4" t="s">
        <v>381</v>
      </c>
      <c r="C196" s="5">
        <f>IFERROR(SUMIFS('Issuance Log'!$D:$D,'Issuance Log'!$B:$B,A196,'Issuance Log'!$G:$G,$B$4),0)</f>
        <v>0</v>
      </c>
      <c r="D196" s="5">
        <f>IFERROR(COUNTIFS('Issuance Log'!$B:$B,A196,'Issuance Log'!$G:$G,$B$4),0)</f>
        <v>0</v>
      </c>
      <c r="E196" s="5" t="str">
        <f ca="1">IFERROR(INDEX('Issuance Log'!$E:$E,MATCH(MAXIFS('Issuance Log'!$D:$D,'Issuance Log'!$B:$B,A196,'Issuance Log'!$G:$G,$B$4),IF(('Issuance Log'!$B:$B=A196)*('Issuance Log'!$G:$G=$B$4),'Issuance Log'!$D:$D),0)),"-")</f>
        <v>-</v>
      </c>
    </row>
    <row r="197" spans="1:5" x14ac:dyDescent="0.25">
      <c r="A197" s="2" t="s">
        <v>382</v>
      </c>
      <c r="B197" s="2" t="s">
        <v>383</v>
      </c>
      <c r="C197" s="3">
        <f>IFERROR(SUMIFS('Issuance Log'!$D:$D,'Issuance Log'!$B:$B,A197,'Issuance Log'!$G:$G,$B$4),0)</f>
        <v>0</v>
      </c>
      <c r="D197" s="3">
        <f>IFERROR(COUNTIFS('Issuance Log'!$B:$B,A197,'Issuance Log'!$G:$G,$B$4),0)</f>
        <v>0</v>
      </c>
      <c r="E197" s="3" t="str">
        <f ca="1">IFERROR(INDEX('Issuance Log'!$E:$E,MATCH(MAXIFS('Issuance Log'!$D:$D,'Issuance Log'!$B:$B,A197,'Issuance Log'!$G:$G,$B$4),IF(('Issuance Log'!$B:$B=A197)*('Issuance Log'!$G:$G=$B$4),'Issuance Log'!$D:$D),0)),"-")</f>
        <v>-</v>
      </c>
    </row>
    <row r="198" spans="1:5" x14ac:dyDescent="0.25">
      <c r="A198" s="4" t="s">
        <v>384</v>
      </c>
      <c r="B198" s="4" t="s">
        <v>385</v>
      </c>
      <c r="C198" s="5">
        <f>IFERROR(SUMIFS('Issuance Log'!$D:$D,'Issuance Log'!$B:$B,A198,'Issuance Log'!$G:$G,$B$4),0)</f>
        <v>0</v>
      </c>
      <c r="D198" s="5">
        <f>IFERROR(COUNTIFS('Issuance Log'!$B:$B,A198,'Issuance Log'!$G:$G,$B$4),0)</f>
        <v>0</v>
      </c>
      <c r="E198" s="5" t="str">
        <f ca="1">IFERROR(INDEX('Issuance Log'!$E:$E,MATCH(MAXIFS('Issuance Log'!$D:$D,'Issuance Log'!$B:$B,A198,'Issuance Log'!$G:$G,$B$4),IF(('Issuance Log'!$B:$B=A198)*('Issuance Log'!$G:$G=$B$4),'Issuance Log'!$D:$D),0)),"-")</f>
        <v>-</v>
      </c>
    </row>
    <row r="199" spans="1:5" x14ac:dyDescent="0.25">
      <c r="A199" s="2" t="s">
        <v>386</v>
      </c>
      <c r="B199" s="2" t="s">
        <v>387</v>
      </c>
      <c r="C199" s="3">
        <f>IFERROR(SUMIFS('Issuance Log'!$D:$D,'Issuance Log'!$B:$B,A199,'Issuance Log'!$G:$G,$B$4),0)</f>
        <v>0</v>
      </c>
      <c r="D199" s="3">
        <f>IFERROR(COUNTIFS('Issuance Log'!$B:$B,A199,'Issuance Log'!$G:$G,$B$4),0)</f>
        <v>0</v>
      </c>
      <c r="E199" s="3" t="str">
        <f ca="1">IFERROR(INDEX('Issuance Log'!$E:$E,MATCH(MAXIFS('Issuance Log'!$D:$D,'Issuance Log'!$B:$B,A199,'Issuance Log'!$G:$G,$B$4),IF(('Issuance Log'!$B:$B=A199)*('Issuance Log'!$G:$G=$B$4),'Issuance Log'!$D:$D),0)),"-")</f>
        <v>-</v>
      </c>
    </row>
    <row r="200" spans="1:5" x14ac:dyDescent="0.25">
      <c r="A200" s="4" t="s">
        <v>388</v>
      </c>
      <c r="B200" s="4" t="s">
        <v>389</v>
      </c>
      <c r="C200" s="5">
        <f>IFERROR(SUMIFS('Issuance Log'!$D:$D,'Issuance Log'!$B:$B,A200,'Issuance Log'!$G:$G,$B$4),0)</f>
        <v>0</v>
      </c>
      <c r="D200" s="5">
        <f>IFERROR(COUNTIFS('Issuance Log'!$B:$B,A200,'Issuance Log'!$G:$G,$B$4),0)</f>
        <v>0</v>
      </c>
      <c r="E200" s="5" t="str">
        <f ca="1">IFERROR(INDEX('Issuance Log'!$E:$E,MATCH(MAXIFS('Issuance Log'!$D:$D,'Issuance Log'!$B:$B,A200,'Issuance Log'!$G:$G,$B$4),IF(('Issuance Log'!$B:$B=A200)*('Issuance Log'!$G:$G=$B$4),'Issuance Log'!$D:$D),0)),"-")</f>
        <v>-</v>
      </c>
    </row>
    <row r="201" spans="1:5" x14ac:dyDescent="0.25">
      <c r="A201" s="2" t="s">
        <v>390</v>
      </c>
      <c r="B201" s="2" t="s">
        <v>391</v>
      </c>
      <c r="C201" s="3">
        <f>IFERROR(SUMIFS('Issuance Log'!$D:$D,'Issuance Log'!$B:$B,A201,'Issuance Log'!$G:$G,$B$4),0)</f>
        <v>0</v>
      </c>
      <c r="D201" s="3">
        <f>IFERROR(COUNTIFS('Issuance Log'!$B:$B,A201,'Issuance Log'!$G:$G,$B$4),0)</f>
        <v>0</v>
      </c>
      <c r="E201" s="3" t="str">
        <f ca="1">IFERROR(INDEX('Issuance Log'!$E:$E,MATCH(MAXIFS('Issuance Log'!$D:$D,'Issuance Log'!$B:$B,A201,'Issuance Log'!$G:$G,$B$4),IF(('Issuance Log'!$B:$B=A201)*('Issuance Log'!$G:$G=$B$4),'Issuance Log'!$D:$D),0)),"-")</f>
        <v>-</v>
      </c>
    </row>
    <row r="202" spans="1:5" x14ac:dyDescent="0.25">
      <c r="A202" s="4" t="s">
        <v>392</v>
      </c>
      <c r="B202" s="4" t="s">
        <v>393</v>
      </c>
      <c r="C202" s="5">
        <f>IFERROR(SUMIFS('Issuance Log'!$D:$D,'Issuance Log'!$B:$B,A202,'Issuance Log'!$G:$G,$B$4),0)</f>
        <v>0</v>
      </c>
      <c r="D202" s="5">
        <f>IFERROR(COUNTIFS('Issuance Log'!$B:$B,A202,'Issuance Log'!$G:$G,$B$4),0)</f>
        <v>0</v>
      </c>
      <c r="E202" s="5" t="str">
        <f ca="1">IFERROR(INDEX('Issuance Log'!$E:$E,MATCH(MAXIFS('Issuance Log'!$D:$D,'Issuance Log'!$B:$B,A202,'Issuance Log'!$G:$G,$B$4),IF(('Issuance Log'!$B:$B=A202)*('Issuance Log'!$G:$G=$B$4),'Issuance Log'!$D:$D),0)),"-")</f>
        <v>-</v>
      </c>
    </row>
    <row r="203" spans="1:5" x14ac:dyDescent="0.25">
      <c r="A203" s="2" t="s">
        <v>394</v>
      </c>
      <c r="B203" s="2" t="s">
        <v>395</v>
      </c>
      <c r="C203" s="3">
        <f>IFERROR(SUMIFS('Issuance Log'!$D:$D,'Issuance Log'!$B:$B,A203,'Issuance Log'!$G:$G,$B$4),0)</f>
        <v>0</v>
      </c>
      <c r="D203" s="3">
        <f>IFERROR(COUNTIFS('Issuance Log'!$B:$B,A203,'Issuance Log'!$G:$G,$B$4),0)</f>
        <v>0</v>
      </c>
      <c r="E203" s="3" t="str">
        <f ca="1">IFERROR(INDEX('Issuance Log'!$E:$E,MATCH(MAXIFS('Issuance Log'!$D:$D,'Issuance Log'!$B:$B,A203,'Issuance Log'!$G:$G,$B$4),IF(('Issuance Log'!$B:$B=A203)*('Issuance Log'!$G:$G=$B$4),'Issuance Log'!$D:$D),0)),"-")</f>
        <v>-</v>
      </c>
    </row>
    <row r="204" spans="1:5" x14ac:dyDescent="0.25">
      <c r="A204" s="4" t="s">
        <v>396</v>
      </c>
      <c r="B204" s="4" t="s">
        <v>397</v>
      </c>
      <c r="C204" s="5">
        <f>IFERROR(SUMIFS('Issuance Log'!$D:$D,'Issuance Log'!$B:$B,A204,'Issuance Log'!$G:$G,$B$4),0)</f>
        <v>0</v>
      </c>
      <c r="D204" s="5">
        <f>IFERROR(COUNTIFS('Issuance Log'!$B:$B,A204,'Issuance Log'!$G:$G,$B$4),0)</f>
        <v>0</v>
      </c>
      <c r="E204" s="5" t="str">
        <f ca="1">IFERROR(INDEX('Issuance Log'!$E:$E,MATCH(MAXIFS('Issuance Log'!$D:$D,'Issuance Log'!$B:$B,A204,'Issuance Log'!$G:$G,$B$4),IF(('Issuance Log'!$B:$B=A204)*('Issuance Log'!$G:$G=$B$4),'Issuance Log'!$D:$D),0)),"-")</f>
        <v>-</v>
      </c>
    </row>
    <row r="205" spans="1:5" x14ac:dyDescent="0.25">
      <c r="A205" s="2" t="s">
        <v>398</v>
      </c>
      <c r="B205" s="2" t="s">
        <v>399</v>
      </c>
      <c r="C205" s="3">
        <f>IFERROR(SUMIFS('Issuance Log'!$D:$D,'Issuance Log'!$B:$B,A205,'Issuance Log'!$G:$G,$B$4),0)</f>
        <v>0</v>
      </c>
      <c r="D205" s="3">
        <f>IFERROR(COUNTIFS('Issuance Log'!$B:$B,A205,'Issuance Log'!$G:$G,$B$4),0)</f>
        <v>0</v>
      </c>
      <c r="E205" s="3" t="str">
        <f ca="1">IFERROR(INDEX('Issuance Log'!$E:$E,MATCH(MAXIFS('Issuance Log'!$D:$D,'Issuance Log'!$B:$B,A205,'Issuance Log'!$G:$G,$B$4),IF(('Issuance Log'!$B:$B=A205)*('Issuance Log'!$G:$G=$B$4),'Issuance Log'!$D:$D),0)),"-")</f>
        <v>-</v>
      </c>
    </row>
    <row r="206" spans="1:5" x14ac:dyDescent="0.25">
      <c r="A206" s="4" t="s">
        <v>400</v>
      </c>
      <c r="B206" s="4" t="s">
        <v>401</v>
      </c>
      <c r="C206" s="5">
        <f>IFERROR(SUMIFS('Issuance Log'!$D:$D,'Issuance Log'!$B:$B,A206,'Issuance Log'!$G:$G,$B$4),0)</f>
        <v>0</v>
      </c>
      <c r="D206" s="5">
        <f>IFERROR(COUNTIFS('Issuance Log'!$B:$B,A206,'Issuance Log'!$G:$G,$B$4),0)</f>
        <v>0</v>
      </c>
      <c r="E206" s="5" t="str">
        <f ca="1">IFERROR(INDEX('Issuance Log'!$E:$E,MATCH(MAXIFS('Issuance Log'!$D:$D,'Issuance Log'!$B:$B,A206,'Issuance Log'!$G:$G,$B$4),IF(('Issuance Log'!$B:$B=A206)*('Issuance Log'!$G:$G=$B$4),'Issuance Log'!$D:$D),0)),"-")</f>
        <v>-</v>
      </c>
    </row>
    <row r="207" spans="1:5" x14ac:dyDescent="0.25">
      <c r="A207" s="2" t="s">
        <v>402</v>
      </c>
      <c r="B207" s="2" t="s">
        <v>403</v>
      </c>
      <c r="C207" s="3">
        <f>IFERROR(SUMIFS('Issuance Log'!$D:$D,'Issuance Log'!$B:$B,A207,'Issuance Log'!$G:$G,$B$4),0)</f>
        <v>0</v>
      </c>
      <c r="D207" s="3">
        <f>IFERROR(COUNTIFS('Issuance Log'!$B:$B,A207,'Issuance Log'!$G:$G,$B$4),0)</f>
        <v>0</v>
      </c>
      <c r="E207" s="3" t="str">
        <f ca="1">IFERROR(INDEX('Issuance Log'!$E:$E,MATCH(MAXIFS('Issuance Log'!$D:$D,'Issuance Log'!$B:$B,A207,'Issuance Log'!$G:$G,$B$4),IF(('Issuance Log'!$B:$B=A207)*('Issuance Log'!$G:$G=$B$4),'Issuance Log'!$D:$D),0)),"-")</f>
        <v>-</v>
      </c>
    </row>
    <row r="208" spans="1:5" x14ac:dyDescent="0.25">
      <c r="A208" s="4" t="s">
        <v>404</v>
      </c>
      <c r="B208" s="4" t="s">
        <v>405</v>
      </c>
      <c r="C208" s="5">
        <f>IFERROR(SUMIFS('Issuance Log'!$D:$D,'Issuance Log'!$B:$B,A208,'Issuance Log'!$G:$G,$B$4),0)</f>
        <v>0</v>
      </c>
      <c r="D208" s="5">
        <f>IFERROR(COUNTIFS('Issuance Log'!$B:$B,A208,'Issuance Log'!$G:$G,$B$4),0)</f>
        <v>0</v>
      </c>
      <c r="E208" s="5" t="str">
        <f ca="1">IFERROR(INDEX('Issuance Log'!$E:$E,MATCH(MAXIFS('Issuance Log'!$D:$D,'Issuance Log'!$B:$B,A208,'Issuance Log'!$G:$G,$B$4),IF(('Issuance Log'!$B:$B=A208)*('Issuance Log'!$G:$G=$B$4),'Issuance Log'!$D:$D),0)),"-")</f>
        <v>-</v>
      </c>
    </row>
    <row r="209" spans="1:5" x14ac:dyDescent="0.25">
      <c r="A209" s="2" t="s">
        <v>406</v>
      </c>
      <c r="B209" s="2" t="s">
        <v>407</v>
      </c>
      <c r="C209" s="3">
        <f>IFERROR(SUMIFS('Issuance Log'!$D:$D,'Issuance Log'!$B:$B,A209,'Issuance Log'!$G:$G,$B$4),0)</f>
        <v>0</v>
      </c>
      <c r="D209" s="3">
        <f>IFERROR(COUNTIFS('Issuance Log'!$B:$B,A209,'Issuance Log'!$G:$G,$B$4),0)</f>
        <v>0</v>
      </c>
      <c r="E209" s="3" t="str">
        <f ca="1">IFERROR(INDEX('Issuance Log'!$E:$E,MATCH(MAXIFS('Issuance Log'!$D:$D,'Issuance Log'!$B:$B,A209,'Issuance Log'!$G:$G,$B$4),IF(('Issuance Log'!$B:$B=A209)*('Issuance Log'!$G:$G=$B$4),'Issuance Log'!$D:$D),0)),"-")</f>
        <v>-</v>
      </c>
    </row>
    <row r="210" spans="1:5" x14ac:dyDescent="0.25">
      <c r="A210" s="4" t="s">
        <v>408</v>
      </c>
      <c r="B210" s="4" t="s">
        <v>409</v>
      </c>
      <c r="C210" s="5">
        <f>IFERROR(SUMIFS('Issuance Log'!$D:$D,'Issuance Log'!$B:$B,A210,'Issuance Log'!$G:$G,$B$4),0)</f>
        <v>0</v>
      </c>
      <c r="D210" s="5">
        <f>IFERROR(COUNTIFS('Issuance Log'!$B:$B,A210,'Issuance Log'!$G:$G,$B$4),0)</f>
        <v>0</v>
      </c>
      <c r="E210" s="5" t="str">
        <f ca="1">IFERROR(INDEX('Issuance Log'!$E:$E,MATCH(MAXIFS('Issuance Log'!$D:$D,'Issuance Log'!$B:$B,A210,'Issuance Log'!$G:$G,$B$4),IF(('Issuance Log'!$B:$B=A210)*('Issuance Log'!$G:$G=$B$4),'Issuance Log'!$D:$D),0)),"-")</f>
        <v>-</v>
      </c>
    </row>
    <row r="211" spans="1:5" x14ac:dyDescent="0.25">
      <c r="A211" s="2" t="s">
        <v>410</v>
      </c>
      <c r="B211" s="2" t="s">
        <v>411</v>
      </c>
      <c r="C211" s="3">
        <f>IFERROR(SUMIFS('Issuance Log'!$D:$D,'Issuance Log'!$B:$B,A211,'Issuance Log'!$G:$G,$B$4),0)</f>
        <v>0</v>
      </c>
      <c r="D211" s="3">
        <f>IFERROR(COUNTIFS('Issuance Log'!$B:$B,A211,'Issuance Log'!$G:$G,$B$4),0)</f>
        <v>0</v>
      </c>
      <c r="E211" s="3" t="str">
        <f ca="1">IFERROR(INDEX('Issuance Log'!$E:$E,MATCH(MAXIFS('Issuance Log'!$D:$D,'Issuance Log'!$B:$B,A211,'Issuance Log'!$G:$G,$B$4),IF(('Issuance Log'!$B:$B=A211)*('Issuance Log'!$G:$G=$B$4),'Issuance Log'!$D:$D),0)),"-")</f>
        <v>-</v>
      </c>
    </row>
    <row r="212" spans="1:5" x14ac:dyDescent="0.25">
      <c r="A212" s="4" t="s">
        <v>412</v>
      </c>
      <c r="B212" s="4" t="s">
        <v>413</v>
      </c>
      <c r="C212" s="5">
        <f>IFERROR(SUMIFS('Issuance Log'!$D:$D,'Issuance Log'!$B:$B,A212,'Issuance Log'!$G:$G,$B$4),0)</f>
        <v>0</v>
      </c>
      <c r="D212" s="5">
        <f>IFERROR(COUNTIFS('Issuance Log'!$B:$B,A212,'Issuance Log'!$G:$G,$B$4),0)</f>
        <v>0</v>
      </c>
      <c r="E212" s="5" t="str">
        <f ca="1">IFERROR(INDEX('Issuance Log'!$E:$E,MATCH(MAXIFS('Issuance Log'!$D:$D,'Issuance Log'!$B:$B,A212,'Issuance Log'!$G:$G,$B$4),IF(('Issuance Log'!$B:$B=A212)*('Issuance Log'!$G:$G=$B$4),'Issuance Log'!$D:$D),0)),"-")</f>
        <v>-</v>
      </c>
    </row>
    <row r="213" spans="1:5" x14ac:dyDescent="0.25">
      <c r="A213" s="2" t="s">
        <v>414</v>
      </c>
      <c r="B213" s="2" t="s">
        <v>415</v>
      </c>
      <c r="C213" s="3">
        <f>IFERROR(SUMIFS('Issuance Log'!$D:$D,'Issuance Log'!$B:$B,A213,'Issuance Log'!$G:$G,$B$4),0)</f>
        <v>0</v>
      </c>
      <c r="D213" s="3">
        <f>IFERROR(COUNTIFS('Issuance Log'!$B:$B,A213,'Issuance Log'!$G:$G,$B$4),0)</f>
        <v>0</v>
      </c>
      <c r="E213" s="3" t="str">
        <f ca="1">IFERROR(INDEX('Issuance Log'!$E:$E,MATCH(MAXIFS('Issuance Log'!$D:$D,'Issuance Log'!$B:$B,A213,'Issuance Log'!$G:$G,$B$4),IF(('Issuance Log'!$B:$B=A213)*('Issuance Log'!$G:$G=$B$4),'Issuance Log'!$D:$D),0)),"-")</f>
        <v>-</v>
      </c>
    </row>
    <row r="214" spans="1:5" x14ac:dyDescent="0.25">
      <c r="A214" s="4" t="s">
        <v>416</v>
      </c>
      <c r="B214" s="4" t="s">
        <v>417</v>
      </c>
      <c r="C214" s="5">
        <f>IFERROR(SUMIFS('Issuance Log'!$D:$D,'Issuance Log'!$B:$B,A214,'Issuance Log'!$G:$G,$B$4),0)</f>
        <v>0</v>
      </c>
      <c r="D214" s="5">
        <f>IFERROR(COUNTIFS('Issuance Log'!$B:$B,A214,'Issuance Log'!$G:$G,$B$4),0)</f>
        <v>0</v>
      </c>
      <c r="E214" s="5" t="str">
        <f ca="1">IFERROR(INDEX('Issuance Log'!$E:$E,MATCH(MAXIFS('Issuance Log'!$D:$D,'Issuance Log'!$B:$B,A214,'Issuance Log'!$G:$G,$B$4),IF(('Issuance Log'!$B:$B=A214)*('Issuance Log'!$G:$G=$B$4),'Issuance Log'!$D:$D),0)),"-")</f>
        <v>-</v>
      </c>
    </row>
    <row r="215" spans="1:5" x14ac:dyDescent="0.25">
      <c r="A215" s="2" t="s">
        <v>418</v>
      </c>
      <c r="B215" s="2" t="s">
        <v>419</v>
      </c>
      <c r="C215" s="3">
        <f>IFERROR(SUMIFS('Issuance Log'!$D:$D,'Issuance Log'!$B:$B,A215,'Issuance Log'!$G:$G,$B$4),0)</f>
        <v>0</v>
      </c>
      <c r="D215" s="3">
        <f>IFERROR(COUNTIFS('Issuance Log'!$B:$B,A215,'Issuance Log'!$G:$G,$B$4),0)</f>
        <v>0</v>
      </c>
      <c r="E215" s="3" t="str">
        <f ca="1">IFERROR(INDEX('Issuance Log'!$E:$E,MATCH(MAXIFS('Issuance Log'!$D:$D,'Issuance Log'!$B:$B,A215,'Issuance Log'!$G:$G,$B$4),IF(('Issuance Log'!$B:$B=A215)*('Issuance Log'!$G:$G=$B$4),'Issuance Log'!$D:$D),0)),"-")</f>
        <v>-</v>
      </c>
    </row>
    <row r="216" spans="1:5" x14ac:dyDescent="0.25">
      <c r="A216" s="4" t="s">
        <v>420</v>
      </c>
      <c r="B216" s="4" t="s">
        <v>421</v>
      </c>
      <c r="C216" s="5">
        <f>IFERROR(SUMIFS('Issuance Log'!$D:$D,'Issuance Log'!$B:$B,A216,'Issuance Log'!$G:$G,$B$4),0)</f>
        <v>0</v>
      </c>
      <c r="D216" s="5">
        <f>IFERROR(COUNTIFS('Issuance Log'!$B:$B,A216,'Issuance Log'!$G:$G,$B$4),0)</f>
        <v>0</v>
      </c>
      <c r="E216" s="5" t="str">
        <f ca="1">IFERROR(INDEX('Issuance Log'!$E:$E,MATCH(MAXIFS('Issuance Log'!$D:$D,'Issuance Log'!$B:$B,A216,'Issuance Log'!$G:$G,$B$4),IF(('Issuance Log'!$B:$B=A216)*('Issuance Log'!$G:$G=$B$4),'Issuance Log'!$D:$D),0)),"-")</f>
        <v>-</v>
      </c>
    </row>
    <row r="217" spans="1:5" x14ac:dyDescent="0.25">
      <c r="A217" s="2" t="s">
        <v>422</v>
      </c>
      <c r="B217" s="2" t="s">
        <v>423</v>
      </c>
      <c r="C217" s="3">
        <f>IFERROR(SUMIFS('Issuance Log'!$D:$D,'Issuance Log'!$B:$B,A217,'Issuance Log'!$G:$G,$B$4),0)</f>
        <v>0</v>
      </c>
      <c r="D217" s="3">
        <f>IFERROR(COUNTIFS('Issuance Log'!$B:$B,A217,'Issuance Log'!$G:$G,$B$4),0)</f>
        <v>0</v>
      </c>
      <c r="E217" s="3" t="str">
        <f ca="1">IFERROR(INDEX('Issuance Log'!$E:$E,MATCH(MAXIFS('Issuance Log'!$D:$D,'Issuance Log'!$B:$B,A217,'Issuance Log'!$G:$G,$B$4),IF(('Issuance Log'!$B:$B=A217)*('Issuance Log'!$G:$G=$B$4),'Issuance Log'!$D:$D),0)),"-")</f>
        <v>-</v>
      </c>
    </row>
    <row r="218" spans="1:5" x14ac:dyDescent="0.25">
      <c r="A218" s="4" t="s">
        <v>424</v>
      </c>
      <c r="B218" s="4" t="s">
        <v>425</v>
      </c>
      <c r="C218" s="5">
        <f>IFERROR(SUMIFS('Issuance Log'!$D:$D,'Issuance Log'!$B:$B,A218,'Issuance Log'!$G:$G,$B$4),0)</f>
        <v>0</v>
      </c>
      <c r="D218" s="5">
        <f>IFERROR(COUNTIFS('Issuance Log'!$B:$B,A218,'Issuance Log'!$G:$G,$B$4),0)</f>
        <v>0</v>
      </c>
      <c r="E218" s="5" t="str">
        <f ca="1">IFERROR(INDEX('Issuance Log'!$E:$E,MATCH(MAXIFS('Issuance Log'!$D:$D,'Issuance Log'!$B:$B,A218,'Issuance Log'!$G:$G,$B$4),IF(('Issuance Log'!$B:$B=A218)*('Issuance Log'!$G:$G=$B$4),'Issuance Log'!$D:$D),0)),"-")</f>
        <v>-</v>
      </c>
    </row>
    <row r="219" spans="1:5" x14ac:dyDescent="0.25">
      <c r="A219" s="2" t="s">
        <v>426</v>
      </c>
      <c r="B219" s="2" t="s">
        <v>427</v>
      </c>
      <c r="C219" s="3">
        <f>IFERROR(SUMIFS('Issuance Log'!$D:$D,'Issuance Log'!$B:$B,A219,'Issuance Log'!$G:$G,$B$4),0)</f>
        <v>0</v>
      </c>
      <c r="D219" s="3">
        <f>IFERROR(COUNTIFS('Issuance Log'!$B:$B,A219,'Issuance Log'!$G:$G,$B$4),0)</f>
        <v>0</v>
      </c>
      <c r="E219" s="3" t="str">
        <f ca="1">IFERROR(INDEX('Issuance Log'!$E:$E,MATCH(MAXIFS('Issuance Log'!$D:$D,'Issuance Log'!$B:$B,A219,'Issuance Log'!$G:$G,$B$4),IF(('Issuance Log'!$B:$B=A219)*('Issuance Log'!$G:$G=$B$4),'Issuance Log'!$D:$D),0)),"-")</f>
        <v>-</v>
      </c>
    </row>
    <row r="220" spans="1:5" x14ac:dyDescent="0.25">
      <c r="A220" s="4" t="s">
        <v>428</v>
      </c>
      <c r="B220" s="4" t="s">
        <v>429</v>
      </c>
      <c r="C220" s="5">
        <f>IFERROR(SUMIFS('Issuance Log'!$D:$D,'Issuance Log'!$B:$B,A220,'Issuance Log'!$G:$G,$B$4),0)</f>
        <v>0</v>
      </c>
      <c r="D220" s="5">
        <f>IFERROR(COUNTIFS('Issuance Log'!$B:$B,A220,'Issuance Log'!$G:$G,$B$4),0)</f>
        <v>0</v>
      </c>
      <c r="E220" s="5" t="str">
        <f ca="1">IFERROR(INDEX('Issuance Log'!$E:$E,MATCH(MAXIFS('Issuance Log'!$D:$D,'Issuance Log'!$B:$B,A220,'Issuance Log'!$G:$G,$B$4),IF(('Issuance Log'!$B:$B=A220)*('Issuance Log'!$G:$G=$B$4),'Issuance Log'!$D:$D),0)),"-")</f>
        <v>-</v>
      </c>
    </row>
    <row r="221" spans="1:5" x14ac:dyDescent="0.25">
      <c r="A221" s="2" t="s">
        <v>430</v>
      </c>
      <c r="B221" s="2" t="s">
        <v>431</v>
      </c>
      <c r="C221" s="3">
        <f>IFERROR(SUMIFS('Issuance Log'!$D:$D,'Issuance Log'!$B:$B,A221,'Issuance Log'!$G:$G,$B$4),0)</f>
        <v>0</v>
      </c>
      <c r="D221" s="3">
        <f>IFERROR(COUNTIFS('Issuance Log'!$B:$B,A221,'Issuance Log'!$G:$G,$B$4),0)</f>
        <v>0</v>
      </c>
      <c r="E221" s="3" t="str">
        <f ca="1">IFERROR(INDEX('Issuance Log'!$E:$E,MATCH(MAXIFS('Issuance Log'!$D:$D,'Issuance Log'!$B:$B,A221,'Issuance Log'!$G:$G,$B$4),IF(('Issuance Log'!$B:$B=A221)*('Issuance Log'!$G:$G=$B$4),'Issuance Log'!$D:$D),0)),"-")</f>
        <v>-</v>
      </c>
    </row>
    <row r="222" spans="1:5" x14ac:dyDescent="0.25">
      <c r="A222" s="4" t="s">
        <v>432</v>
      </c>
      <c r="B222" s="4" t="s">
        <v>433</v>
      </c>
      <c r="C222" s="5">
        <f>IFERROR(SUMIFS('Issuance Log'!$D:$D,'Issuance Log'!$B:$B,A222,'Issuance Log'!$G:$G,$B$4),0)</f>
        <v>0</v>
      </c>
      <c r="D222" s="5">
        <f>IFERROR(COUNTIFS('Issuance Log'!$B:$B,A222,'Issuance Log'!$G:$G,$B$4),0)</f>
        <v>0</v>
      </c>
      <c r="E222" s="5" t="str">
        <f ca="1">IFERROR(INDEX('Issuance Log'!$E:$E,MATCH(MAXIFS('Issuance Log'!$D:$D,'Issuance Log'!$B:$B,A222,'Issuance Log'!$G:$G,$B$4),IF(('Issuance Log'!$B:$B=A222)*('Issuance Log'!$G:$G=$B$4),'Issuance Log'!$D:$D),0)),"-")</f>
        <v>-</v>
      </c>
    </row>
    <row r="223" spans="1:5" x14ac:dyDescent="0.25">
      <c r="A223" s="2" t="s">
        <v>434</v>
      </c>
      <c r="B223" s="2" t="s">
        <v>435</v>
      </c>
      <c r="C223" s="3">
        <f>IFERROR(SUMIFS('Issuance Log'!$D:$D,'Issuance Log'!$B:$B,A223,'Issuance Log'!$G:$G,$B$4),0)</f>
        <v>0</v>
      </c>
      <c r="D223" s="3">
        <f>IFERROR(COUNTIFS('Issuance Log'!$B:$B,A223,'Issuance Log'!$G:$G,$B$4),0)</f>
        <v>0</v>
      </c>
      <c r="E223" s="3" t="str">
        <f ca="1">IFERROR(INDEX('Issuance Log'!$E:$E,MATCH(MAXIFS('Issuance Log'!$D:$D,'Issuance Log'!$B:$B,A223,'Issuance Log'!$G:$G,$B$4),IF(('Issuance Log'!$B:$B=A223)*('Issuance Log'!$G:$G=$B$4),'Issuance Log'!$D:$D),0)),"-")</f>
        <v>-</v>
      </c>
    </row>
    <row r="224" spans="1:5" x14ac:dyDescent="0.25">
      <c r="A224" s="4" t="s">
        <v>436</v>
      </c>
      <c r="B224" s="4" t="s">
        <v>437</v>
      </c>
      <c r="C224" s="5">
        <f>IFERROR(SUMIFS('Issuance Log'!$D:$D,'Issuance Log'!$B:$B,A224,'Issuance Log'!$G:$G,$B$4),0)</f>
        <v>0</v>
      </c>
      <c r="D224" s="5">
        <f>IFERROR(COUNTIFS('Issuance Log'!$B:$B,A224,'Issuance Log'!$G:$G,$B$4),0)</f>
        <v>0</v>
      </c>
      <c r="E224" s="5" t="str">
        <f ca="1">IFERROR(INDEX('Issuance Log'!$E:$E,MATCH(MAXIFS('Issuance Log'!$D:$D,'Issuance Log'!$B:$B,A224,'Issuance Log'!$G:$G,$B$4),IF(('Issuance Log'!$B:$B=A224)*('Issuance Log'!$G:$G=$B$4),'Issuance Log'!$D:$D),0)),"-")</f>
        <v>-</v>
      </c>
    </row>
    <row r="225" spans="1:5" x14ac:dyDescent="0.25">
      <c r="A225" s="2" t="s">
        <v>438</v>
      </c>
      <c r="B225" s="2" t="s">
        <v>439</v>
      </c>
      <c r="C225" s="3">
        <f>IFERROR(SUMIFS('Issuance Log'!$D:$D,'Issuance Log'!$B:$B,A225,'Issuance Log'!$G:$G,$B$4),0)</f>
        <v>0</v>
      </c>
      <c r="D225" s="3">
        <f>IFERROR(COUNTIFS('Issuance Log'!$B:$B,A225,'Issuance Log'!$G:$G,$B$4),0)</f>
        <v>0</v>
      </c>
      <c r="E225" s="3" t="str">
        <f ca="1">IFERROR(INDEX('Issuance Log'!$E:$E,MATCH(MAXIFS('Issuance Log'!$D:$D,'Issuance Log'!$B:$B,A225,'Issuance Log'!$G:$G,$B$4),IF(('Issuance Log'!$B:$B=A225)*('Issuance Log'!$G:$G=$B$4),'Issuance Log'!$D:$D),0)),"-")</f>
        <v>-</v>
      </c>
    </row>
    <row r="226" spans="1:5" x14ac:dyDescent="0.25">
      <c r="A226" s="4" t="s">
        <v>440</v>
      </c>
      <c r="B226" s="4" t="s">
        <v>441</v>
      </c>
      <c r="C226" s="5">
        <f>IFERROR(SUMIFS('Issuance Log'!$D:$D,'Issuance Log'!$B:$B,A226,'Issuance Log'!$G:$G,$B$4),0)</f>
        <v>0</v>
      </c>
      <c r="D226" s="5">
        <f>IFERROR(COUNTIFS('Issuance Log'!$B:$B,A226,'Issuance Log'!$G:$G,$B$4),0)</f>
        <v>0</v>
      </c>
      <c r="E226" s="5" t="str">
        <f ca="1">IFERROR(INDEX('Issuance Log'!$E:$E,MATCH(MAXIFS('Issuance Log'!$D:$D,'Issuance Log'!$B:$B,A226,'Issuance Log'!$G:$G,$B$4),IF(('Issuance Log'!$B:$B=A226)*('Issuance Log'!$G:$G=$B$4),'Issuance Log'!$D:$D),0)),"-")</f>
        <v>-</v>
      </c>
    </row>
    <row r="227" spans="1:5" x14ac:dyDescent="0.25">
      <c r="A227" s="2" t="s">
        <v>442</v>
      </c>
      <c r="B227" s="2" t="s">
        <v>443</v>
      </c>
      <c r="C227" s="3">
        <f>IFERROR(SUMIFS('Issuance Log'!$D:$D,'Issuance Log'!$B:$B,A227,'Issuance Log'!$G:$G,$B$4),0)</f>
        <v>0</v>
      </c>
      <c r="D227" s="3">
        <f>IFERROR(COUNTIFS('Issuance Log'!$B:$B,A227,'Issuance Log'!$G:$G,$B$4),0)</f>
        <v>0</v>
      </c>
      <c r="E227" s="3" t="str">
        <f ca="1">IFERROR(INDEX('Issuance Log'!$E:$E,MATCH(MAXIFS('Issuance Log'!$D:$D,'Issuance Log'!$B:$B,A227,'Issuance Log'!$G:$G,$B$4),IF(('Issuance Log'!$B:$B=A227)*('Issuance Log'!$G:$G=$B$4),'Issuance Log'!$D:$D),0)),"-")</f>
        <v>-</v>
      </c>
    </row>
    <row r="228" spans="1:5" x14ac:dyDescent="0.25">
      <c r="A228" s="4" t="s">
        <v>444</v>
      </c>
      <c r="B228" s="4" t="s">
        <v>445</v>
      </c>
      <c r="C228" s="5">
        <f>IFERROR(SUMIFS('Issuance Log'!$D:$D,'Issuance Log'!$B:$B,A228,'Issuance Log'!$G:$G,$B$4),0)</f>
        <v>0</v>
      </c>
      <c r="D228" s="5">
        <f>IFERROR(COUNTIFS('Issuance Log'!$B:$B,A228,'Issuance Log'!$G:$G,$B$4),0)</f>
        <v>0</v>
      </c>
      <c r="E228" s="5" t="str">
        <f ca="1">IFERROR(INDEX('Issuance Log'!$E:$E,MATCH(MAXIFS('Issuance Log'!$D:$D,'Issuance Log'!$B:$B,A228,'Issuance Log'!$G:$G,$B$4),IF(('Issuance Log'!$B:$B=A228)*('Issuance Log'!$G:$G=$B$4),'Issuance Log'!$D:$D),0)),"-")</f>
        <v>-</v>
      </c>
    </row>
    <row r="229" spans="1:5" x14ac:dyDescent="0.25">
      <c r="A229" s="2" t="s">
        <v>446</v>
      </c>
      <c r="B229" s="2" t="s">
        <v>447</v>
      </c>
      <c r="C229" s="3">
        <f>IFERROR(SUMIFS('Issuance Log'!$D:$D,'Issuance Log'!$B:$B,A229,'Issuance Log'!$G:$G,$B$4),0)</f>
        <v>0</v>
      </c>
      <c r="D229" s="3">
        <f>IFERROR(COUNTIFS('Issuance Log'!$B:$B,A229,'Issuance Log'!$G:$G,$B$4),0)</f>
        <v>0</v>
      </c>
      <c r="E229" s="3" t="str">
        <f ca="1">IFERROR(INDEX('Issuance Log'!$E:$E,MATCH(MAXIFS('Issuance Log'!$D:$D,'Issuance Log'!$B:$B,A229,'Issuance Log'!$G:$G,$B$4),IF(('Issuance Log'!$B:$B=A229)*('Issuance Log'!$G:$G=$B$4),'Issuance Log'!$D:$D),0)),"-")</f>
        <v>-</v>
      </c>
    </row>
    <row r="230" spans="1:5" x14ac:dyDescent="0.25">
      <c r="A230" s="4" t="s">
        <v>448</v>
      </c>
      <c r="B230" s="4" t="s">
        <v>449</v>
      </c>
      <c r="C230" s="5">
        <f>IFERROR(SUMIFS('Issuance Log'!$D:$D,'Issuance Log'!$B:$B,A230,'Issuance Log'!$G:$G,$B$4),0)</f>
        <v>0</v>
      </c>
      <c r="D230" s="5">
        <f>IFERROR(COUNTIFS('Issuance Log'!$B:$B,A230,'Issuance Log'!$G:$G,$B$4),0)</f>
        <v>0</v>
      </c>
      <c r="E230" s="5" t="str">
        <f ca="1">IFERROR(INDEX('Issuance Log'!$E:$E,MATCH(MAXIFS('Issuance Log'!$D:$D,'Issuance Log'!$B:$B,A230,'Issuance Log'!$G:$G,$B$4),IF(('Issuance Log'!$B:$B=A230)*('Issuance Log'!$G:$G=$B$4),'Issuance Log'!$D:$D),0)),"-")</f>
        <v>-</v>
      </c>
    </row>
    <row r="231" spans="1:5" x14ac:dyDescent="0.25">
      <c r="A231" s="2" t="s">
        <v>450</v>
      </c>
      <c r="B231" s="2" t="s">
        <v>451</v>
      </c>
      <c r="C231" s="3">
        <f>IFERROR(SUMIFS('Issuance Log'!$D:$D,'Issuance Log'!$B:$B,A231,'Issuance Log'!$G:$G,$B$4),0)</f>
        <v>0</v>
      </c>
      <c r="D231" s="3">
        <f>IFERROR(COUNTIFS('Issuance Log'!$B:$B,A231,'Issuance Log'!$G:$G,$B$4),0)</f>
        <v>0</v>
      </c>
      <c r="E231" s="3" t="str">
        <f ca="1">IFERROR(INDEX('Issuance Log'!$E:$E,MATCH(MAXIFS('Issuance Log'!$D:$D,'Issuance Log'!$B:$B,A231,'Issuance Log'!$G:$G,$B$4),IF(('Issuance Log'!$B:$B=A231)*('Issuance Log'!$G:$G=$B$4),'Issuance Log'!$D:$D),0)),"-")</f>
        <v>-</v>
      </c>
    </row>
    <row r="232" spans="1:5" x14ac:dyDescent="0.25">
      <c r="A232" s="4" t="s">
        <v>452</v>
      </c>
      <c r="B232" s="4" t="s">
        <v>453</v>
      </c>
      <c r="C232" s="5">
        <f>IFERROR(SUMIFS('Issuance Log'!$D:$D,'Issuance Log'!$B:$B,A232,'Issuance Log'!$G:$G,$B$4),0)</f>
        <v>0</v>
      </c>
      <c r="D232" s="5">
        <f>IFERROR(COUNTIFS('Issuance Log'!$B:$B,A232,'Issuance Log'!$G:$G,$B$4),0)</f>
        <v>0</v>
      </c>
      <c r="E232" s="5" t="str">
        <f ca="1">IFERROR(INDEX('Issuance Log'!$E:$E,MATCH(MAXIFS('Issuance Log'!$D:$D,'Issuance Log'!$B:$B,A232,'Issuance Log'!$G:$G,$B$4),IF(('Issuance Log'!$B:$B=A232)*('Issuance Log'!$G:$G=$B$4),'Issuance Log'!$D:$D),0)),"-")</f>
        <v>-</v>
      </c>
    </row>
    <row r="233" spans="1:5" x14ac:dyDescent="0.25">
      <c r="A233" s="2" t="s">
        <v>454</v>
      </c>
      <c r="B233" s="2" t="s">
        <v>455</v>
      </c>
      <c r="C233" s="3">
        <f>IFERROR(SUMIFS('Issuance Log'!$D:$D,'Issuance Log'!$B:$B,A233,'Issuance Log'!$G:$G,$B$4),0)</f>
        <v>0</v>
      </c>
      <c r="D233" s="3">
        <f>IFERROR(COUNTIFS('Issuance Log'!$B:$B,A233,'Issuance Log'!$G:$G,$B$4),0)</f>
        <v>0</v>
      </c>
      <c r="E233" s="3" t="str">
        <f ca="1">IFERROR(INDEX('Issuance Log'!$E:$E,MATCH(MAXIFS('Issuance Log'!$D:$D,'Issuance Log'!$B:$B,A233,'Issuance Log'!$G:$G,$B$4),IF(('Issuance Log'!$B:$B=A233)*('Issuance Log'!$G:$G=$B$4),'Issuance Log'!$D:$D),0)),"-")</f>
        <v>-</v>
      </c>
    </row>
    <row r="234" spans="1:5" x14ac:dyDescent="0.25">
      <c r="A234" s="4" t="s">
        <v>456</v>
      </c>
      <c r="B234" s="4" t="s">
        <v>457</v>
      </c>
      <c r="C234" s="5">
        <f>IFERROR(SUMIFS('Issuance Log'!$D:$D,'Issuance Log'!$B:$B,A234,'Issuance Log'!$G:$G,$B$4),0)</f>
        <v>0</v>
      </c>
      <c r="D234" s="5">
        <f>IFERROR(COUNTIFS('Issuance Log'!$B:$B,A234,'Issuance Log'!$G:$G,$B$4),0)</f>
        <v>0</v>
      </c>
      <c r="E234" s="5" t="str">
        <f ca="1">IFERROR(INDEX('Issuance Log'!$E:$E,MATCH(MAXIFS('Issuance Log'!$D:$D,'Issuance Log'!$B:$B,A234,'Issuance Log'!$G:$G,$B$4),IF(('Issuance Log'!$B:$B=A234)*('Issuance Log'!$G:$G=$B$4),'Issuance Log'!$D:$D),0)),"-")</f>
        <v>-</v>
      </c>
    </row>
    <row r="235" spans="1:5" x14ac:dyDescent="0.25">
      <c r="A235" s="2" t="s">
        <v>458</v>
      </c>
      <c r="B235" s="2" t="s">
        <v>459</v>
      </c>
      <c r="C235" s="3">
        <f>IFERROR(SUMIFS('Issuance Log'!$D:$D,'Issuance Log'!$B:$B,A235,'Issuance Log'!$G:$G,$B$4),0)</f>
        <v>0</v>
      </c>
      <c r="D235" s="3">
        <f>IFERROR(COUNTIFS('Issuance Log'!$B:$B,A235,'Issuance Log'!$G:$G,$B$4),0)</f>
        <v>0</v>
      </c>
      <c r="E235" s="3" t="str">
        <f ca="1">IFERROR(INDEX('Issuance Log'!$E:$E,MATCH(MAXIFS('Issuance Log'!$D:$D,'Issuance Log'!$B:$B,A235,'Issuance Log'!$G:$G,$B$4),IF(('Issuance Log'!$B:$B=A235)*('Issuance Log'!$G:$G=$B$4),'Issuance Log'!$D:$D),0)),"-")</f>
        <v>-</v>
      </c>
    </row>
    <row r="236" spans="1:5" x14ac:dyDescent="0.25">
      <c r="A236" s="4" t="s">
        <v>460</v>
      </c>
      <c r="B236" s="4" t="s">
        <v>461</v>
      </c>
      <c r="C236" s="5">
        <f>IFERROR(SUMIFS('Issuance Log'!$D:$D,'Issuance Log'!$B:$B,A236,'Issuance Log'!$G:$G,$B$4),0)</f>
        <v>0</v>
      </c>
      <c r="D236" s="5">
        <f>IFERROR(COUNTIFS('Issuance Log'!$B:$B,A236,'Issuance Log'!$G:$G,$B$4),0)</f>
        <v>0</v>
      </c>
      <c r="E236" s="5" t="str">
        <f ca="1">IFERROR(INDEX('Issuance Log'!$E:$E,MATCH(MAXIFS('Issuance Log'!$D:$D,'Issuance Log'!$B:$B,A236,'Issuance Log'!$G:$G,$B$4),IF(('Issuance Log'!$B:$B=A236)*('Issuance Log'!$G:$G=$B$4),'Issuance Log'!$D:$D),0)),"-")</f>
        <v>-</v>
      </c>
    </row>
    <row r="237" spans="1:5" x14ac:dyDescent="0.25">
      <c r="A237" s="2" t="s">
        <v>462</v>
      </c>
      <c r="B237" s="2" t="s">
        <v>463</v>
      </c>
      <c r="C237" s="3">
        <f>IFERROR(SUMIFS('Issuance Log'!$D:$D,'Issuance Log'!$B:$B,A237,'Issuance Log'!$G:$G,$B$4),0)</f>
        <v>0</v>
      </c>
      <c r="D237" s="3">
        <f>IFERROR(COUNTIFS('Issuance Log'!$B:$B,A237,'Issuance Log'!$G:$G,$B$4),0)</f>
        <v>0</v>
      </c>
      <c r="E237" s="3" t="str">
        <f ca="1">IFERROR(INDEX('Issuance Log'!$E:$E,MATCH(MAXIFS('Issuance Log'!$D:$D,'Issuance Log'!$B:$B,A237,'Issuance Log'!$G:$G,$B$4),IF(('Issuance Log'!$B:$B=A237)*('Issuance Log'!$G:$G=$B$4),'Issuance Log'!$D:$D),0)),"-")</f>
        <v>-</v>
      </c>
    </row>
    <row r="238" spans="1:5" x14ac:dyDescent="0.25">
      <c r="A238" s="4" t="s">
        <v>464</v>
      </c>
      <c r="B238" s="4" t="s">
        <v>465</v>
      </c>
      <c r="C238" s="5">
        <f>IFERROR(SUMIFS('Issuance Log'!$D:$D,'Issuance Log'!$B:$B,A238,'Issuance Log'!$G:$G,$B$4),0)</f>
        <v>0</v>
      </c>
      <c r="D238" s="5">
        <f>IFERROR(COUNTIFS('Issuance Log'!$B:$B,A238,'Issuance Log'!$G:$G,$B$4),0)</f>
        <v>0</v>
      </c>
      <c r="E238" s="5" t="str">
        <f ca="1">IFERROR(INDEX('Issuance Log'!$E:$E,MATCH(MAXIFS('Issuance Log'!$D:$D,'Issuance Log'!$B:$B,A238,'Issuance Log'!$G:$G,$B$4),IF(('Issuance Log'!$B:$B=A238)*('Issuance Log'!$G:$G=$B$4),'Issuance Log'!$D:$D),0)),"-")</f>
        <v>-</v>
      </c>
    </row>
    <row r="239" spans="1:5" x14ac:dyDescent="0.25">
      <c r="A239" s="2" t="s">
        <v>466</v>
      </c>
      <c r="B239" s="2" t="s">
        <v>467</v>
      </c>
      <c r="C239" s="3">
        <f>IFERROR(SUMIFS('Issuance Log'!$D:$D,'Issuance Log'!$B:$B,A239,'Issuance Log'!$G:$G,$B$4),0)</f>
        <v>0</v>
      </c>
      <c r="D239" s="3">
        <f>IFERROR(COUNTIFS('Issuance Log'!$B:$B,A239,'Issuance Log'!$G:$G,$B$4),0)</f>
        <v>0</v>
      </c>
      <c r="E239" s="3" t="str">
        <f ca="1">IFERROR(INDEX('Issuance Log'!$E:$E,MATCH(MAXIFS('Issuance Log'!$D:$D,'Issuance Log'!$B:$B,A239,'Issuance Log'!$G:$G,$B$4),IF(('Issuance Log'!$B:$B=A239)*('Issuance Log'!$G:$G=$B$4),'Issuance Log'!$D:$D),0)),"-")</f>
        <v>-</v>
      </c>
    </row>
    <row r="240" spans="1:5" x14ac:dyDescent="0.25">
      <c r="A240" s="4" t="s">
        <v>468</v>
      </c>
      <c r="B240" s="4" t="s">
        <v>469</v>
      </c>
      <c r="C240" s="5">
        <f>IFERROR(SUMIFS('Issuance Log'!$D:$D,'Issuance Log'!$B:$B,A240,'Issuance Log'!$G:$G,$B$4),0)</f>
        <v>0</v>
      </c>
      <c r="D240" s="5">
        <f>IFERROR(COUNTIFS('Issuance Log'!$B:$B,A240,'Issuance Log'!$G:$G,$B$4),0)</f>
        <v>0</v>
      </c>
      <c r="E240" s="5" t="str">
        <f ca="1">IFERROR(INDEX('Issuance Log'!$E:$E,MATCH(MAXIFS('Issuance Log'!$D:$D,'Issuance Log'!$B:$B,A240,'Issuance Log'!$G:$G,$B$4),IF(('Issuance Log'!$B:$B=A240)*('Issuance Log'!$G:$G=$B$4),'Issuance Log'!$D:$D),0)),"-")</f>
        <v>-</v>
      </c>
    </row>
    <row r="241" spans="1:5" x14ac:dyDescent="0.25">
      <c r="A241" s="2" t="s">
        <v>470</v>
      </c>
      <c r="B241" s="2" t="s">
        <v>471</v>
      </c>
      <c r="C241" s="3">
        <f>IFERROR(SUMIFS('Issuance Log'!$D:$D,'Issuance Log'!$B:$B,A241,'Issuance Log'!$G:$G,$B$4),0)</f>
        <v>0</v>
      </c>
      <c r="D241" s="3">
        <f>IFERROR(COUNTIFS('Issuance Log'!$B:$B,A241,'Issuance Log'!$G:$G,$B$4),0)</f>
        <v>0</v>
      </c>
      <c r="E241" s="3" t="str">
        <f ca="1">IFERROR(INDEX('Issuance Log'!$E:$E,MATCH(MAXIFS('Issuance Log'!$D:$D,'Issuance Log'!$B:$B,A241,'Issuance Log'!$G:$G,$B$4),IF(('Issuance Log'!$B:$B=A241)*('Issuance Log'!$G:$G=$B$4),'Issuance Log'!$D:$D),0)),"-")</f>
        <v>-</v>
      </c>
    </row>
    <row r="242" spans="1:5" x14ac:dyDescent="0.25">
      <c r="A242" s="4" t="s">
        <v>472</v>
      </c>
      <c r="B242" s="4" t="s">
        <v>473</v>
      </c>
      <c r="C242" s="5">
        <f>IFERROR(SUMIFS('Issuance Log'!$D:$D,'Issuance Log'!$B:$B,A242,'Issuance Log'!$G:$G,$B$4),0)</f>
        <v>0</v>
      </c>
      <c r="D242" s="5">
        <f>IFERROR(COUNTIFS('Issuance Log'!$B:$B,A242,'Issuance Log'!$G:$G,$B$4),0)</f>
        <v>0</v>
      </c>
      <c r="E242" s="5" t="str">
        <f ca="1">IFERROR(INDEX('Issuance Log'!$E:$E,MATCH(MAXIFS('Issuance Log'!$D:$D,'Issuance Log'!$B:$B,A242,'Issuance Log'!$G:$G,$B$4),IF(('Issuance Log'!$B:$B=A242)*('Issuance Log'!$G:$G=$B$4),'Issuance Log'!$D:$D),0)),"-")</f>
        <v>-</v>
      </c>
    </row>
    <row r="243" spans="1:5" x14ac:dyDescent="0.25">
      <c r="A243" s="2" t="s">
        <v>474</v>
      </c>
      <c r="B243" s="2" t="s">
        <v>475</v>
      </c>
      <c r="C243" s="3">
        <f>IFERROR(SUMIFS('Issuance Log'!$D:$D,'Issuance Log'!$B:$B,A243,'Issuance Log'!$G:$G,$B$4),0)</f>
        <v>0</v>
      </c>
      <c r="D243" s="3">
        <f>IFERROR(COUNTIFS('Issuance Log'!$B:$B,A243,'Issuance Log'!$G:$G,$B$4),0)</f>
        <v>0</v>
      </c>
      <c r="E243" s="3" t="str">
        <f ca="1">IFERROR(INDEX('Issuance Log'!$E:$E,MATCH(MAXIFS('Issuance Log'!$D:$D,'Issuance Log'!$B:$B,A243,'Issuance Log'!$G:$G,$B$4),IF(('Issuance Log'!$B:$B=A243)*('Issuance Log'!$G:$G=$B$4),'Issuance Log'!$D:$D),0)),"-")</f>
        <v>-</v>
      </c>
    </row>
    <row r="244" spans="1:5" x14ac:dyDescent="0.25">
      <c r="A244" s="4" t="s">
        <v>476</v>
      </c>
      <c r="B244" s="4" t="s">
        <v>477</v>
      </c>
      <c r="C244" s="5">
        <f>IFERROR(SUMIFS('Issuance Log'!$D:$D,'Issuance Log'!$B:$B,A244,'Issuance Log'!$G:$G,$B$4),0)</f>
        <v>0</v>
      </c>
      <c r="D244" s="5">
        <f>IFERROR(COUNTIFS('Issuance Log'!$B:$B,A244,'Issuance Log'!$G:$G,$B$4),0)</f>
        <v>0</v>
      </c>
      <c r="E244" s="5" t="str">
        <f ca="1">IFERROR(INDEX('Issuance Log'!$E:$E,MATCH(MAXIFS('Issuance Log'!$D:$D,'Issuance Log'!$B:$B,A244,'Issuance Log'!$G:$G,$B$4),IF(('Issuance Log'!$B:$B=A244)*('Issuance Log'!$G:$G=$B$4),'Issuance Log'!$D:$D),0)),"-")</f>
        <v>-</v>
      </c>
    </row>
    <row r="245" spans="1:5" x14ac:dyDescent="0.25">
      <c r="A245" s="2" t="s">
        <v>478</v>
      </c>
      <c r="B245" s="2" t="s">
        <v>479</v>
      </c>
      <c r="C245" s="3">
        <f>IFERROR(SUMIFS('Issuance Log'!$D:$D,'Issuance Log'!$B:$B,A245,'Issuance Log'!$G:$G,$B$4),0)</f>
        <v>0</v>
      </c>
      <c r="D245" s="3">
        <f>IFERROR(COUNTIFS('Issuance Log'!$B:$B,A245,'Issuance Log'!$G:$G,$B$4),0)</f>
        <v>0</v>
      </c>
      <c r="E245" s="3" t="str">
        <f ca="1">IFERROR(INDEX('Issuance Log'!$E:$E,MATCH(MAXIFS('Issuance Log'!$D:$D,'Issuance Log'!$B:$B,A245,'Issuance Log'!$G:$G,$B$4),IF(('Issuance Log'!$B:$B=A245)*('Issuance Log'!$G:$G=$B$4),'Issuance Log'!$D:$D),0)),"-")</f>
        <v>-</v>
      </c>
    </row>
    <row r="246" spans="1:5" x14ac:dyDescent="0.25">
      <c r="A246" s="4" t="s">
        <v>480</v>
      </c>
      <c r="B246" s="4" t="s">
        <v>481</v>
      </c>
      <c r="C246" s="5">
        <f>IFERROR(SUMIFS('Issuance Log'!$D:$D,'Issuance Log'!$B:$B,A246,'Issuance Log'!$G:$G,$B$4),0)</f>
        <v>0</v>
      </c>
      <c r="D246" s="5">
        <f>IFERROR(COUNTIFS('Issuance Log'!$B:$B,A246,'Issuance Log'!$G:$G,$B$4),0)</f>
        <v>0</v>
      </c>
      <c r="E246" s="5" t="str">
        <f ca="1">IFERROR(INDEX('Issuance Log'!$E:$E,MATCH(MAXIFS('Issuance Log'!$D:$D,'Issuance Log'!$B:$B,A246,'Issuance Log'!$G:$G,$B$4),IF(('Issuance Log'!$B:$B=A246)*('Issuance Log'!$G:$G=$B$4),'Issuance Log'!$D:$D),0)),"-")</f>
        <v>-</v>
      </c>
    </row>
    <row r="247" spans="1:5" x14ac:dyDescent="0.25">
      <c r="A247" s="2" t="s">
        <v>482</v>
      </c>
      <c r="B247" s="2" t="s">
        <v>483</v>
      </c>
      <c r="C247" s="3">
        <f>IFERROR(SUMIFS('Issuance Log'!$D:$D,'Issuance Log'!$B:$B,A247,'Issuance Log'!$G:$G,$B$4),0)</f>
        <v>0</v>
      </c>
      <c r="D247" s="3">
        <f>IFERROR(COUNTIFS('Issuance Log'!$B:$B,A247,'Issuance Log'!$G:$G,$B$4),0)</f>
        <v>0</v>
      </c>
      <c r="E247" s="3" t="str">
        <f ca="1">IFERROR(INDEX('Issuance Log'!$E:$E,MATCH(MAXIFS('Issuance Log'!$D:$D,'Issuance Log'!$B:$B,A247,'Issuance Log'!$G:$G,$B$4),IF(('Issuance Log'!$B:$B=A247)*('Issuance Log'!$G:$G=$B$4),'Issuance Log'!$D:$D),0)),"-")</f>
        <v>-</v>
      </c>
    </row>
    <row r="248" spans="1:5" x14ac:dyDescent="0.25">
      <c r="A248" s="4" t="s">
        <v>484</v>
      </c>
      <c r="B248" s="4" t="s">
        <v>485</v>
      </c>
      <c r="C248" s="5">
        <f>IFERROR(SUMIFS('Issuance Log'!$D:$D,'Issuance Log'!$B:$B,A248,'Issuance Log'!$G:$G,$B$4),0)</f>
        <v>0</v>
      </c>
      <c r="D248" s="5">
        <f>IFERROR(COUNTIFS('Issuance Log'!$B:$B,A248,'Issuance Log'!$G:$G,$B$4),0)</f>
        <v>0</v>
      </c>
      <c r="E248" s="5" t="str">
        <f ca="1">IFERROR(INDEX('Issuance Log'!$E:$E,MATCH(MAXIFS('Issuance Log'!$D:$D,'Issuance Log'!$B:$B,A248,'Issuance Log'!$G:$G,$B$4),IF(('Issuance Log'!$B:$B=A248)*('Issuance Log'!$G:$G=$B$4),'Issuance Log'!$D:$D),0)),"-")</f>
        <v>-</v>
      </c>
    </row>
    <row r="249" spans="1:5" x14ac:dyDescent="0.25">
      <c r="A249" s="2" t="s">
        <v>486</v>
      </c>
      <c r="B249" s="2" t="s">
        <v>487</v>
      </c>
      <c r="C249" s="3">
        <f>IFERROR(SUMIFS('Issuance Log'!$D:$D,'Issuance Log'!$B:$B,A249,'Issuance Log'!$G:$G,$B$4),0)</f>
        <v>0</v>
      </c>
      <c r="D249" s="3">
        <f>IFERROR(COUNTIFS('Issuance Log'!$B:$B,A249,'Issuance Log'!$G:$G,$B$4),0)</f>
        <v>0</v>
      </c>
      <c r="E249" s="3" t="str">
        <f ca="1">IFERROR(INDEX('Issuance Log'!$E:$E,MATCH(MAXIFS('Issuance Log'!$D:$D,'Issuance Log'!$B:$B,A249,'Issuance Log'!$G:$G,$B$4),IF(('Issuance Log'!$B:$B=A249)*('Issuance Log'!$G:$G=$B$4),'Issuance Log'!$D:$D),0)),"-")</f>
        <v>-</v>
      </c>
    </row>
    <row r="250" spans="1:5" x14ac:dyDescent="0.25">
      <c r="A250" s="4" t="s">
        <v>488</v>
      </c>
      <c r="B250" s="4" t="s">
        <v>489</v>
      </c>
      <c r="C250" s="5">
        <f>IFERROR(SUMIFS('Issuance Log'!$D:$D,'Issuance Log'!$B:$B,A250,'Issuance Log'!$G:$G,$B$4),0)</f>
        <v>0</v>
      </c>
      <c r="D250" s="5">
        <f>IFERROR(COUNTIFS('Issuance Log'!$B:$B,A250,'Issuance Log'!$G:$G,$B$4),0)</f>
        <v>0</v>
      </c>
      <c r="E250" s="5" t="str">
        <f ca="1">IFERROR(INDEX('Issuance Log'!$E:$E,MATCH(MAXIFS('Issuance Log'!$D:$D,'Issuance Log'!$B:$B,A250,'Issuance Log'!$G:$G,$B$4),IF(('Issuance Log'!$B:$B=A250)*('Issuance Log'!$G:$G=$B$4),'Issuance Log'!$D:$D),0)),"-")</f>
        <v>-</v>
      </c>
    </row>
    <row r="251" spans="1:5" x14ac:dyDescent="0.25">
      <c r="A251" s="2" t="s">
        <v>490</v>
      </c>
      <c r="B251" s="2" t="s">
        <v>491</v>
      </c>
      <c r="C251" s="3">
        <f>IFERROR(SUMIFS('Issuance Log'!$D:$D,'Issuance Log'!$B:$B,A251,'Issuance Log'!$G:$G,$B$4),0)</f>
        <v>0</v>
      </c>
      <c r="D251" s="3">
        <f>IFERROR(COUNTIFS('Issuance Log'!$B:$B,A251,'Issuance Log'!$G:$G,$B$4),0)</f>
        <v>0</v>
      </c>
      <c r="E251" s="3" t="str">
        <f ca="1">IFERROR(INDEX('Issuance Log'!$E:$E,MATCH(MAXIFS('Issuance Log'!$D:$D,'Issuance Log'!$B:$B,A251,'Issuance Log'!$G:$G,$B$4),IF(('Issuance Log'!$B:$B=A251)*('Issuance Log'!$G:$G=$B$4),'Issuance Log'!$D:$D),0)),"-")</f>
        <v>-</v>
      </c>
    </row>
    <row r="252" spans="1:5" x14ac:dyDescent="0.25">
      <c r="A252" s="4" t="s">
        <v>492</v>
      </c>
      <c r="B252" s="4" t="s">
        <v>493</v>
      </c>
      <c r="C252" s="5">
        <f>IFERROR(SUMIFS('Issuance Log'!$D:$D,'Issuance Log'!$B:$B,A252,'Issuance Log'!$G:$G,$B$4),0)</f>
        <v>0</v>
      </c>
      <c r="D252" s="5">
        <f>IFERROR(COUNTIFS('Issuance Log'!$B:$B,A252,'Issuance Log'!$G:$G,$B$4),0)</f>
        <v>0</v>
      </c>
      <c r="E252" s="5" t="str">
        <f ca="1">IFERROR(INDEX('Issuance Log'!$E:$E,MATCH(MAXIFS('Issuance Log'!$D:$D,'Issuance Log'!$B:$B,A252,'Issuance Log'!$G:$G,$B$4),IF(('Issuance Log'!$B:$B=A252)*('Issuance Log'!$G:$G=$B$4),'Issuance Log'!$D:$D),0)),"-")</f>
        <v>-</v>
      </c>
    </row>
    <row r="253" spans="1:5" x14ac:dyDescent="0.25">
      <c r="A253" s="2" t="s">
        <v>494</v>
      </c>
      <c r="B253" s="2" t="s">
        <v>495</v>
      </c>
      <c r="C253" s="3">
        <f>IFERROR(SUMIFS('Issuance Log'!$D:$D,'Issuance Log'!$B:$B,A253,'Issuance Log'!$G:$G,$B$4),0)</f>
        <v>0</v>
      </c>
      <c r="D253" s="3">
        <f>IFERROR(COUNTIFS('Issuance Log'!$B:$B,A253,'Issuance Log'!$G:$G,$B$4),0)</f>
        <v>0</v>
      </c>
      <c r="E253" s="3" t="str">
        <f ca="1">IFERROR(INDEX('Issuance Log'!$E:$E,MATCH(MAXIFS('Issuance Log'!$D:$D,'Issuance Log'!$B:$B,A253,'Issuance Log'!$G:$G,$B$4),IF(('Issuance Log'!$B:$B=A253)*('Issuance Log'!$G:$G=$B$4),'Issuance Log'!$D:$D),0)),"-")</f>
        <v>-</v>
      </c>
    </row>
    <row r="254" spans="1:5" x14ac:dyDescent="0.25">
      <c r="A254" s="4" t="s">
        <v>496</v>
      </c>
      <c r="B254" s="4" t="s">
        <v>497</v>
      </c>
      <c r="C254" s="5">
        <f>IFERROR(SUMIFS('Issuance Log'!$D:$D,'Issuance Log'!$B:$B,A254,'Issuance Log'!$G:$G,$B$4),0)</f>
        <v>0</v>
      </c>
      <c r="D254" s="5">
        <f>IFERROR(COUNTIFS('Issuance Log'!$B:$B,A254,'Issuance Log'!$G:$G,$B$4),0)</f>
        <v>0</v>
      </c>
      <c r="E254" s="5" t="str">
        <f ca="1">IFERROR(INDEX('Issuance Log'!$E:$E,MATCH(MAXIFS('Issuance Log'!$D:$D,'Issuance Log'!$B:$B,A254,'Issuance Log'!$G:$G,$B$4),IF(('Issuance Log'!$B:$B=A254)*('Issuance Log'!$G:$G=$B$4),'Issuance Log'!$D:$D),0)),"-")</f>
        <v>-</v>
      </c>
    </row>
    <row r="255" spans="1:5" x14ac:dyDescent="0.25">
      <c r="A255" s="2" t="s">
        <v>498</v>
      </c>
      <c r="B255" s="2" t="s">
        <v>499</v>
      </c>
      <c r="C255" s="3">
        <f>IFERROR(SUMIFS('Issuance Log'!$D:$D,'Issuance Log'!$B:$B,A255,'Issuance Log'!$G:$G,$B$4),0)</f>
        <v>0</v>
      </c>
      <c r="D255" s="3">
        <f>IFERROR(COUNTIFS('Issuance Log'!$B:$B,A255,'Issuance Log'!$G:$G,$B$4),0)</f>
        <v>0</v>
      </c>
      <c r="E255" s="3" t="str">
        <f ca="1">IFERROR(INDEX('Issuance Log'!$E:$E,MATCH(MAXIFS('Issuance Log'!$D:$D,'Issuance Log'!$B:$B,A255,'Issuance Log'!$G:$G,$B$4),IF(('Issuance Log'!$B:$B=A255)*('Issuance Log'!$G:$G=$B$4),'Issuance Log'!$D:$D),0)),"-")</f>
        <v>-</v>
      </c>
    </row>
    <row r="256" spans="1:5" x14ac:dyDescent="0.25">
      <c r="A256" s="4" t="s">
        <v>500</v>
      </c>
      <c r="B256" s="4" t="s">
        <v>501</v>
      </c>
      <c r="C256" s="5">
        <f>IFERROR(SUMIFS('Issuance Log'!$D:$D,'Issuance Log'!$B:$B,A256,'Issuance Log'!$G:$G,$B$4),0)</f>
        <v>0</v>
      </c>
      <c r="D256" s="5">
        <f>IFERROR(COUNTIFS('Issuance Log'!$B:$B,A256,'Issuance Log'!$G:$G,$B$4),0)</f>
        <v>0</v>
      </c>
      <c r="E256" s="5" t="str">
        <f ca="1">IFERROR(INDEX('Issuance Log'!$E:$E,MATCH(MAXIFS('Issuance Log'!$D:$D,'Issuance Log'!$B:$B,A256,'Issuance Log'!$G:$G,$B$4),IF(('Issuance Log'!$B:$B=A256)*('Issuance Log'!$G:$G=$B$4),'Issuance Log'!$D:$D),0)),"-")</f>
        <v>-</v>
      </c>
    </row>
    <row r="257" spans="1:5" x14ac:dyDescent="0.25">
      <c r="A257" s="2" t="s">
        <v>502</v>
      </c>
      <c r="B257" s="2" t="s">
        <v>503</v>
      </c>
      <c r="C257" s="3">
        <f>IFERROR(SUMIFS('Issuance Log'!$D:$D,'Issuance Log'!$B:$B,A257,'Issuance Log'!$G:$G,$B$4),0)</f>
        <v>0</v>
      </c>
      <c r="D257" s="3">
        <f>IFERROR(COUNTIFS('Issuance Log'!$B:$B,A257,'Issuance Log'!$G:$G,$B$4),0)</f>
        <v>0</v>
      </c>
      <c r="E257" s="3" t="str">
        <f ca="1">IFERROR(INDEX('Issuance Log'!$E:$E,MATCH(MAXIFS('Issuance Log'!$D:$D,'Issuance Log'!$B:$B,A257,'Issuance Log'!$G:$G,$B$4),IF(('Issuance Log'!$B:$B=A257)*('Issuance Log'!$G:$G=$B$4),'Issuance Log'!$D:$D),0)),"-")</f>
        <v>-</v>
      </c>
    </row>
    <row r="258" spans="1:5" x14ac:dyDescent="0.25">
      <c r="A258" s="4" t="s">
        <v>504</v>
      </c>
      <c r="B258" s="4" t="s">
        <v>505</v>
      </c>
      <c r="C258" s="5">
        <f>IFERROR(SUMIFS('Issuance Log'!$D:$D,'Issuance Log'!$B:$B,A258,'Issuance Log'!$G:$G,$B$4),0)</f>
        <v>0</v>
      </c>
      <c r="D258" s="5">
        <f>IFERROR(COUNTIFS('Issuance Log'!$B:$B,A258,'Issuance Log'!$G:$G,$B$4),0)</f>
        <v>0</v>
      </c>
      <c r="E258" s="5" t="str">
        <f ca="1">IFERROR(INDEX('Issuance Log'!$E:$E,MATCH(MAXIFS('Issuance Log'!$D:$D,'Issuance Log'!$B:$B,A258,'Issuance Log'!$G:$G,$B$4),IF(('Issuance Log'!$B:$B=A258)*('Issuance Log'!$G:$G=$B$4),'Issuance Log'!$D:$D),0)),"-")</f>
        <v>-</v>
      </c>
    </row>
    <row r="259" spans="1:5" x14ac:dyDescent="0.25">
      <c r="A259" s="2" t="s">
        <v>506</v>
      </c>
      <c r="B259" s="2" t="s">
        <v>507</v>
      </c>
      <c r="C259" s="3">
        <f>IFERROR(SUMIFS('Issuance Log'!$D:$D,'Issuance Log'!$B:$B,A259,'Issuance Log'!$G:$G,$B$4),0)</f>
        <v>0</v>
      </c>
      <c r="D259" s="3">
        <f>IFERROR(COUNTIFS('Issuance Log'!$B:$B,A259,'Issuance Log'!$G:$G,$B$4),0)</f>
        <v>0</v>
      </c>
      <c r="E259" s="3" t="str">
        <f ca="1">IFERROR(INDEX('Issuance Log'!$E:$E,MATCH(MAXIFS('Issuance Log'!$D:$D,'Issuance Log'!$B:$B,A259,'Issuance Log'!$G:$G,$B$4),IF(('Issuance Log'!$B:$B=A259)*('Issuance Log'!$G:$G=$B$4),'Issuance Log'!$D:$D),0)),"-")</f>
        <v>-</v>
      </c>
    </row>
    <row r="260" spans="1:5" x14ac:dyDescent="0.25">
      <c r="A260" s="4" t="s">
        <v>508</v>
      </c>
      <c r="B260" s="4" t="s">
        <v>509</v>
      </c>
      <c r="C260" s="5">
        <f>IFERROR(SUMIFS('Issuance Log'!$D:$D,'Issuance Log'!$B:$B,A260,'Issuance Log'!$G:$G,$B$4),0)</f>
        <v>0</v>
      </c>
      <c r="D260" s="5">
        <f>IFERROR(COUNTIFS('Issuance Log'!$B:$B,A260,'Issuance Log'!$G:$G,$B$4),0)</f>
        <v>0</v>
      </c>
      <c r="E260" s="5" t="str">
        <f ca="1">IFERROR(INDEX('Issuance Log'!$E:$E,MATCH(MAXIFS('Issuance Log'!$D:$D,'Issuance Log'!$B:$B,A260,'Issuance Log'!$G:$G,$B$4),IF(('Issuance Log'!$B:$B=A260)*('Issuance Log'!$G:$G=$B$4),'Issuance Log'!$D:$D),0)),"-")</f>
        <v>-</v>
      </c>
    </row>
    <row r="261" spans="1:5" x14ac:dyDescent="0.25">
      <c r="A261" s="2" t="s">
        <v>510</v>
      </c>
      <c r="B261" s="2" t="s">
        <v>511</v>
      </c>
      <c r="C261" s="3">
        <f>IFERROR(SUMIFS('Issuance Log'!$D:$D,'Issuance Log'!$B:$B,A261,'Issuance Log'!$G:$G,$B$4),0)</f>
        <v>0</v>
      </c>
      <c r="D261" s="3">
        <f>IFERROR(COUNTIFS('Issuance Log'!$B:$B,A261,'Issuance Log'!$G:$G,$B$4),0)</f>
        <v>0</v>
      </c>
      <c r="E261" s="3" t="str">
        <f ca="1">IFERROR(INDEX('Issuance Log'!$E:$E,MATCH(MAXIFS('Issuance Log'!$D:$D,'Issuance Log'!$B:$B,A261,'Issuance Log'!$G:$G,$B$4),IF(('Issuance Log'!$B:$B=A261)*('Issuance Log'!$G:$G=$B$4),'Issuance Log'!$D:$D),0)),"-")</f>
        <v>-</v>
      </c>
    </row>
    <row r="262" spans="1:5" x14ac:dyDescent="0.25">
      <c r="A262" s="4" t="s">
        <v>512</v>
      </c>
      <c r="B262" s="4" t="s">
        <v>513</v>
      </c>
      <c r="C262" s="5">
        <f>IFERROR(SUMIFS('Issuance Log'!$D:$D,'Issuance Log'!$B:$B,A262,'Issuance Log'!$G:$G,$B$4),0)</f>
        <v>0</v>
      </c>
      <c r="D262" s="5">
        <f>IFERROR(COUNTIFS('Issuance Log'!$B:$B,A262,'Issuance Log'!$G:$G,$B$4),0)</f>
        <v>0</v>
      </c>
      <c r="E262" s="5" t="str">
        <f ca="1">IFERROR(INDEX('Issuance Log'!$E:$E,MATCH(MAXIFS('Issuance Log'!$D:$D,'Issuance Log'!$B:$B,A262,'Issuance Log'!$G:$G,$B$4),IF(('Issuance Log'!$B:$B=A262)*('Issuance Log'!$G:$G=$B$4),'Issuance Log'!$D:$D),0)),"-")</f>
        <v>-</v>
      </c>
    </row>
    <row r="263" spans="1:5" x14ac:dyDescent="0.25">
      <c r="A263" s="2" t="s">
        <v>514</v>
      </c>
      <c r="B263" s="2" t="s">
        <v>515</v>
      </c>
      <c r="C263" s="3">
        <f>IFERROR(SUMIFS('Issuance Log'!$D:$D,'Issuance Log'!$B:$B,A263,'Issuance Log'!$G:$G,$B$4),0)</f>
        <v>0</v>
      </c>
      <c r="D263" s="3">
        <f>IFERROR(COUNTIFS('Issuance Log'!$B:$B,A263,'Issuance Log'!$G:$G,$B$4),0)</f>
        <v>0</v>
      </c>
      <c r="E263" s="3" t="str">
        <f ca="1">IFERROR(INDEX('Issuance Log'!$E:$E,MATCH(MAXIFS('Issuance Log'!$D:$D,'Issuance Log'!$B:$B,A263,'Issuance Log'!$G:$G,$B$4),IF(('Issuance Log'!$B:$B=A263)*('Issuance Log'!$G:$G=$B$4),'Issuance Log'!$D:$D),0)),"-")</f>
        <v>-</v>
      </c>
    </row>
    <row r="264" spans="1:5" x14ac:dyDescent="0.25">
      <c r="A264" s="4" t="s">
        <v>516</v>
      </c>
      <c r="B264" s="4" t="s">
        <v>517</v>
      </c>
      <c r="C264" s="5">
        <f>IFERROR(SUMIFS('Issuance Log'!$D:$D,'Issuance Log'!$B:$B,A264,'Issuance Log'!$G:$G,$B$4),0)</f>
        <v>0</v>
      </c>
      <c r="D264" s="5">
        <f>IFERROR(COUNTIFS('Issuance Log'!$B:$B,A264,'Issuance Log'!$G:$G,$B$4),0)</f>
        <v>0</v>
      </c>
      <c r="E264" s="5" t="str">
        <f ca="1">IFERROR(INDEX('Issuance Log'!$E:$E,MATCH(MAXIFS('Issuance Log'!$D:$D,'Issuance Log'!$B:$B,A264,'Issuance Log'!$G:$G,$B$4),IF(('Issuance Log'!$B:$B=A264)*('Issuance Log'!$G:$G=$B$4),'Issuance Log'!$D:$D),0)),"-")</f>
        <v>-</v>
      </c>
    </row>
    <row r="265" spans="1:5" x14ac:dyDescent="0.25">
      <c r="A265" s="2" t="s">
        <v>518</v>
      </c>
      <c r="B265" s="2" t="s">
        <v>519</v>
      </c>
      <c r="C265" s="3">
        <f>IFERROR(SUMIFS('Issuance Log'!$D:$D,'Issuance Log'!$B:$B,A265,'Issuance Log'!$G:$G,$B$4),0)</f>
        <v>0</v>
      </c>
      <c r="D265" s="3">
        <f>IFERROR(COUNTIFS('Issuance Log'!$B:$B,A265,'Issuance Log'!$G:$G,$B$4),0)</f>
        <v>0</v>
      </c>
      <c r="E265" s="3" t="str">
        <f ca="1">IFERROR(INDEX('Issuance Log'!$E:$E,MATCH(MAXIFS('Issuance Log'!$D:$D,'Issuance Log'!$B:$B,A265,'Issuance Log'!$G:$G,$B$4),IF(('Issuance Log'!$B:$B=A265)*('Issuance Log'!$G:$G=$B$4),'Issuance Log'!$D:$D),0)),"-")</f>
        <v>-</v>
      </c>
    </row>
    <row r="266" spans="1:5" x14ac:dyDescent="0.25">
      <c r="A266" s="4" t="s">
        <v>520</v>
      </c>
      <c r="B266" s="4" t="s">
        <v>521</v>
      </c>
      <c r="C266" s="5">
        <f>IFERROR(SUMIFS('Issuance Log'!$D:$D,'Issuance Log'!$B:$B,A266,'Issuance Log'!$G:$G,$B$4),0)</f>
        <v>0</v>
      </c>
      <c r="D266" s="5">
        <f>IFERROR(COUNTIFS('Issuance Log'!$B:$B,A266,'Issuance Log'!$G:$G,$B$4),0)</f>
        <v>0</v>
      </c>
      <c r="E266" s="5" t="str">
        <f ca="1">IFERROR(INDEX('Issuance Log'!$E:$E,MATCH(MAXIFS('Issuance Log'!$D:$D,'Issuance Log'!$B:$B,A266,'Issuance Log'!$G:$G,$B$4),IF(('Issuance Log'!$B:$B=A266)*('Issuance Log'!$G:$G=$B$4),'Issuance Log'!$D:$D),0)),"-")</f>
        <v>-</v>
      </c>
    </row>
    <row r="267" spans="1:5" x14ac:dyDescent="0.25">
      <c r="A267" s="2" t="s">
        <v>522</v>
      </c>
      <c r="B267" s="2" t="s">
        <v>523</v>
      </c>
      <c r="C267" s="3">
        <f>IFERROR(SUMIFS('Issuance Log'!$D:$D,'Issuance Log'!$B:$B,A267,'Issuance Log'!$G:$G,$B$4),0)</f>
        <v>0</v>
      </c>
      <c r="D267" s="3">
        <f>IFERROR(COUNTIFS('Issuance Log'!$B:$B,A267,'Issuance Log'!$G:$G,$B$4),0)</f>
        <v>0</v>
      </c>
      <c r="E267" s="3" t="str">
        <f ca="1">IFERROR(INDEX('Issuance Log'!$E:$E,MATCH(MAXIFS('Issuance Log'!$D:$D,'Issuance Log'!$B:$B,A267,'Issuance Log'!$G:$G,$B$4),IF(('Issuance Log'!$B:$B=A267)*('Issuance Log'!$G:$G=$B$4),'Issuance Log'!$D:$D),0)),"-")</f>
        <v>-</v>
      </c>
    </row>
    <row r="268" spans="1:5" x14ac:dyDescent="0.25">
      <c r="A268" s="4" t="s">
        <v>524</v>
      </c>
      <c r="B268" s="4" t="s">
        <v>525</v>
      </c>
      <c r="C268" s="5">
        <f>IFERROR(SUMIFS('Issuance Log'!$D:$D,'Issuance Log'!$B:$B,A268,'Issuance Log'!$G:$G,$B$4),0)</f>
        <v>0</v>
      </c>
      <c r="D268" s="5">
        <f>IFERROR(COUNTIFS('Issuance Log'!$B:$B,A268,'Issuance Log'!$G:$G,$B$4),0)</f>
        <v>0</v>
      </c>
      <c r="E268" s="5" t="str">
        <f ca="1">IFERROR(INDEX('Issuance Log'!$E:$E,MATCH(MAXIFS('Issuance Log'!$D:$D,'Issuance Log'!$B:$B,A268,'Issuance Log'!$G:$G,$B$4),IF(('Issuance Log'!$B:$B=A268)*('Issuance Log'!$G:$G=$B$4),'Issuance Log'!$D:$D),0)),"-")</f>
        <v>-</v>
      </c>
    </row>
    <row r="269" spans="1:5" x14ac:dyDescent="0.25">
      <c r="A269" s="2" t="s">
        <v>526</v>
      </c>
      <c r="B269" s="2" t="s">
        <v>527</v>
      </c>
      <c r="C269" s="3">
        <f>IFERROR(SUMIFS('Issuance Log'!$D:$D,'Issuance Log'!$B:$B,A269,'Issuance Log'!$G:$G,$B$4),0)</f>
        <v>0</v>
      </c>
      <c r="D269" s="3">
        <f>IFERROR(COUNTIFS('Issuance Log'!$B:$B,A269,'Issuance Log'!$G:$G,$B$4),0)</f>
        <v>0</v>
      </c>
      <c r="E269" s="3" t="str">
        <f ca="1">IFERROR(INDEX('Issuance Log'!$E:$E,MATCH(MAXIFS('Issuance Log'!$D:$D,'Issuance Log'!$B:$B,A269,'Issuance Log'!$G:$G,$B$4),IF(('Issuance Log'!$B:$B=A269)*('Issuance Log'!$G:$G=$B$4),'Issuance Log'!$D:$D),0)),"-")</f>
        <v>-</v>
      </c>
    </row>
    <row r="270" spans="1:5" x14ac:dyDescent="0.25">
      <c r="A270" s="4" t="s">
        <v>528</v>
      </c>
      <c r="B270" s="4" t="s">
        <v>529</v>
      </c>
      <c r="C270" s="5">
        <f>IFERROR(SUMIFS('Issuance Log'!$D:$D,'Issuance Log'!$B:$B,A270,'Issuance Log'!$G:$G,$B$4),0)</f>
        <v>0</v>
      </c>
      <c r="D270" s="5">
        <f>IFERROR(COUNTIFS('Issuance Log'!$B:$B,A270,'Issuance Log'!$G:$G,$B$4),0)</f>
        <v>0</v>
      </c>
      <c r="E270" s="5" t="str">
        <f ca="1">IFERROR(INDEX('Issuance Log'!$E:$E,MATCH(MAXIFS('Issuance Log'!$D:$D,'Issuance Log'!$B:$B,A270,'Issuance Log'!$G:$G,$B$4),IF(('Issuance Log'!$B:$B=A270)*('Issuance Log'!$G:$G=$B$4),'Issuance Log'!$D:$D),0)),"-")</f>
        <v>-</v>
      </c>
    </row>
    <row r="271" spans="1:5" x14ac:dyDescent="0.25">
      <c r="A271" s="2" t="s">
        <v>530</v>
      </c>
      <c r="B271" s="2" t="s">
        <v>531</v>
      </c>
      <c r="C271" s="3">
        <f>IFERROR(SUMIFS('Issuance Log'!$D:$D,'Issuance Log'!$B:$B,A271,'Issuance Log'!$G:$G,$B$4),0)</f>
        <v>0</v>
      </c>
      <c r="D271" s="3">
        <f>IFERROR(COUNTIFS('Issuance Log'!$B:$B,A271,'Issuance Log'!$G:$G,$B$4),0)</f>
        <v>0</v>
      </c>
      <c r="E271" s="3" t="str">
        <f ca="1">IFERROR(INDEX('Issuance Log'!$E:$E,MATCH(MAXIFS('Issuance Log'!$D:$D,'Issuance Log'!$B:$B,A271,'Issuance Log'!$G:$G,$B$4),IF(('Issuance Log'!$B:$B=A271)*('Issuance Log'!$G:$G=$B$4),'Issuance Log'!$D:$D),0)),"-")</f>
        <v>-</v>
      </c>
    </row>
    <row r="272" spans="1:5" x14ac:dyDescent="0.25">
      <c r="A272" s="4" t="s">
        <v>532</v>
      </c>
      <c r="B272" s="4" t="s">
        <v>533</v>
      </c>
      <c r="C272" s="5">
        <f>IFERROR(SUMIFS('Issuance Log'!$D:$D,'Issuance Log'!$B:$B,A272,'Issuance Log'!$G:$G,$B$4),0)</f>
        <v>0</v>
      </c>
      <c r="D272" s="5">
        <f>IFERROR(COUNTIFS('Issuance Log'!$B:$B,A272,'Issuance Log'!$G:$G,$B$4),0)</f>
        <v>0</v>
      </c>
      <c r="E272" s="5" t="str">
        <f ca="1">IFERROR(INDEX('Issuance Log'!$E:$E,MATCH(MAXIFS('Issuance Log'!$D:$D,'Issuance Log'!$B:$B,A272,'Issuance Log'!$G:$G,$B$4),IF(('Issuance Log'!$B:$B=A272)*('Issuance Log'!$G:$G=$B$4),'Issuance Log'!$D:$D),0)),"-")</f>
        <v>-</v>
      </c>
    </row>
    <row r="273" spans="1:5" x14ac:dyDescent="0.25">
      <c r="A273" s="2" t="s">
        <v>534</v>
      </c>
      <c r="B273" s="2" t="s">
        <v>535</v>
      </c>
      <c r="C273" s="3">
        <f>IFERROR(SUMIFS('Issuance Log'!$D:$D,'Issuance Log'!$B:$B,A273,'Issuance Log'!$G:$G,$B$4),0)</f>
        <v>0</v>
      </c>
      <c r="D273" s="3">
        <f>IFERROR(COUNTIFS('Issuance Log'!$B:$B,A273,'Issuance Log'!$G:$G,$B$4),0)</f>
        <v>0</v>
      </c>
      <c r="E273" s="3" t="str">
        <f ca="1">IFERROR(INDEX('Issuance Log'!$E:$E,MATCH(MAXIFS('Issuance Log'!$D:$D,'Issuance Log'!$B:$B,A273,'Issuance Log'!$G:$G,$B$4),IF(('Issuance Log'!$B:$B=A273)*('Issuance Log'!$G:$G=$B$4),'Issuance Log'!$D:$D),0)),"-")</f>
        <v>-</v>
      </c>
    </row>
    <row r="274" spans="1:5" x14ac:dyDescent="0.25">
      <c r="A274" s="4" t="s">
        <v>536</v>
      </c>
      <c r="B274" s="4" t="s">
        <v>537</v>
      </c>
      <c r="C274" s="5">
        <f>IFERROR(SUMIFS('Issuance Log'!$D:$D,'Issuance Log'!$B:$B,A274,'Issuance Log'!$G:$G,$B$4),0)</f>
        <v>0</v>
      </c>
      <c r="D274" s="5">
        <f>IFERROR(COUNTIFS('Issuance Log'!$B:$B,A274,'Issuance Log'!$G:$G,$B$4),0)</f>
        <v>0</v>
      </c>
      <c r="E274" s="5" t="str">
        <f ca="1">IFERROR(INDEX('Issuance Log'!$E:$E,MATCH(MAXIFS('Issuance Log'!$D:$D,'Issuance Log'!$B:$B,A274,'Issuance Log'!$G:$G,$B$4),IF(('Issuance Log'!$B:$B=A274)*('Issuance Log'!$G:$G=$B$4),'Issuance Log'!$D:$D),0)),"-")</f>
        <v>-</v>
      </c>
    </row>
    <row r="275" spans="1:5" x14ac:dyDescent="0.25">
      <c r="A275" s="2" t="s">
        <v>538</v>
      </c>
      <c r="B275" s="2" t="s">
        <v>539</v>
      </c>
      <c r="C275" s="3">
        <f>IFERROR(SUMIFS('Issuance Log'!$D:$D,'Issuance Log'!$B:$B,A275,'Issuance Log'!$G:$G,$B$4),0)</f>
        <v>0</v>
      </c>
      <c r="D275" s="3">
        <f>IFERROR(COUNTIFS('Issuance Log'!$B:$B,A275,'Issuance Log'!$G:$G,$B$4),0)</f>
        <v>0</v>
      </c>
      <c r="E275" s="3" t="str">
        <f ca="1">IFERROR(INDEX('Issuance Log'!$E:$E,MATCH(MAXIFS('Issuance Log'!$D:$D,'Issuance Log'!$B:$B,A275,'Issuance Log'!$G:$G,$B$4),IF(('Issuance Log'!$B:$B=A275)*('Issuance Log'!$G:$G=$B$4),'Issuance Log'!$D:$D),0)),"-")</f>
        <v>-</v>
      </c>
    </row>
    <row r="276" spans="1:5" x14ac:dyDescent="0.25">
      <c r="A276" s="4" t="s">
        <v>540</v>
      </c>
      <c r="B276" s="4" t="s">
        <v>541</v>
      </c>
      <c r="C276" s="5">
        <f>IFERROR(SUMIFS('Issuance Log'!$D:$D,'Issuance Log'!$B:$B,A276,'Issuance Log'!$G:$G,$B$4),0)</f>
        <v>0</v>
      </c>
      <c r="D276" s="5">
        <f>IFERROR(COUNTIFS('Issuance Log'!$B:$B,A276,'Issuance Log'!$G:$G,$B$4),0)</f>
        <v>0</v>
      </c>
      <c r="E276" s="5" t="str">
        <f ca="1">IFERROR(INDEX('Issuance Log'!$E:$E,MATCH(MAXIFS('Issuance Log'!$D:$D,'Issuance Log'!$B:$B,A276,'Issuance Log'!$G:$G,$B$4),IF(('Issuance Log'!$B:$B=A276)*('Issuance Log'!$G:$G=$B$4),'Issuance Log'!$D:$D),0)),"-")</f>
        <v>-</v>
      </c>
    </row>
    <row r="277" spans="1:5" x14ac:dyDescent="0.25">
      <c r="A277" s="2" t="s">
        <v>542</v>
      </c>
      <c r="B277" s="2" t="s">
        <v>543</v>
      </c>
      <c r="C277" s="3">
        <f>IFERROR(SUMIFS('Issuance Log'!$D:$D,'Issuance Log'!$B:$B,A277,'Issuance Log'!$G:$G,$B$4),0)</f>
        <v>0</v>
      </c>
      <c r="D277" s="3">
        <f>IFERROR(COUNTIFS('Issuance Log'!$B:$B,A277,'Issuance Log'!$G:$G,$B$4),0)</f>
        <v>0</v>
      </c>
      <c r="E277" s="3" t="str">
        <f ca="1">IFERROR(INDEX('Issuance Log'!$E:$E,MATCH(MAXIFS('Issuance Log'!$D:$D,'Issuance Log'!$B:$B,A277,'Issuance Log'!$G:$G,$B$4),IF(('Issuance Log'!$B:$B=A277)*('Issuance Log'!$G:$G=$B$4),'Issuance Log'!$D:$D),0)),"-")</f>
        <v>-</v>
      </c>
    </row>
    <row r="278" spans="1:5" x14ac:dyDescent="0.25">
      <c r="A278" s="4" t="s">
        <v>544</v>
      </c>
      <c r="B278" s="4" t="s">
        <v>545</v>
      </c>
      <c r="C278" s="5">
        <f>IFERROR(SUMIFS('Issuance Log'!$D:$D,'Issuance Log'!$B:$B,A278,'Issuance Log'!$G:$G,$B$4),0)</f>
        <v>0</v>
      </c>
      <c r="D278" s="5">
        <f>IFERROR(COUNTIFS('Issuance Log'!$B:$B,A278,'Issuance Log'!$G:$G,$B$4),0)</f>
        <v>0</v>
      </c>
      <c r="E278" s="5" t="str">
        <f ca="1">IFERROR(INDEX('Issuance Log'!$E:$E,MATCH(MAXIFS('Issuance Log'!$D:$D,'Issuance Log'!$B:$B,A278,'Issuance Log'!$G:$G,$B$4),IF(('Issuance Log'!$B:$B=A278)*('Issuance Log'!$G:$G=$B$4),'Issuance Log'!$D:$D),0)),"-")</f>
        <v>-</v>
      </c>
    </row>
    <row r="279" spans="1:5" x14ac:dyDescent="0.25">
      <c r="A279" s="2" t="s">
        <v>546</v>
      </c>
      <c r="B279" s="2" t="s">
        <v>547</v>
      </c>
      <c r="C279" s="3">
        <f>IFERROR(SUMIFS('Issuance Log'!$D:$D,'Issuance Log'!$B:$B,A279,'Issuance Log'!$G:$G,$B$4),0)</f>
        <v>0</v>
      </c>
      <c r="D279" s="3">
        <f>IFERROR(COUNTIFS('Issuance Log'!$B:$B,A279,'Issuance Log'!$G:$G,$B$4),0)</f>
        <v>0</v>
      </c>
      <c r="E279" s="3" t="str">
        <f ca="1">IFERROR(INDEX('Issuance Log'!$E:$E,MATCH(MAXIFS('Issuance Log'!$D:$D,'Issuance Log'!$B:$B,A279,'Issuance Log'!$G:$G,$B$4),IF(('Issuance Log'!$B:$B=A279)*('Issuance Log'!$G:$G=$B$4),'Issuance Log'!$D:$D),0)),"-")</f>
        <v>-</v>
      </c>
    </row>
    <row r="280" spans="1:5" x14ac:dyDescent="0.25">
      <c r="A280" s="4" t="s">
        <v>548</v>
      </c>
      <c r="B280" s="4" t="s">
        <v>549</v>
      </c>
      <c r="C280" s="5">
        <f>IFERROR(SUMIFS('Issuance Log'!$D:$D,'Issuance Log'!$B:$B,A280,'Issuance Log'!$G:$G,$B$4),0)</f>
        <v>0</v>
      </c>
      <c r="D280" s="5">
        <f>IFERROR(COUNTIFS('Issuance Log'!$B:$B,A280,'Issuance Log'!$G:$G,$B$4),0)</f>
        <v>0</v>
      </c>
      <c r="E280" s="5" t="str">
        <f ca="1">IFERROR(INDEX('Issuance Log'!$E:$E,MATCH(MAXIFS('Issuance Log'!$D:$D,'Issuance Log'!$B:$B,A280,'Issuance Log'!$G:$G,$B$4),IF(('Issuance Log'!$B:$B=A280)*('Issuance Log'!$G:$G=$B$4),'Issuance Log'!$D:$D),0)),"-")</f>
        <v>-</v>
      </c>
    </row>
    <row r="281" spans="1:5" x14ac:dyDescent="0.25">
      <c r="A281" s="2" t="s">
        <v>550</v>
      </c>
      <c r="B281" s="2" t="s">
        <v>551</v>
      </c>
      <c r="C281" s="3">
        <f>IFERROR(SUMIFS('Issuance Log'!$D:$D,'Issuance Log'!$B:$B,A281,'Issuance Log'!$G:$G,$B$4),0)</f>
        <v>0</v>
      </c>
      <c r="D281" s="3">
        <f>IFERROR(COUNTIFS('Issuance Log'!$B:$B,A281,'Issuance Log'!$G:$G,$B$4),0)</f>
        <v>0</v>
      </c>
      <c r="E281" s="3" t="str">
        <f ca="1">IFERROR(INDEX('Issuance Log'!$E:$E,MATCH(MAXIFS('Issuance Log'!$D:$D,'Issuance Log'!$B:$B,A281,'Issuance Log'!$G:$G,$B$4),IF(('Issuance Log'!$B:$B=A281)*('Issuance Log'!$G:$G=$B$4),'Issuance Log'!$D:$D),0)),"-")</f>
        <v>-</v>
      </c>
    </row>
    <row r="282" spans="1:5" x14ac:dyDescent="0.25">
      <c r="A282" s="4" t="s">
        <v>552</v>
      </c>
      <c r="B282" s="4" t="s">
        <v>553</v>
      </c>
      <c r="C282" s="5">
        <f>IFERROR(SUMIFS('Issuance Log'!$D:$D,'Issuance Log'!$B:$B,A282,'Issuance Log'!$G:$G,$B$4),0)</f>
        <v>0</v>
      </c>
      <c r="D282" s="5">
        <f>IFERROR(COUNTIFS('Issuance Log'!$B:$B,A282,'Issuance Log'!$G:$G,$B$4),0)</f>
        <v>0</v>
      </c>
      <c r="E282" s="5" t="str">
        <f ca="1">IFERROR(INDEX('Issuance Log'!$E:$E,MATCH(MAXIFS('Issuance Log'!$D:$D,'Issuance Log'!$B:$B,A282,'Issuance Log'!$G:$G,$B$4),IF(('Issuance Log'!$B:$B=A282)*('Issuance Log'!$G:$G=$B$4),'Issuance Log'!$D:$D),0)),"-")</f>
        <v>-</v>
      </c>
    </row>
    <row r="283" spans="1:5" x14ac:dyDescent="0.25">
      <c r="A283" s="2" t="s">
        <v>554</v>
      </c>
      <c r="B283" s="2" t="s">
        <v>555</v>
      </c>
      <c r="C283" s="3">
        <f>IFERROR(SUMIFS('Issuance Log'!$D:$D,'Issuance Log'!$B:$B,A283,'Issuance Log'!$G:$G,$B$4),0)</f>
        <v>0</v>
      </c>
      <c r="D283" s="3">
        <f>IFERROR(COUNTIFS('Issuance Log'!$B:$B,A283,'Issuance Log'!$G:$G,$B$4),0)</f>
        <v>0</v>
      </c>
      <c r="E283" s="3" t="str">
        <f ca="1">IFERROR(INDEX('Issuance Log'!$E:$E,MATCH(MAXIFS('Issuance Log'!$D:$D,'Issuance Log'!$B:$B,A283,'Issuance Log'!$G:$G,$B$4),IF(('Issuance Log'!$B:$B=A283)*('Issuance Log'!$G:$G=$B$4),'Issuance Log'!$D:$D),0)),"-")</f>
        <v>-</v>
      </c>
    </row>
    <row r="284" spans="1:5" x14ac:dyDescent="0.25">
      <c r="A284" s="4" t="s">
        <v>556</v>
      </c>
      <c r="B284" s="4" t="s">
        <v>557</v>
      </c>
      <c r="C284" s="5">
        <f>IFERROR(SUMIFS('Issuance Log'!$D:$D,'Issuance Log'!$B:$B,A284,'Issuance Log'!$G:$G,$B$4),0)</f>
        <v>0</v>
      </c>
      <c r="D284" s="5">
        <f>IFERROR(COUNTIFS('Issuance Log'!$B:$B,A284,'Issuance Log'!$G:$G,$B$4),0)</f>
        <v>0</v>
      </c>
      <c r="E284" s="5" t="str">
        <f ca="1">IFERROR(INDEX('Issuance Log'!$E:$E,MATCH(MAXIFS('Issuance Log'!$D:$D,'Issuance Log'!$B:$B,A284,'Issuance Log'!$G:$G,$B$4),IF(('Issuance Log'!$B:$B=A284)*('Issuance Log'!$G:$G=$B$4),'Issuance Log'!$D:$D),0)),"-")</f>
        <v>-</v>
      </c>
    </row>
    <row r="285" spans="1:5" x14ac:dyDescent="0.25">
      <c r="A285" s="2" t="s">
        <v>558</v>
      </c>
      <c r="B285" s="2" t="s">
        <v>559</v>
      </c>
      <c r="C285" s="3">
        <f>IFERROR(SUMIFS('Issuance Log'!$D:$D,'Issuance Log'!$B:$B,A285,'Issuance Log'!$G:$G,$B$4),0)</f>
        <v>0</v>
      </c>
      <c r="D285" s="3">
        <f>IFERROR(COUNTIFS('Issuance Log'!$B:$B,A285,'Issuance Log'!$G:$G,$B$4),0)</f>
        <v>0</v>
      </c>
      <c r="E285" s="3" t="str">
        <f ca="1">IFERROR(INDEX('Issuance Log'!$E:$E,MATCH(MAXIFS('Issuance Log'!$D:$D,'Issuance Log'!$B:$B,A285,'Issuance Log'!$G:$G,$B$4),IF(('Issuance Log'!$B:$B=A285)*('Issuance Log'!$G:$G=$B$4),'Issuance Log'!$D:$D),0)),"-")</f>
        <v>-</v>
      </c>
    </row>
    <row r="286" spans="1:5" x14ac:dyDescent="0.25">
      <c r="A286" s="4" t="s">
        <v>560</v>
      </c>
      <c r="B286" s="4" t="s">
        <v>561</v>
      </c>
      <c r="C286" s="5">
        <f>IFERROR(SUMIFS('Issuance Log'!$D:$D,'Issuance Log'!$B:$B,A286,'Issuance Log'!$G:$G,$B$4),0)</f>
        <v>0</v>
      </c>
      <c r="D286" s="5">
        <f>IFERROR(COUNTIFS('Issuance Log'!$B:$B,A286,'Issuance Log'!$G:$G,$B$4),0)</f>
        <v>0</v>
      </c>
      <c r="E286" s="5" t="str">
        <f ca="1">IFERROR(INDEX('Issuance Log'!$E:$E,MATCH(MAXIFS('Issuance Log'!$D:$D,'Issuance Log'!$B:$B,A286,'Issuance Log'!$G:$G,$B$4),IF(('Issuance Log'!$B:$B=A286)*('Issuance Log'!$G:$G=$B$4),'Issuance Log'!$D:$D),0)),"-")</f>
        <v>-</v>
      </c>
    </row>
    <row r="287" spans="1:5" x14ac:dyDescent="0.25">
      <c r="A287" s="2" t="s">
        <v>562</v>
      </c>
      <c r="B287" s="2" t="s">
        <v>563</v>
      </c>
      <c r="C287" s="3">
        <f>IFERROR(SUMIFS('Issuance Log'!$D:$D,'Issuance Log'!$B:$B,A287,'Issuance Log'!$G:$G,$B$4),0)</f>
        <v>0</v>
      </c>
      <c r="D287" s="3">
        <f>IFERROR(COUNTIFS('Issuance Log'!$B:$B,A287,'Issuance Log'!$G:$G,$B$4),0)</f>
        <v>0</v>
      </c>
      <c r="E287" s="3" t="str">
        <f ca="1">IFERROR(INDEX('Issuance Log'!$E:$E,MATCH(MAXIFS('Issuance Log'!$D:$D,'Issuance Log'!$B:$B,A287,'Issuance Log'!$G:$G,$B$4),IF(('Issuance Log'!$B:$B=A287)*('Issuance Log'!$G:$G=$B$4),'Issuance Log'!$D:$D),0)),"-")</f>
        <v>-</v>
      </c>
    </row>
    <row r="288" spans="1:5" x14ac:dyDescent="0.25">
      <c r="A288" s="4" t="s">
        <v>564</v>
      </c>
      <c r="B288" s="4" t="s">
        <v>565</v>
      </c>
      <c r="C288" s="5">
        <f>IFERROR(SUMIFS('Issuance Log'!$D:$D,'Issuance Log'!$B:$B,A288,'Issuance Log'!$G:$G,$B$4),0)</f>
        <v>0</v>
      </c>
      <c r="D288" s="5">
        <f>IFERROR(COUNTIFS('Issuance Log'!$B:$B,A288,'Issuance Log'!$G:$G,$B$4),0)</f>
        <v>0</v>
      </c>
      <c r="E288" s="5" t="str">
        <f ca="1">IFERROR(INDEX('Issuance Log'!$E:$E,MATCH(MAXIFS('Issuance Log'!$D:$D,'Issuance Log'!$B:$B,A288,'Issuance Log'!$G:$G,$B$4),IF(('Issuance Log'!$B:$B=A288)*('Issuance Log'!$G:$G=$B$4),'Issuance Log'!$D:$D),0)),"-")</f>
        <v>-</v>
      </c>
    </row>
    <row r="289" spans="1:5" x14ac:dyDescent="0.25">
      <c r="A289" s="2" t="s">
        <v>566</v>
      </c>
      <c r="B289" s="2" t="s">
        <v>567</v>
      </c>
      <c r="C289" s="3">
        <f>IFERROR(SUMIFS('Issuance Log'!$D:$D,'Issuance Log'!$B:$B,A289,'Issuance Log'!$G:$G,$B$4),0)</f>
        <v>0</v>
      </c>
      <c r="D289" s="3">
        <f>IFERROR(COUNTIFS('Issuance Log'!$B:$B,A289,'Issuance Log'!$G:$G,$B$4),0)</f>
        <v>0</v>
      </c>
      <c r="E289" s="3" t="str">
        <f ca="1">IFERROR(INDEX('Issuance Log'!$E:$E,MATCH(MAXIFS('Issuance Log'!$D:$D,'Issuance Log'!$B:$B,A289,'Issuance Log'!$G:$G,$B$4),IF(('Issuance Log'!$B:$B=A289)*('Issuance Log'!$G:$G=$B$4),'Issuance Log'!$D:$D),0)),"-")</f>
        <v>-</v>
      </c>
    </row>
    <row r="290" spans="1:5" x14ac:dyDescent="0.25">
      <c r="A290" s="4" t="s">
        <v>568</v>
      </c>
      <c r="B290" s="4" t="s">
        <v>569</v>
      </c>
      <c r="C290" s="5">
        <f>IFERROR(SUMIFS('Issuance Log'!$D:$D,'Issuance Log'!$B:$B,A290,'Issuance Log'!$G:$G,$B$4),0)</f>
        <v>0</v>
      </c>
      <c r="D290" s="5">
        <f>IFERROR(COUNTIFS('Issuance Log'!$B:$B,A290,'Issuance Log'!$G:$G,$B$4),0)</f>
        <v>0</v>
      </c>
      <c r="E290" s="5" t="str">
        <f ca="1">IFERROR(INDEX('Issuance Log'!$E:$E,MATCH(MAXIFS('Issuance Log'!$D:$D,'Issuance Log'!$B:$B,A290,'Issuance Log'!$G:$G,$B$4),IF(('Issuance Log'!$B:$B=A290)*('Issuance Log'!$G:$G=$B$4),'Issuance Log'!$D:$D),0)),"-")</f>
        <v>-</v>
      </c>
    </row>
    <row r="291" spans="1:5" x14ac:dyDescent="0.25">
      <c r="A291" s="2" t="s">
        <v>570</v>
      </c>
      <c r="B291" s="2" t="s">
        <v>571</v>
      </c>
      <c r="C291" s="3">
        <f>IFERROR(SUMIFS('Issuance Log'!$D:$D,'Issuance Log'!$B:$B,A291,'Issuance Log'!$G:$G,$B$4),0)</f>
        <v>0</v>
      </c>
      <c r="D291" s="3">
        <f>IFERROR(COUNTIFS('Issuance Log'!$B:$B,A291,'Issuance Log'!$G:$G,$B$4),0)</f>
        <v>0</v>
      </c>
      <c r="E291" s="3" t="str">
        <f ca="1">IFERROR(INDEX('Issuance Log'!$E:$E,MATCH(MAXIFS('Issuance Log'!$D:$D,'Issuance Log'!$B:$B,A291,'Issuance Log'!$G:$G,$B$4),IF(('Issuance Log'!$B:$B=A291)*('Issuance Log'!$G:$G=$B$4),'Issuance Log'!$D:$D),0)),"-")</f>
        <v>-</v>
      </c>
    </row>
    <row r="292" spans="1:5" x14ac:dyDescent="0.25">
      <c r="A292" s="4" t="s">
        <v>572</v>
      </c>
      <c r="B292" s="4" t="s">
        <v>573</v>
      </c>
      <c r="C292" s="5">
        <f>IFERROR(SUMIFS('Issuance Log'!$D:$D,'Issuance Log'!$B:$B,A292,'Issuance Log'!$G:$G,$B$4),0)</f>
        <v>0</v>
      </c>
      <c r="D292" s="5">
        <f>IFERROR(COUNTIFS('Issuance Log'!$B:$B,A292,'Issuance Log'!$G:$G,$B$4),0)</f>
        <v>0</v>
      </c>
      <c r="E292" s="5" t="str">
        <f ca="1">IFERROR(INDEX('Issuance Log'!$E:$E,MATCH(MAXIFS('Issuance Log'!$D:$D,'Issuance Log'!$B:$B,A292,'Issuance Log'!$G:$G,$B$4),IF(('Issuance Log'!$B:$B=A292)*('Issuance Log'!$G:$G=$B$4),'Issuance Log'!$D:$D),0)),"-")</f>
        <v>-</v>
      </c>
    </row>
    <row r="293" spans="1:5" x14ac:dyDescent="0.25">
      <c r="A293" s="2" t="s">
        <v>574</v>
      </c>
      <c r="B293" s="2" t="s">
        <v>575</v>
      </c>
      <c r="C293" s="3">
        <f>IFERROR(SUMIFS('Issuance Log'!$D:$D,'Issuance Log'!$B:$B,A293,'Issuance Log'!$G:$G,$B$4),0)</f>
        <v>0</v>
      </c>
      <c r="D293" s="3">
        <f>IFERROR(COUNTIFS('Issuance Log'!$B:$B,A293,'Issuance Log'!$G:$G,$B$4),0)</f>
        <v>0</v>
      </c>
      <c r="E293" s="3" t="str">
        <f ca="1">IFERROR(INDEX('Issuance Log'!$E:$E,MATCH(MAXIFS('Issuance Log'!$D:$D,'Issuance Log'!$B:$B,A293,'Issuance Log'!$G:$G,$B$4),IF(('Issuance Log'!$B:$B=A293)*('Issuance Log'!$G:$G=$B$4),'Issuance Log'!$D:$D),0)),"-")</f>
        <v>-</v>
      </c>
    </row>
    <row r="294" spans="1:5" x14ac:dyDescent="0.25">
      <c r="A294" s="4" t="s">
        <v>576</v>
      </c>
      <c r="B294" s="4" t="s">
        <v>577</v>
      </c>
      <c r="C294" s="5">
        <f>IFERROR(SUMIFS('Issuance Log'!$D:$D,'Issuance Log'!$B:$B,A294,'Issuance Log'!$G:$G,$B$4),0)</f>
        <v>0</v>
      </c>
      <c r="D294" s="5">
        <f>IFERROR(COUNTIFS('Issuance Log'!$B:$B,A294,'Issuance Log'!$G:$G,$B$4),0)</f>
        <v>0</v>
      </c>
      <c r="E294" s="5" t="str">
        <f ca="1">IFERROR(INDEX('Issuance Log'!$E:$E,MATCH(MAXIFS('Issuance Log'!$D:$D,'Issuance Log'!$B:$B,A294,'Issuance Log'!$G:$G,$B$4),IF(('Issuance Log'!$B:$B=A294)*('Issuance Log'!$G:$G=$B$4),'Issuance Log'!$D:$D),0)),"-")</f>
        <v>-</v>
      </c>
    </row>
    <row r="295" spans="1:5" x14ac:dyDescent="0.25">
      <c r="A295" s="2" t="s">
        <v>578</v>
      </c>
      <c r="B295" s="2" t="s">
        <v>579</v>
      </c>
      <c r="C295" s="3">
        <f>IFERROR(SUMIFS('Issuance Log'!$D:$D,'Issuance Log'!$B:$B,A295,'Issuance Log'!$G:$G,$B$4),0)</f>
        <v>0</v>
      </c>
      <c r="D295" s="3">
        <f>IFERROR(COUNTIFS('Issuance Log'!$B:$B,A295,'Issuance Log'!$G:$G,$B$4),0)</f>
        <v>0</v>
      </c>
      <c r="E295" s="3" t="str">
        <f ca="1">IFERROR(INDEX('Issuance Log'!$E:$E,MATCH(MAXIFS('Issuance Log'!$D:$D,'Issuance Log'!$B:$B,A295,'Issuance Log'!$G:$G,$B$4),IF(('Issuance Log'!$B:$B=A295)*('Issuance Log'!$G:$G=$B$4),'Issuance Log'!$D:$D),0)),"-")</f>
        <v>-</v>
      </c>
    </row>
    <row r="296" spans="1:5" x14ac:dyDescent="0.25">
      <c r="A296" s="4" t="s">
        <v>580</v>
      </c>
      <c r="B296" s="4" t="s">
        <v>581</v>
      </c>
      <c r="C296" s="5">
        <f>IFERROR(SUMIFS('Issuance Log'!$D:$D,'Issuance Log'!$B:$B,A296,'Issuance Log'!$G:$G,$B$4),0)</f>
        <v>0</v>
      </c>
      <c r="D296" s="5">
        <f>IFERROR(COUNTIFS('Issuance Log'!$B:$B,A296,'Issuance Log'!$G:$G,$B$4),0)</f>
        <v>0</v>
      </c>
      <c r="E296" s="5" t="str">
        <f ca="1">IFERROR(INDEX('Issuance Log'!$E:$E,MATCH(MAXIFS('Issuance Log'!$D:$D,'Issuance Log'!$B:$B,A296,'Issuance Log'!$G:$G,$B$4),IF(('Issuance Log'!$B:$B=A296)*('Issuance Log'!$G:$G=$B$4),'Issuance Log'!$D:$D),0)),"-")</f>
        <v>-</v>
      </c>
    </row>
    <row r="297" spans="1:5" x14ac:dyDescent="0.25">
      <c r="A297" s="2" t="s">
        <v>582</v>
      </c>
      <c r="B297" s="2" t="s">
        <v>583</v>
      </c>
      <c r="C297" s="3">
        <f>IFERROR(SUMIFS('Issuance Log'!$D:$D,'Issuance Log'!$B:$B,A297,'Issuance Log'!$G:$G,$B$4),0)</f>
        <v>0</v>
      </c>
      <c r="D297" s="3">
        <f>IFERROR(COUNTIFS('Issuance Log'!$B:$B,A297,'Issuance Log'!$G:$G,$B$4),0)</f>
        <v>0</v>
      </c>
      <c r="E297" s="3" t="str">
        <f ca="1">IFERROR(INDEX('Issuance Log'!$E:$E,MATCH(MAXIFS('Issuance Log'!$D:$D,'Issuance Log'!$B:$B,A297,'Issuance Log'!$G:$G,$B$4),IF(('Issuance Log'!$B:$B=A297)*('Issuance Log'!$G:$G=$B$4),'Issuance Log'!$D:$D),0)),"-")</f>
        <v>-</v>
      </c>
    </row>
    <row r="298" spans="1:5" x14ac:dyDescent="0.25">
      <c r="A298" s="4" t="s">
        <v>584</v>
      </c>
      <c r="B298" s="4" t="s">
        <v>585</v>
      </c>
      <c r="C298" s="5">
        <f>IFERROR(SUMIFS('Issuance Log'!$D:$D,'Issuance Log'!$B:$B,A298,'Issuance Log'!$G:$G,$B$4),0)</f>
        <v>0</v>
      </c>
      <c r="D298" s="5">
        <f>IFERROR(COUNTIFS('Issuance Log'!$B:$B,A298,'Issuance Log'!$G:$G,$B$4),0)</f>
        <v>0</v>
      </c>
      <c r="E298" s="5" t="str">
        <f ca="1">IFERROR(INDEX('Issuance Log'!$E:$E,MATCH(MAXIFS('Issuance Log'!$D:$D,'Issuance Log'!$B:$B,A298,'Issuance Log'!$G:$G,$B$4),IF(('Issuance Log'!$B:$B=A298)*('Issuance Log'!$G:$G=$B$4),'Issuance Log'!$D:$D),0)),"-")</f>
        <v>-</v>
      </c>
    </row>
    <row r="299" spans="1:5" x14ac:dyDescent="0.25">
      <c r="A299" s="2" t="s">
        <v>586</v>
      </c>
      <c r="B299" s="2" t="s">
        <v>587</v>
      </c>
      <c r="C299" s="3">
        <f>IFERROR(SUMIFS('Issuance Log'!$D:$D,'Issuance Log'!$B:$B,A299,'Issuance Log'!$G:$G,$B$4),0)</f>
        <v>0</v>
      </c>
      <c r="D299" s="3">
        <f>IFERROR(COUNTIFS('Issuance Log'!$B:$B,A299,'Issuance Log'!$G:$G,$B$4),0)</f>
        <v>0</v>
      </c>
      <c r="E299" s="3" t="str">
        <f ca="1">IFERROR(INDEX('Issuance Log'!$E:$E,MATCH(MAXIFS('Issuance Log'!$D:$D,'Issuance Log'!$B:$B,A299,'Issuance Log'!$G:$G,$B$4),IF(('Issuance Log'!$B:$B=A299)*('Issuance Log'!$G:$G=$B$4),'Issuance Log'!$D:$D),0)),"-")</f>
        <v>-</v>
      </c>
    </row>
    <row r="300" spans="1:5" x14ac:dyDescent="0.25">
      <c r="A300" s="4" t="s">
        <v>588</v>
      </c>
      <c r="B300" s="4" t="s">
        <v>589</v>
      </c>
      <c r="C300" s="5">
        <f>IFERROR(SUMIFS('Issuance Log'!$D:$D,'Issuance Log'!$B:$B,A300,'Issuance Log'!$G:$G,$B$4),0)</f>
        <v>0</v>
      </c>
      <c r="D300" s="5">
        <f>IFERROR(COUNTIFS('Issuance Log'!$B:$B,A300,'Issuance Log'!$G:$G,$B$4),0)</f>
        <v>0</v>
      </c>
      <c r="E300" s="5" t="str">
        <f ca="1">IFERROR(INDEX('Issuance Log'!$E:$E,MATCH(MAXIFS('Issuance Log'!$D:$D,'Issuance Log'!$B:$B,A300,'Issuance Log'!$G:$G,$B$4),IF(('Issuance Log'!$B:$B=A300)*('Issuance Log'!$G:$G=$B$4),'Issuance Log'!$D:$D),0)),"-")</f>
        <v>-</v>
      </c>
    </row>
    <row r="301" spans="1:5" x14ac:dyDescent="0.25">
      <c r="A301" s="2" t="s">
        <v>590</v>
      </c>
      <c r="B301" s="2" t="s">
        <v>591</v>
      </c>
      <c r="C301" s="3">
        <f>IFERROR(SUMIFS('Issuance Log'!$D:$D,'Issuance Log'!$B:$B,A301,'Issuance Log'!$G:$G,$B$4),0)</f>
        <v>0</v>
      </c>
      <c r="D301" s="3">
        <f>IFERROR(COUNTIFS('Issuance Log'!$B:$B,A301,'Issuance Log'!$G:$G,$B$4),0)</f>
        <v>0</v>
      </c>
      <c r="E301" s="3" t="str">
        <f ca="1">IFERROR(INDEX('Issuance Log'!$E:$E,MATCH(MAXIFS('Issuance Log'!$D:$D,'Issuance Log'!$B:$B,A301,'Issuance Log'!$G:$G,$B$4),IF(('Issuance Log'!$B:$B=A301)*('Issuance Log'!$G:$G=$B$4),'Issuance Log'!$D:$D),0)),"-")</f>
        <v>-</v>
      </c>
    </row>
    <row r="302" spans="1:5" x14ac:dyDescent="0.25">
      <c r="A302" s="4" t="s">
        <v>592</v>
      </c>
      <c r="B302" s="4" t="s">
        <v>593</v>
      </c>
      <c r="C302" s="5">
        <f>IFERROR(SUMIFS('Issuance Log'!$D:$D,'Issuance Log'!$B:$B,A302,'Issuance Log'!$G:$G,$B$4),0)</f>
        <v>0</v>
      </c>
      <c r="D302" s="5">
        <f>IFERROR(COUNTIFS('Issuance Log'!$B:$B,A302,'Issuance Log'!$G:$G,$B$4),0)</f>
        <v>0</v>
      </c>
      <c r="E302" s="5" t="str">
        <f ca="1">IFERROR(INDEX('Issuance Log'!$E:$E,MATCH(MAXIFS('Issuance Log'!$D:$D,'Issuance Log'!$B:$B,A302,'Issuance Log'!$G:$G,$B$4),IF(('Issuance Log'!$B:$B=A302)*('Issuance Log'!$G:$G=$B$4),'Issuance Log'!$D:$D),0)),"-")</f>
        <v>-</v>
      </c>
    </row>
    <row r="303" spans="1:5" x14ac:dyDescent="0.25">
      <c r="A303" s="2" t="s">
        <v>594</v>
      </c>
      <c r="B303" s="2" t="s">
        <v>595</v>
      </c>
      <c r="C303" s="3">
        <f>IFERROR(SUMIFS('Issuance Log'!$D:$D,'Issuance Log'!$B:$B,A303,'Issuance Log'!$G:$G,$B$4),0)</f>
        <v>0</v>
      </c>
      <c r="D303" s="3">
        <f>IFERROR(COUNTIFS('Issuance Log'!$B:$B,A303,'Issuance Log'!$G:$G,$B$4),0)</f>
        <v>0</v>
      </c>
      <c r="E303" s="3" t="str">
        <f ca="1">IFERROR(INDEX('Issuance Log'!$E:$E,MATCH(MAXIFS('Issuance Log'!$D:$D,'Issuance Log'!$B:$B,A303,'Issuance Log'!$G:$G,$B$4),IF(('Issuance Log'!$B:$B=A303)*('Issuance Log'!$G:$G=$B$4),'Issuance Log'!$D:$D),0)),"-")</f>
        <v>-</v>
      </c>
    </row>
    <row r="304" spans="1:5" x14ac:dyDescent="0.25">
      <c r="A304" s="4" t="s">
        <v>596</v>
      </c>
      <c r="B304" s="4" t="s">
        <v>597</v>
      </c>
      <c r="C304" s="5">
        <f>IFERROR(SUMIFS('Issuance Log'!$D:$D,'Issuance Log'!$B:$B,A304,'Issuance Log'!$G:$G,$B$4),0)</f>
        <v>0</v>
      </c>
      <c r="D304" s="5">
        <f>IFERROR(COUNTIFS('Issuance Log'!$B:$B,A304,'Issuance Log'!$G:$G,$B$4),0)</f>
        <v>0</v>
      </c>
      <c r="E304" s="5" t="str">
        <f ca="1">IFERROR(INDEX('Issuance Log'!$E:$E,MATCH(MAXIFS('Issuance Log'!$D:$D,'Issuance Log'!$B:$B,A304,'Issuance Log'!$G:$G,$B$4),IF(('Issuance Log'!$B:$B=A304)*('Issuance Log'!$G:$G=$B$4),'Issuance Log'!$D:$D),0)),"-")</f>
        <v>-</v>
      </c>
    </row>
    <row r="305" spans="1:5" x14ac:dyDescent="0.25">
      <c r="A305" s="2" t="s">
        <v>598</v>
      </c>
      <c r="B305" s="2" t="s">
        <v>599</v>
      </c>
      <c r="C305" s="3">
        <f>IFERROR(SUMIFS('Issuance Log'!$D:$D,'Issuance Log'!$B:$B,A305,'Issuance Log'!$G:$G,$B$4),0)</f>
        <v>0</v>
      </c>
      <c r="D305" s="3">
        <f>IFERROR(COUNTIFS('Issuance Log'!$B:$B,A305,'Issuance Log'!$G:$G,$B$4),0)</f>
        <v>0</v>
      </c>
      <c r="E305" s="3" t="str">
        <f ca="1">IFERROR(INDEX('Issuance Log'!$E:$E,MATCH(MAXIFS('Issuance Log'!$D:$D,'Issuance Log'!$B:$B,A305,'Issuance Log'!$G:$G,$B$4),IF(('Issuance Log'!$B:$B=A305)*('Issuance Log'!$G:$G=$B$4),'Issuance Log'!$D:$D),0)),"-")</f>
        <v>-</v>
      </c>
    </row>
    <row r="306" spans="1:5" x14ac:dyDescent="0.25">
      <c r="A306" s="4" t="s">
        <v>600</v>
      </c>
      <c r="B306" s="4" t="s">
        <v>601</v>
      </c>
      <c r="C306" s="5">
        <f>IFERROR(SUMIFS('Issuance Log'!$D:$D,'Issuance Log'!$B:$B,A306,'Issuance Log'!$G:$G,$B$4),0)</f>
        <v>0</v>
      </c>
      <c r="D306" s="5">
        <f>IFERROR(COUNTIFS('Issuance Log'!$B:$B,A306,'Issuance Log'!$G:$G,$B$4),0)</f>
        <v>0</v>
      </c>
      <c r="E306" s="5" t="str">
        <f ca="1">IFERROR(INDEX('Issuance Log'!$E:$E,MATCH(MAXIFS('Issuance Log'!$D:$D,'Issuance Log'!$B:$B,A306,'Issuance Log'!$G:$G,$B$4),IF(('Issuance Log'!$B:$B=A306)*('Issuance Log'!$G:$G=$B$4),'Issuance Log'!$D:$D),0)),"-")</f>
        <v>-</v>
      </c>
    </row>
    <row r="307" spans="1:5" x14ac:dyDescent="0.25">
      <c r="A307" s="2" t="s">
        <v>602</v>
      </c>
      <c r="B307" s="2" t="s">
        <v>603</v>
      </c>
      <c r="C307" s="3">
        <f>IFERROR(SUMIFS('Issuance Log'!$D:$D,'Issuance Log'!$B:$B,A307,'Issuance Log'!$G:$G,$B$4),0)</f>
        <v>0</v>
      </c>
      <c r="D307" s="3">
        <f>IFERROR(COUNTIFS('Issuance Log'!$B:$B,A307,'Issuance Log'!$G:$G,$B$4),0)</f>
        <v>0</v>
      </c>
      <c r="E307" s="3" t="str">
        <f ca="1">IFERROR(INDEX('Issuance Log'!$E:$E,MATCH(MAXIFS('Issuance Log'!$D:$D,'Issuance Log'!$B:$B,A307,'Issuance Log'!$G:$G,$B$4),IF(('Issuance Log'!$B:$B=A307)*('Issuance Log'!$G:$G=$B$4),'Issuance Log'!$D:$D),0)),"-")</f>
        <v>-</v>
      </c>
    </row>
    <row r="308" spans="1:5" x14ac:dyDescent="0.25">
      <c r="A308" s="4" t="s">
        <v>604</v>
      </c>
      <c r="B308" s="4" t="s">
        <v>605</v>
      </c>
      <c r="C308" s="5">
        <f>IFERROR(SUMIFS('Issuance Log'!$D:$D,'Issuance Log'!$B:$B,A308,'Issuance Log'!$G:$G,$B$4),0)</f>
        <v>0</v>
      </c>
      <c r="D308" s="5">
        <f>IFERROR(COUNTIFS('Issuance Log'!$B:$B,A308,'Issuance Log'!$G:$G,$B$4),0)</f>
        <v>0</v>
      </c>
      <c r="E308" s="5" t="str">
        <f ca="1">IFERROR(INDEX('Issuance Log'!$E:$E,MATCH(MAXIFS('Issuance Log'!$D:$D,'Issuance Log'!$B:$B,A308,'Issuance Log'!$G:$G,$B$4),IF(('Issuance Log'!$B:$B=A308)*('Issuance Log'!$G:$G=$B$4),'Issuance Log'!$D:$D),0)),"-")</f>
        <v>-</v>
      </c>
    </row>
    <row r="309" spans="1:5" x14ac:dyDescent="0.25">
      <c r="A309" s="2" t="s">
        <v>606</v>
      </c>
      <c r="B309" s="2" t="s">
        <v>607</v>
      </c>
      <c r="C309" s="3">
        <f>IFERROR(SUMIFS('Issuance Log'!$D:$D,'Issuance Log'!$B:$B,A309,'Issuance Log'!$G:$G,$B$4),0)</f>
        <v>0</v>
      </c>
      <c r="D309" s="3">
        <f>IFERROR(COUNTIFS('Issuance Log'!$B:$B,A309,'Issuance Log'!$G:$G,$B$4),0)</f>
        <v>0</v>
      </c>
      <c r="E309" s="3" t="str">
        <f ca="1">IFERROR(INDEX('Issuance Log'!$E:$E,MATCH(MAXIFS('Issuance Log'!$D:$D,'Issuance Log'!$B:$B,A309,'Issuance Log'!$G:$G,$B$4),IF(('Issuance Log'!$B:$B=A309)*('Issuance Log'!$G:$G=$B$4),'Issuance Log'!$D:$D),0)),"-")</f>
        <v>-</v>
      </c>
    </row>
    <row r="310" spans="1:5" x14ac:dyDescent="0.25">
      <c r="A310" s="4" t="s">
        <v>608</v>
      </c>
      <c r="B310" s="4" t="s">
        <v>609</v>
      </c>
      <c r="C310" s="5">
        <f>IFERROR(SUMIFS('Issuance Log'!$D:$D,'Issuance Log'!$B:$B,A310,'Issuance Log'!$G:$G,$B$4),0)</f>
        <v>0</v>
      </c>
      <c r="D310" s="5">
        <f>IFERROR(COUNTIFS('Issuance Log'!$B:$B,A310,'Issuance Log'!$G:$G,$B$4),0)</f>
        <v>0</v>
      </c>
      <c r="E310" s="5" t="str">
        <f ca="1">IFERROR(INDEX('Issuance Log'!$E:$E,MATCH(MAXIFS('Issuance Log'!$D:$D,'Issuance Log'!$B:$B,A310,'Issuance Log'!$G:$G,$B$4),IF(('Issuance Log'!$B:$B=A310)*('Issuance Log'!$G:$G=$B$4),'Issuance Log'!$D:$D),0)),"-")</f>
        <v>-</v>
      </c>
    </row>
    <row r="311" spans="1:5" x14ac:dyDescent="0.25">
      <c r="A311" s="2" t="s">
        <v>610</v>
      </c>
      <c r="B311" s="2" t="s">
        <v>611</v>
      </c>
      <c r="C311" s="3">
        <f>IFERROR(SUMIFS('Issuance Log'!$D:$D,'Issuance Log'!$B:$B,A311,'Issuance Log'!$G:$G,$B$4),0)</f>
        <v>0</v>
      </c>
      <c r="D311" s="3">
        <f>IFERROR(COUNTIFS('Issuance Log'!$B:$B,A311,'Issuance Log'!$G:$G,$B$4),0)</f>
        <v>0</v>
      </c>
      <c r="E311" s="3" t="str">
        <f ca="1">IFERROR(INDEX('Issuance Log'!$E:$E,MATCH(MAXIFS('Issuance Log'!$D:$D,'Issuance Log'!$B:$B,A311,'Issuance Log'!$G:$G,$B$4),IF(('Issuance Log'!$B:$B=A311)*('Issuance Log'!$G:$G=$B$4),'Issuance Log'!$D:$D),0)),"-")</f>
        <v>-</v>
      </c>
    </row>
    <row r="312" spans="1:5" x14ac:dyDescent="0.25">
      <c r="A312" s="4" t="s">
        <v>612</v>
      </c>
      <c r="B312" s="4" t="s">
        <v>613</v>
      </c>
      <c r="C312" s="5">
        <f>IFERROR(SUMIFS('Issuance Log'!$D:$D,'Issuance Log'!$B:$B,A312,'Issuance Log'!$G:$G,$B$4),0)</f>
        <v>0</v>
      </c>
      <c r="D312" s="5">
        <f>IFERROR(COUNTIFS('Issuance Log'!$B:$B,A312,'Issuance Log'!$G:$G,$B$4),0)</f>
        <v>0</v>
      </c>
      <c r="E312" s="5" t="str">
        <f ca="1">IFERROR(INDEX('Issuance Log'!$E:$E,MATCH(MAXIFS('Issuance Log'!$D:$D,'Issuance Log'!$B:$B,A312,'Issuance Log'!$G:$G,$B$4),IF(('Issuance Log'!$B:$B=A312)*('Issuance Log'!$G:$G=$B$4),'Issuance Log'!$D:$D),0)),"-")</f>
        <v>-</v>
      </c>
    </row>
    <row r="313" spans="1:5" x14ac:dyDescent="0.25">
      <c r="A313" s="2" t="s">
        <v>614</v>
      </c>
      <c r="B313" s="2" t="s">
        <v>615</v>
      </c>
      <c r="C313" s="3">
        <f>IFERROR(SUMIFS('Issuance Log'!$D:$D,'Issuance Log'!$B:$B,A313,'Issuance Log'!$G:$G,$B$4),0)</f>
        <v>0</v>
      </c>
      <c r="D313" s="3">
        <f>IFERROR(COUNTIFS('Issuance Log'!$B:$B,A313,'Issuance Log'!$G:$G,$B$4),0)</f>
        <v>0</v>
      </c>
      <c r="E313" s="3" t="str">
        <f ca="1">IFERROR(INDEX('Issuance Log'!$E:$E,MATCH(MAXIFS('Issuance Log'!$D:$D,'Issuance Log'!$B:$B,A313,'Issuance Log'!$G:$G,$B$4),IF(('Issuance Log'!$B:$B=A313)*('Issuance Log'!$G:$G=$B$4),'Issuance Log'!$D:$D),0)),"-")</f>
        <v>-</v>
      </c>
    </row>
    <row r="314" spans="1:5" x14ac:dyDescent="0.25">
      <c r="A314" s="4" t="s">
        <v>616</v>
      </c>
      <c r="B314" s="4" t="s">
        <v>617</v>
      </c>
      <c r="C314" s="5">
        <f>IFERROR(SUMIFS('Issuance Log'!$D:$D,'Issuance Log'!$B:$B,A314,'Issuance Log'!$G:$G,$B$4),0)</f>
        <v>0</v>
      </c>
      <c r="D314" s="5">
        <f>IFERROR(COUNTIFS('Issuance Log'!$B:$B,A314,'Issuance Log'!$G:$G,$B$4),0)</f>
        <v>0</v>
      </c>
      <c r="E314" s="5" t="str">
        <f ca="1">IFERROR(INDEX('Issuance Log'!$E:$E,MATCH(MAXIFS('Issuance Log'!$D:$D,'Issuance Log'!$B:$B,A314,'Issuance Log'!$G:$G,$B$4),IF(('Issuance Log'!$B:$B=A314)*('Issuance Log'!$G:$G=$B$4),'Issuance Log'!$D:$D),0)),"-")</f>
        <v>-</v>
      </c>
    </row>
    <row r="315" spans="1:5" x14ac:dyDescent="0.25">
      <c r="A315" s="2" t="s">
        <v>618</v>
      </c>
      <c r="B315" s="2" t="s">
        <v>619</v>
      </c>
      <c r="C315" s="3">
        <f>IFERROR(SUMIFS('Issuance Log'!$D:$D,'Issuance Log'!$B:$B,A315,'Issuance Log'!$G:$G,$B$4),0)</f>
        <v>0</v>
      </c>
      <c r="D315" s="3">
        <f>IFERROR(COUNTIFS('Issuance Log'!$B:$B,A315,'Issuance Log'!$G:$G,$B$4),0)</f>
        <v>0</v>
      </c>
      <c r="E315" s="3" t="str">
        <f ca="1">IFERROR(INDEX('Issuance Log'!$E:$E,MATCH(MAXIFS('Issuance Log'!$D:$D,'Issuance Log'!$B:$B,A315,'Issuance Log'!$G:$G,$B$4),IF(('Issuance Log'!$B:$B=A315)*('Issuance Log'!$G:$G=$B$4),'Issuance Log'!$D:$D),0)),"-")</f>
        <v>-</v>
      </c>
    </row>
    <row r="316" spans="1:5" x14ac:dyDescent="0.25">
      <c r="A316" s="4" t="s">
        <v>620</v>
      </c>
      <c r="B316" s="4" t="s">
        <v>621</v>
      </c>
      <c r="C316" s="5">
        <f>IFERROR(SUMIFS('Issuance Log'!$D:$D,'Issuance Log'!$B:$B,A316,'Issuance Log'!$G:$G,$B$4),0)</f>
        <v>0</v>
      </c>
      <c r="D316" s="5">
        <f>IFERROR(COUNTIFS('Issuance Log'!$B:$B,A316,'Issuance Log'!$G:$G,$B$4),0)</f>
        <v>0</v>
      </c>
      <c r="E316" s="5" t="str">
        <f ca="1">IFERROR(INDEX('Issuance Log'!$E:$E,MATCH(MAXIFS('Issuance Log'!$D:$D,'Issuance Log'!$B:$B,A316,'Issuance Log'!$G:$G,$B$4),IF(('Issuance Log'!$B:$B=A316)*('Issuance Log'!$G:$G=$B$4),'Issuance Log'!$D:$D),0)),"-")</f>
        <v>-</v>
      </c>
    </row>
    <row r="317" spans="1:5" x14ac:dyDescent="0.25">
      <c r="A317" s="2" t="s">
        <v>622</v>
      </c>
      <c r="B317" s="2" t="s">
        <v>623</v>
      </c>
      <c r="C317" s="3">
        <f>IFERROR(SUMIFS('Issuance Log'!$D:$D,'Issuance Log'!$B:$B,A317,'Issuance Log'!$G:$G,$B$4),0)</f>
        <v>0</v>
      </c>
      <c r="D317" s="3">
        <f>IFERROR(COUNTIFS('Issuance Log'!$B:$B,A317,'Issuance Log'!$G:$G,$B$4),0)</f>
        <v>0</v>
      </c>
      <c r="E317" s="3" t="str">
        <f ca="1">IFERROR(INDEX('Issuance Log'!$E:$E,MATCH(MAXIFS('Issuance Log'!$D:$D,'Issuance Log'!$B:$B,A317,'Issuance Log'!$G:$G,$B$4),IF(('Issuance Log'!$B:$B=A317)*('Issuance Log'!$G:$G=$B$4),'Issuance Log'!$D:$D),0)),"-")</f>
        <v>-</v>
      </c>
    </row>
    <row r="318" spans="1:5" x14ac:dyDescent="0.25">
      <c r="A318" s="4" t="s">
        <v>624</v>
      </c>
      <c r="B318" s="4" t="s">
        <v>625</v>
      </c>
      <c r="C318" s="5">
        <f>IFERROR(SUMIFS('Issuance Log'!$D:$D,'Issuance Log'!$B:$B,A318,'Issuance Log'!$G:$G,$B$4),0)</f>
        <v>0</v>
      </c>
      <c r="D318" s="5">
        <f>IFERROR(COUNTIFS('Issuance Log'!$B:$B,A318,'Issuance Log'!$G:$G,$B$4),0)</f>
        <v>0</v>
      </c>
      <c r="E318" s="5" t="str">
        <f ca="1">IFERROR(INDEX('Issuance Log'!$E:$E,MATCH(MAXIFS('Issuance Log'!$D:$D,'Issuance Log'!$B:$B,A318,'Issuance Log'!$G:$G,$B$4),IF(('Issuance Log'!$B:$B=A318)*('Issuance Log'!$G:$G=$B$4),'Issuance Log'!$D:$D),0)),"-")</f>
        <v>-</v>
      </c>
    </row>
    <row r="319" spans="1:5" x14ac:dyDescent="0.25">
      <c r="A319" s="2" t="s">
        <v>626</v>
      </c>
      <c r="B319" s="2" t="s">
        <v>627</v>
      </c>
      <c r="C319" s="3">
        <f>IFERROR(SUMIFS('Issuance Log'!$D:$D,'Issuance Log'!$B:$B,A319,'Issuance Log'!$G:$G,$B$4),0)</f>
        <v>0</v>
      </c>
      <c r="D319" s="3">
        <f>IFERROR(COUNTIFS('Issuance Log'!$B:$B,A319,'Issuance Log'!$G:$G,$B$4),0)</f>
        <v>0</v>
      </c>
      <c r="E319" s="3" t="str">
        <f ca="1">IFERROR(INDEX('Issuance Log'!$E:$E,MATCH(MAXIFS('Issuance Log'!$D:$D,'Issuance Log'!$B:$B,A319,'Issuance Log'!$G:$G,$B$4),IF(('Issuance Log'!$B:$B=A319)*('Issuance Log'!$G:$G=$B$4),'Issuance Log'!$D:$D),0)),"-")</f>
        <v>-</v>
      </c>
    </row>
    <row r="320" spans="1:5" x14ac:dyDescent="0.25">
      <c r="A320" s="4" t="s">
        <v>628</v>
      </c>
      <c r="B320" s="4" t="s">
        <v>629</v>
      </c>
      <c r="C320" s="5">
        <f>IFERROR(SUMIFS('Issuance Log'!$D:$D,'Issuance Log'!$B:$B,A320,'Issuance Log'!$G:$G,$B$4),0)</f>
        <v>0</v>
      </c>
      <c r="D320" s="5">
        <f>IFERROR(COUNTIFS('Issuance Log'!$B:$B,A320,'Issuance Log'!$G:$G,$B$4),0)</f>
        <v>0</v>
      </c>
      <c r="E320" s="5" t="str">
        <f ca="1">IFERROR(INDEX('Issuance Log'!$E:$E,MATCH(MAXIFS('Issuance Log'!$D:$D,'Issuance Log'!$B:$B,A320,'Issuance Log'!$G:$G,$B$4),IF(('Issuance Log'!$B:$B=A320)*('Issuance Log'!$G:$G=$B$4),'Issuance Log'!$D:$D),0)),"-")</f>
        <v>-</v>
      </c>
    </row>
    <row r="321" spans="1:5" x14ac:dyDescent="0.25">
      <c r="A321" s="2" t="s">
        <v>630</v>
      </c>
      <c r="B321" s="2" t="s">
        <v>631</v>
      </c>
      <c r="C321" s="3">
        <f>IFERROR(SUMIFS('Issuance Log'!$D:$D,'Issuance Log'!$B:$B,A321,'Issuance Log'!$G:$G,$B$4),0)</f>
        <v>0</v>
      </c>
      <c r="D321" s="3">
        <f>IFERROR(COUNTIFS('Issuance Log'!$B:$B,A321,'Issuance Log'!$G:$G,$B$4),0)</f>
        <v>0</v>
      </c>
      <c r="E321" s="3" t="str">
        <f ca="1">IFERROR(INDEX('Issuance Log'!$E:$E,MATCH(MAXIFS('Issuance Log'!$D:$D,'Issuance Log'!$B:$B,A321,'Issuance Log'!$G:$G,$B$4),IF(('Issuance Log'!$B:$B=A321)*('Issuance Log'!$G:$G=$B$4),'Issuance Log'!$D:$D),0)),"-")</f>
        <v>-</v>
      </c>
    </row>
    <row r="322" spans="1:5" x14ac:dyDescent="0.25">
      <c r="A322" s="4" t="s">
        <v>632</v>
      </c>
      <c r="B322" s="4" t="s">
        <v>633</v>
      </c>
      <c r="C322" s="5">
        <f>IFERROR(SUMIFS('Issuance Log'!$D:$D,'Issuance Log'!$B:$B,A322,'Issuance Log'!$G:$G,$B$4),0)</f>
        <v>0</v>
      </c>
      <c r="D322" s="5">
        <f>IFERROR(COUNTIFS('Issuance Log'!$B:$B,A322,'Issuance Log'!$G:$G,$B$4),0)</f>
        <v>0</v>
      </c>
      <c r="E322" s="5" t="str">
        <f ca="1">IFERROR(INDEX('Issuance Log'!$E:$E,MATCH(MAXIFS('Issuance Log'!$D:$D,'Issuance Log'!$B:$B,A322,'Issuance Log'!$G:$G,$B$4),IF(('Issuance Log'!$B:$B=A322)*('Issuance Log'!$G:$G=$B$4),'Issuance Log'!$D:$D),0)),"-")</f>
        <v>-</v>
      </c>
    </row>
    <row r="323" spans="1:5" x14ac:dyDescent="0.25">
      <c r="A323" s="2" t="s">
        <v>634</v>
      </c>
      <c r="B323" s="2" t="s">
        <v>635</v>
      </c>
      <c r="C323" s="3">
        <f>IFERROR(SUMIFS('Issuance Log'!$D:$D,'Issuance Log'!$B:$B,A323,'Issuance Log'!$G:$G,$B$4),0)</f>
        <v>0</v>
      </c>
      <c r="D323" s="3">
        <f>IFERROR(COUNTIFS('Issuance Log'!$B:$B,A323,'Issuance Log'!$G:$G,$B$4),0)</f>
        <v>0</v>
      </c>
      <c r="E323" s="3" t="str">
        <f ca="1">IFERROR(INDEX('Issuance Log'!$E:$E,MATCH(MAXIFS('Issuance Log'!$D:$D,'Issuance Log'!$B:$B,A323,'Issuance Log'!$G:$G,$B$4),IF(('Issuance Log'!$B:$B=A323)*('Issuance Log'!$G:$G=$B$4),'Issuance Log'!$D:$D),0)),"-")</f>
        <v>-</v>
      </c>
    </row>
    <row r="324" spans="1:5" x14ac:dyDescent="0.25">
      <c r="A324" s="4" t="s">
        <v>636</v>
      </c>
      <c r="B324" s="4" t="s">
        <v>637</v>
      </c>
      <c r="C324" s="5">
        <f>IFERROR(SUMIFS('Issuance Log'!$D:$D,'Issuance Log'!$B:$B,A324,'Issuance Log'!$G:$G,$B$4),0)</f>
        <v>0</v>
      </c>
      <c r="D324" s="5">
        <f>IFERROR(COUNTIFS('Issuance Log'!$B:$B,A324,'Issuance Log'!$G:$G,$B$4),0)</f>
        <v>0</v>
      </c>
      <c r="E324" s="5" t="str">
        <f ca="1">IFERROR(INDEX('Issuance Log'!$E:$E,MATCH(MAXIFS('Issuance Log'!$D:$D,'Issuance Log'!$B:$B,A324,'Issuance Log'!$G:$G,$B$4),IF(('Issuance Log'!$B:$B=A324)*('Issuance Log'!$G:$G=$B$4),'Issuance Log'!$D:$D),0)),"-")</f>
        <v>-</v>
      </c>
    </row>
    <row r="325" spans="1:5" x14ac:dyDescent="0.25">
      <c r="A325" s="2" t="s">
        <v>638</v>
      </c>
      <c r="B325" s="2" t="s">
        <v>639</v>
      </c>
      <c r="C325" s="3">
        <f>IFERROR(SUMIFS('Issuance Log'!$D:$D,'Issuance Log'!$B:$B,A325,'Issuance Log'!$G:$G,$B$4),0)</f>
        <v>0</v>
      </c>
      <c r="D325" s="3">
        <f>IFERROR(COUNTIFS('Issuance Log'!$B:$B,A325,'Issuance Log'!$G:$G,$B$4),0)</f>
        <v>0</v>
      </c>
      <c r="E325" s="3" t="str">
        <f ca="1">IFERROR(INDEX('Issuance Log'!$E:$E,MATCH(MAXIFS('Issuance Log'!$D:$D,'Issuance Log'!$B:$B,A325,'Issuance Log'!$G:$G,$B$4),IF(('Issuance Log'!$B:$B=A325)*('Issuance Log'!$G:$G=$B$4),'Issuance Log'!$D:$D),0)),"-")</f>
        <v>-</v>
      </c>
    </row>
    <row r="326" spans="1:5" x14ac:dyDescent="0.25">
      <c r="A326" s="4" t="s">
        <v>640</v>
      </c>
      <c r="B326" s="4" t="s">
        <v>641</v>
      </c>
      <c r="C326" s="5">
        <f>IFERROR(SUMIFS('Issuance Log'!$D:$D,'Issuance Log'!$B:$B,A326,'Issuance Log'!$G:$G,$B$4),0)</f>
        <v>0</v>
      </c>
      <c r="D326" s="5">
        <f>IFERROR(COUNTIFS('Issuance Log'!$B:$B,A326,'Issuance Log'!$G:$G,$B$4),0)</f>
        <v>0</v>
      </c>
      <c r="E326" s="5" t="str">
        <f ca="1">IFERROR(INDEX('Issuance Log'!$E:$E,MATCH(MAXIFS('Issuance Log'!$D:$D,'Issuance Log'!$B:$B,A326,'Issuance Log'!$G:$G,$B$4),IF(('Issuance Log'!$B:$B=A326)*('Issuance Log'!$G:$G=$B$4),'Issuance Log'!$D:$D),0)),"-")</f>
        <v>-</v>
      </c>
    </row>
    <row r="327" spans="1:5" x14ac:dyDescent="0.25">
      <c r="A327" s="2" t="s">
        <v>642</v>
      </c>
      <c r="B327" s="2" t="s">
        <v>643</v>
      </c>
      <c r="C327" s="3">
        <f>IFERROR(SUMIFS('Issuance Log'!$D:$D,'Issuance Log'!$B:$B,A327,'Issuance Log'!$G:$G,$B$4),0)</f>
        <v>0</v>
      </c>
      <c r="D327" s="3">
        <f>IFERROR(COUNTIFS('Issuance Log'!$B:$B,A327,'Issuance Log'!$G:$G,$B$4),0)</f>
        <v>0</v>
      </c>
      <c r="E327" s="3" t="str">
        <f ca="1">IFERROR(INDEX('Issuance Log'!$E:$E,MATCH(MAXIFS('Issuance Log'!$D:$D,'Issuance Log'!$B:$B,A327,'Issuance Log'!$G:$G,$B$4),IF(('Issuance Log'!$B:$B=A327)*('Issuance Log'!$G:$G=$B$4),'Issuance Log'!$D:$D),0)),"-")</f>
        <v>-</v>
      </c>
    </row>
    <row r="328" spans="1:5" x14ac:dyDescent="0.25">
      <c r="A328" s="4" t="s">
        <v>644</v>
      </c>
      <c r="B328" s="4" t="s">
        <v>645</v>
      </c>
      <c r="C328" s="5">
        <f>IFERROR(SUMIFS('Issuance Log'!$D:$D,'Issuance Log'!$B:$B,A328,'Issuance Log'!$G:$G,$B$4),0)</f>
        <v>0</v>
      </c>
      <c r="D328" s="5">
        <f>IFERROR(COUNTIFS('Issuance Log'!$B:$B,A328,'Issuance Log'!$G:$G,$B$4),0)</f>
        <v>0</v>
      </c>
      <c r="E328" s="5" t="str">
        <f ca="1">IFERROR(INDEX('Issuance Log'!$E:$E,MATCH(MAXIFS('Issuance Log'!$D:$D,'Issuance Log'!$B:$B,A328,'Issuance Log'!$G:$G,$B$4),IF(('Issuance Log'!$B:$B=A328)*('Issuance Log'!$G:$G=$B$4),'Issuance Log'!$D:$D),0)),"-")</f>
        <v>-</v>
      </c>
    </row>
    <row r="329" spans="1:5" x14ac:dyDescent="0.25">
      <c r="A329" s="2" t="s">
        <v>646</v>
      </c>
      <c r="B329" s="2" t="s">
        <v>647</v>
      </c>
      <c r="C329" s="3">
        <f>IFERROR(SUMIFS('Issuance Log'!$D:$D,'Issuance Log'!$B:$B,A329,'Issuance Log'!$G:$G,$B$4),0)</f>
        <v>0</v>
      </c>
      <c r="D329" s="3">
        <f>IFERROR(COUNTIFS('Issuance Log'!$B:$B,A329,'Issuance Log'!$G:$G,$B$4),0)</f>
        <v>0</v>
      </c>
      <c r="E329" s="3" t="str">
        <f ca="1">IFERROR(INDEX('Issuance Log'!$E:$E,MATCH(MAXIFS('Issuance Log'!$D:$D,'Issuance Log'!$B:$B,A329,'Issuance Log'!$G:$G,$B$4),IF(('Issuance Log'!$B:$B=A329)*('Issuance Log'!$G:$G=$B$4),'Issuance Log'!$D:$D),0)),"-")</f>
        <v>-</v>
      </c>
    </row>
    <row r="330" spans="1:5" x14ac:dyDescent="0.25">
      <c r="A330" s="4" t="s">
        <v>648</v>
      </c>
      <c r="B330" s="4" t="s">
        <v>649</v>
      </c>
      <c r="C330" s="5">
        <f>IFERROR(SUMIFS('Issuance Log'!$D:$D,'Issuance Log'!$B:$B,A330,'Issuance Log'!$G:$G,$B$4),0)</f>
        <v>0</v>
      </c>
      <c r="D330" s="5">
        <f>IFERROR(COUNTIFS('Issuance Log'!$B:$B,A330,'Issuance Log'!$G:$G,$B$4),0)</f>
        <v>0</v>
      </c>
      <c r="E330" s="5" t="str">
        <f ca="1">IFERROR(INDEX('Issuance Log'!$E:$E,MATCH(MAXIFS('Issuance Log'!$D:$D,'Issuance Log'!$B:$B,A330,'Issuance Log'!$G:$G,$B$4),IF(('Issuance Log'!$B:$B=A330)*('Issuance Log'!$G:$G=$B$4),'Issuance Log'!$D:$D),0)),"-")</f>
        <v>-</v>
      </c>
    </row>
    <row r="331" spans="1:5" x14ac:dyDescent="0.25">
      <c r="A331" s="2" t="s">
        <v>650</v>
      </c>
      <c r="B331" s="2" t="s">
        <v>651</v>
      </c>
      <c r="C331" s="3">
        <f>IFERROR(SUMIFS('Issuance Log'!$D:$D,'Issuance Log'!$B:$B,A331,'Issuance Log'!$G:$G,$B$4),0)</f>
        <v>0</v>
      </c>
      <c r="D331" s="3">
        <f>IFERROR(COUNTIFS('Issuance Log'!$B:$B,A331,'Issuance Log'!$G:$G,$B$4),0)</f>
        <v>0</v>
      </c>
      <c r="E331" s="3" t="str">
        <f ca="1">IFERROR(INDEX('Issuance Log'!$E:$E,MATCH(MAXIFS('Issuance Log'!$D:$D,'Issuance Log'!$B:$B,A331,'Issuance Log'!$G:$G,$B$4),IF(('Issuance Log'!$B:$B=A331)*('Issuance Log'!$G:$G=$B$4),'Issuance Log'!$D:$D),0)),"-")</f>
        <v>-</v>
      </c>
    </row>
    <row r="332" spans="1:5" x14ac:dyDescent="0.25">
      <c r="A332" s="4" t="s">
        <v>652</v>
      </c>
      <c r="B332" s="4" t="s">
        <v>653</v>
      </c>
      <c r="C332" s="5">
        <f>IFERROR(SUMIFS('Issuance Log'!$D:$D,'Issuance Log'!$B:$B,A332,'Issuance Log'!$G:$G,$B$4),0)</f>
        <v>0</v>
      </c>
      <c r="D332" s="5">
        <f>IFERROR(COUNTIFS('Issuance Log'!$B:$B,A332,'Issuance Log'!$G:$G,$B$4),0)</f>
        <v>0</v>
      </c>
      <c r="E332" s="5" t="str">
        <f ca="1">IFERROR(INDEX('Issuance Log'!$E:$E,MATCH(MAXIFS('Issuance Log'!$D:$D,'Issuance Log'!$B:$B,A332,'Issuance Log'!$G:$G,$B$4),IF(('Issuance Log'!$B:$B=A332)*('Issuance Log'!$G:$G=$B$4),'Issuance Log'!$D:$D),0)),"-")</f>
        <v>-</v>
      </c>
    </row>
    <row r="333" spans="1:5" x14ac:dyDescent="0.25">
      <c r="A333" s="2" t="s">
        <v>654</v>
      </c>
      <c r="B333" s="2" t="s">
        <v>655</v>
      </c>
      <c r="C333" s="3">
        <f>IFERROR(SUMIFS('Issuance Log'!$D:$D,'Issuance Log'!$B:$B,A333,'Issuance Log'!$G:$G,$B$4),0)</f>
        <v>0</v>
      </c>
      <c r="D333" s="3">
        <f>IFERROR(COUNTIFS('Issuance Log'!$B:$B,A333,'Issuance Log'!$G:$G,$B$4),0)</f>
        <v>0</v>
      </c>
      <c r="E333" s="3" t="str">
        <f ca="1">IFERROR(INDEX('Issuance Log'!$E:$E,MATCH(MAXIFS('Issuance Log'!$D:$D,'Issuance Log'!$B:$B,A333,'Issuance Log'!$G:$G,$B$4),IF(('Issuance Log'!$B:$B=A333)*('Issuance Log'!$G:$G=$B$4),'Issuance Log'!$D:$D),0)),"-")</f>
        <v>-</v>
      </c>
    </row>
    <row r="334" spans="1:5" x14ac:dyDescent="0.25">
      <c r="A334" s="4" t="s">
        <v>656</v>
      </c>
      <c r="B334" s="4" t="s">
        <v>657</v>
      </c>
      <c r="C334" s="5">
        <f>IFERROR(SUMIFS('Issuance Log'!$D:$D,'Issuance Log'!$B:$B,A334,'Issuance Log'!$G:$G,$B$4),0)</f>
        <v>0</v>
      </c>
      <c r="D334" s="5">
        <f>IFERROR(COUNTIFS('Issuance Log'!$B:$B,A334,'Issuance Log'!$G:$G,$B$4),0)</f>
        <v>0</v>
      </c>
      <c r="E334" s="5" t="str">
        <f ca="1">IFERROR(INDEX('Issuance Log'!$E:$E,MATCH(MAXIFS('Issuance Log'!$D:$D,'Issuance Log'!$B:$B,A334,'Issuance Log'!$G:$G,$B$4),IF(('Issuance Log'!$B:$B=A334)*('Issuance Log'!$G:$G=$B$4),'Issuance Log'!$D:$D),0)),"-")</f>
        <v>-</v>
      </c>
    </row>
    <row r="335" spans="1:5" x14ac:dyDescent="0.25">
      <c r="A335" s="2" t="s">
        <v>658</v>
      </c>
      <c r="B335" s="2" t="s">
        <v>659</v>
      </c>
      <c r="C335" s="3">
        <f>IFERROR(SUMIFS('Issuance Log'!$D:$D,'Issuance Log'!$B:$B,A335,'Issuance Log'!$G:$G,$B$4),0)</f>
        <v>0</v>
      </c>
      <c r="D335" s="3">
        <f>IFERROR(COUNTIFS('Issuance Log'!$B:$B,A335,'Issuance Log'!$G:$G,$B$4),0)</f>
        <v>0</v>
      </c>
      <c r="E335" s="3" t="str">
        <f ca="1">IFERROR(INDEX('Issuance Log'!$E:$E,MATCH(MAXIFS('Issuance Log'!$D:$D,'Issuance Log'!$B:$B,A335,'Issuance Log'!$G:$G,$B$4),IF(('Issuance Log'!$B:$B=A335)*('Issuance Log'!$G:$G=$B$4),'Issuance Log'!$D:$D),0)),"-")</f>
        <v>-</v>
      </c>
    </row>
    <row r="336" spans="1:5" x14ac:dyDescent="0.25">
      <c r="A336" s="4" t="s">
        <v>660</v>
      </c>
      <c r="B336" s="4" t="s">
        <v>661</v>
      </c>
      <c r="C336" s="5">
        <f>IFERROR(SUMIFS('Issuance Log'!$D:$D,'Issuance Log'!$B:$B,A336,'Issuance Log'!$G:$G,$B$4),0)</f>
        <v>0</v>
      </c>
      <c r="D336" s="5">
        <f>IFERROR(COUNTIFS('Issuance Log'!$B:$B,A336,'Issuance Log'!$G:$G,$B$4),0)</f>
        <v>0</v>
      </c>
      <c r="E336" s="5" t="str">
        <f ca="1">IFERROR(INDEX('Issuance Log'!$E:$E,MATCH(MAXIFS('Issuance Log'!$D:$D,'Issuance Log'!$B:$B,A336,'Issuance Log'!$G:$G,$B$4),IF(('Issuance Log'!$B:$B=A336)*('Issuance Log'!$G:$G=$B$4),'Issuance Log'!$D:$D),0)),"-")</f>
        <v>-</v>
      </c>
    </row>
    <row r="337" spans="1:5" x14ac:dyDescent="0.25">
      <c r="A337" s="2" t="s">
        <v>662</v>
      </c>
      <c r="B337" s="2" t="s">
        <v>663</v>
      </c>
      <c r="C337" s="3">
        <f>IFERROR(SUMIFS('Issuance Log'!$D:$D,'Issuance Log'!$B:$B,A337,'Issuance Log'!$G:$G,$B$4),0)</f>
        <v>0</v>
      </c>
      <c r="D337" s="3">
        <f>IFERROR(COUNTIFS('Issuance Log'!$B:$B,A337,'Issuance Log'!$G:$G,$B$4),0)</f>
        <v>0</v>
      </c>
      <c r="E337" s="3" t="str">
        <f ca="1">IFERROR(INDEX('Issuance Log'!$E:$E,MATCH(MAXIFS('Issuance Log'!$D:$D,'Issuance Log'!$B:$B,A337,'Issuance Log'!$G:$G,$B$4),IF(('Issuance Log'!$B:$B=A337)*('Issuance Log'!$G:$G=$B$4),'Issuance Log'!$D:$D),0)),"-")</f>
        <v>-</v>
      </c>
    </row>
    <row r="338" spans="1:5" x14ac:dyDescent="0.25">
      <c r="A338" s="4" t="s">
        <v>664</v>
      </c>
      <c r="B338" s="4" t="s">
        <v>665</v>
      </c>
      <c r="C338" s="5">
        <f>IFERROR(SUMIFS('Issuance Log'!$D:$D,'Issuance Log'!$B:$B,A338,'Issuance Log'!$G:$G,$B$4),0)</f>
        <v>0</v>
      </c>
      <c r="D338" s="5">
        <f>IFERROR(COUNTIFS('Issuance Log'!$B:$B,A338,'Issuance Log'!$G:$G,$B$4),0)</f>
        <v>0</v>
      </c>
      <c r="E338" s="5" t="str">
        <f ca="1">IFERROR(INDEX('Issuance Log'!$E:$E,MATCH(MAXIFS('Issuance Log'!$D:$D,'Issuance Log'!$B:$B,A338,'Issuance Log'!$G:$G,$B$4),IF(('Issuance Log'!$B:$B=A338)*('Issuance Log'!$G:$G=$B$4),'Issuance Log'!$D:$D),0)),"-")</f>
        <v>-</v>
      </c>
    </row>
    <row r="339" spans="1:5" x14ac:dyDescent="0.25">
      <c r="A339" s="2" t="s">
        <v>666</v>
      </c>
      <c r="B339" s="2" t="s">
        <v>667</v>
      </c>
      <c r="C339" s="3">
        <f>IFERROR(SUMIFS('Issuance Log'!$D:$D,'Issuance Log'!$B:$B,A339,'Issuance Log'!$G:$G,$B$4),0)</f>
        <v>0</v>
      </c>
      <c r="D339" s="3">
        <f>IFERROR(COUNTIFS('Issuance Log'!$B:$B,A339,'Issuance Log'!$G:$G,$B$4),0)</f>
        <v>0</v>
      </c>
      <c r="E339" s="3" t="str">
        <f ca="1">IFERROR(INDEX('Issuance Log'!$E:$E,MATCH(MAXIFS('Issuance Log'!$D:$D,'Issuance Log'!$B:$B,A339,'Issuance Log'!$G:$G,$B$4),IF(('Issuance Log'!$B:$B=A339)*('Issuance Log'!$G:$G=$B$4),'Issuance Log'!$D:$D),0)),"-")</f>
        <v>-</v>
      </c>
    </row>
    <row r="340" spans="1:5" x14ac:dyDescent="0.25">
      <c r="A340" s="4" t="s">
        <v>668</v>
      </c>
      <c r="B340" s="4" t="s">
        <v>669</v>
      </c>
      <c r="C340" s="5">
        <f>IFERROR(SUMIFS('Issuance Log'!$D:$D,'Issuance Log'!$B:$B,A340,'Issuance Log'!$G:$G,$B$4),0)</f>
        <v>0</v>
      </c>
      <c r="D340" s="5">
        <f>IFERROR(COUNTIFS('Issuance Log'!$B:$B,A340,'Issuance Log'!$G:$G,$B$4),0)</f>
        <v>0</v>
      </c>
      <c r="E340" s="5" t="str">
        <f ca="1">IFERROR(INDEX('Issuance Log'!$E:$E,MATCH(MAXIFS('Issuance Log'!$D:$D,'Issuance Log'!$B:$B,A340,'Issuance Log'!$G:$G,$B$4),IF(('Issuance Log'!$B:$B=A340)*('Issuance Log'!$G:$G=$B$4),'Issuance Log'!$D:$D),0)),"-")</f>
        <v>-</v>
      </c>
    </row>
    <row r="341" spans="1:5" x14ac:dyDescent="0.25">
      <c r="A341" s="2" t="s">
        <v>670</v>
      </c>
      <c r="B341" s="2" t="s">
        <v>671</v>
      </c>
      <c r="C341" s="3">
        <f>IFERROR(SUMIFS('Issuance Log'!$D:$D,'Issuance Log'!$B:$B,A341,'Issuance Log'!$G:$G,$B$4),0)</f>
        <v>0</v>
      </c>
      <c r="D341" s="3">
        <f>IFERROR(COUNTIFS('Issuance Log'!$B:$B,A341,'Issuance Log'!$G:$G,$B$4),0)</f>
        <v>0</v>
      </c>
      <c r="E341" s="3" t="str">
        <f ca="1">IFERROR(INDEX('Issuance Log'!$E:$E,MATCH(MAXIFS('Issuance Log'!$D:$D,'Issuance Log'!$B:$B,A341,'Issuance Log'!$G:$G,$B$4),IF(('Issuance Log'!$B:$B=A341)*('Issuance Log'!$G:$G=$B$4),'Issuance Log'!$D:$D),0)),"-")</f>
        <v>-</v>
      </c>
    </row>
    <row r="342" spans="1:5" x14ac:dyDescent="0.25">
      <c r="A342" s="4" t="s">
        <v>672</v>
      </c>
      <c r="B342" s="4" t="s">
        <v>673</v>
      </c>
      <c r="C342" s="5">
        <f>IFERROR(SUMIFS('Issuance Log'!$D:$D,'Issuance Log'!$B:$B,A342,'Issuance Log'!$G:$G,$B$4),0)</f>
        <v>0</v>
      </c>
      <c r="D342" s="5">
        <f>IFERROR(COUNTIFS('Issuance Log'!$B:$B,A342,'Issuance Log'!$G:$G,$B$4),0)</f>
        <v>0</v>
      </c>
      <c r="E342" s="5" t="str">
        <f ca="1">IFERROR(INDEX('Issuance Log'!$E:$E,MATCH(MAXIFS('Issuance Log'!$D:$D,'Issuance Log'!$B:$B,A342,'Issuance Log'!$G:$G,$B$4),IF(('Issuance Log'!$B:$B=A342)*('Issuance Log'!$G:$G=$B$4),'Issuance Log'!$D:$D),0)),"-")</f>
        <v>-</v>
      </c>
    </row>
    <row r="343" spans="1:5" x14ac:dyDescent="0.25">
      <c r="A343" s="2" t="s">
        <v>674</v>
      </c>
      <c r="B343" s="2" t="s">
        <v>675</v>
      </c>
      <c r="C343" s="3">
        <f>IFERROR(SUMIFS('Issuance Log'!$D:$D,'Issuance Log'!$B:$B,A343,'Issuance Log'!$G:$G,$B$4),0)</f>
        <v>0</v>
      </c>
      <c r="D343" s="3">
        <f>IFERROR(COUNTIFS('Issuance Log'!$B:$B,A343,'Issuance Log'!$G:$G,$B$4),0)</f>
        <v>0</v>
      </c>
      <c r="E343" s="3" t="str">
        <f ca="1">IFERROR(INDEX('Issuance Log'!$E:$E,MATCH(MAXIFS('Issuance Log'!$D:$D,'Issuance Log'!$B:$B,A343,'Issuance Log'!$G:$G,$B$4),IF(('Issuance Log'!$B:$B=A343)*('Issuance Log'!$G:$G=$B$4),'Issuance Log'!$D:$D),0)),"-")</f>
        <v>-</v>
      </c>
    </row>
    <row r="344" spans="1:5" x14ac:dyDescent="0.25">
      <c r="A344" s="4" t="s">
        <v>676</v>
      </c>
      <c r="B344" s="4" t="s">
        <v>677</v>
      </c>
      <c r="C344" s="5">
        <f>IFERROR(SUMIFS('Issuance Log'!$D:$D,'Issuance Log'!$B:$B,A344,'Issuance Log'!$G:$G,$B$4),0)</f>
        <v>0</v>
      </c>
      <c r="D344" s="5">
        <f>IFERROR(COUNTIFS('Issuance Log'!$B:$B,A344,'Issuance Log'!$G:$G,$B$4),0)</f>
        <v>0</v>
      </c>
      <c r="E344" s="5" t="str">
        <f ca="1">IFERROR(INDEX('Issuance Log'!$E:$E,MATCH(MAXIFS('Issuance Log'!$D:$D,'Issuance Log'!$B:$B,A344,'Issuance Log'!$G:$G,$B$4),IF(('Issuance Log'!$B:$B=A344)*('Issuance Log'!$G:$G=$B$4),'Issuance Log'!$D:$D),0)),"-")</f>
        <v>-</v>
      </c>
    </row>
    <row r="345" spans="1:5" x14ac:dyDescent="0.25">
      <c r="A345" s="2" t="s">
        <v>678</v>
      </c>
      <c r="B345" s="2" t="s">
        <v>679</v>
      </c>
      <c r="C345" s="3">
        <f>IFERROR(SUMIFS('Issuance Log'!$D:$D,'Issuance Log'!$B:$B,A345,'Issuance Log'!$G:$G,$B$4),0)</f>
        <v>0</v>
      </c>
      <c r="D345" s="3">
        <f>IFERROR(COUNTIFS('Issuance Log'!$B:$B,A345,'Issuance Log'!$G:$G,$B$4),0)</f>
        <v>0</v>
      </c>
      <c r="E345" s="3" t="str">
        <f ca="1">IFERROR(INDEX('Issuance Log'!$E:$E,MATCH(MAXIFS('Issuance Log'!$D:$D,'Issuance Log'!$B:$B,A345,'Issuance Log'!$G:$G,$B$4),IF(('Issuance Log'!$B:$B=A345)*('Issuance Log'!$G:$G=$B$4),'Issuance Log'!$D:$D),0)),"-")</f>
        <v>-</v>
      </c>
    </row>
    <row r="346" spans="1:5" x14ac:dyDescent="0.25">
      <c r="A346" s="4" t="s">
        <v>680</v>
      </c>
      <c r="B346" s="4" t="s">
        <v>681</v>
      </c>
      <c r="C346" s="5">
        <f>IFERROR(SUMIFS('Issuance Log'!$D:$D,'Issuance Log'!$B:$B,A346,'Issuance Log'!$G:$G,$B$4),0)</f>
        <v>0</v>
      </c>
      <c r="D346" s="5">
        <f>IFERROR(COUNTIFS('Issuance Log'!$B:$B,A346,'Issuance Log'!$G:$G,$B$4),0)</f>
        <v>0</v>
      </c>
      <c r="E346" s="5" t="str">
        <f ca="1">IFERROR(INDEX('Issuance Log'!$E:$E,MATCH(MAXIFS('Issuance Log'!$D:$D,'Issuance Log'!$B:$B,A346,'Issuance Log'!$G:$G,$B$4),IF(('Issuance Log'!$B:$B=A346)*('Issuance Log'!$G:$G=$B$4),'Issuance Log'!$D:$D),0)),"-")</f>
        <v>-</v>
      </c>
    </row>
    <row r="347" spans="1:5" x14ac:dyDescent="0.25">
      <c r="A347" s="2" t="s">
        <v>682</v>
      </c>
      <c r="B347" s="2" t="s">
        <v>683</v>
      </c>
      <c r="C347" s="3">
        <f>IFERROR(SUMIFS('Issuance Log'!$D:$D,'Issuance Log'!$B:$B,A347,'Issuance Log'!$G:$G,$B$4),0)</f>
        <v>0</v>
      </c>
      <c r="D347" s="3">
        <f>IFERROR(COUNTIFS('Issuance Log'!$B:$B,A347,'Issuance Log'!$G:$G,$B$4),0)</f>
        <v>0</v>
      </c>
      <c r="E347" s="3" t="str">
        <f ca="1">IFERROR(INDEX('Issuance Log'!$E:$E,MATCH(MAXIFS('Issuance Log'!$D:$D,'Issuance Log'!$B:$B,A347,'Issuance Log'!$G:$G,$B$4),IF(('Issuance Log'!$B:$B=A347)*('Issuance Log'!$G:$G=$B$4),'Issuance Log'!$D:$D),0)),"-")</f>
        <v>-</v>
      </c>
    </row>
    <row r="348" spans="1:5" x14ac:dyDescent="0.25">
      <c r="A348" s="4" t="s">
        <v>684</v>
      </c>
      <c r="B348" s="4" t="s">
        <v>275</v>
      </c>
      <c r="C348" s="5">
        <f>IFERROR(SUMIFS('Issuance Log'!$D:$D,'Issuance Log'!$B:$B,A348,'Issuance Log'!$G:$G,$B$4),0)</f>
        <v>0</v>
      </c>
      <c r="D348" s="5">
        <f>IFERROR(COUNTIFS('Issuance Log'!$B:$B,A348,'Issuance Log'!$G:$G,$B$4),0)</f>
        <v>0</v>
      </c>
      <c r="E348" s="5" t="str">
        <f ca="1">IFERROR(INDEX('Issuance Log'!$E:$E,MATCH(MAXIFS('Issuance Log'!$D:$D,'Issuance Log'!$B:$B,A348,'Issuance Log'!$G:$G,$B$4),IF(('Issuance Log'!$B:$B=A348)*('Issuance Log'!$G:$G=$B$4),'Issuance Log'!$D:$D),0)),"-")</f>
        <v>-</v>
      </c>
    </row>
    <row r="349" spans="1:5" x14ac:dyDescent="0.25">
      <c r="A349" s="2" t="s">
        <v>685</v>
      </c>
      <c r="B349" s="2" t="s">
        <v>686</v>
      </c>
      <c r="C349" s="3">
        <f>IFERROR(SUMIFS('Issuance Log'!$D:$D,'Issuance Log'!$B:$B,A349,'Issuance Log'!$G:$G,$B$4),0)</f>
        <v>0</v>
      </c>
      <c r="D349" s="3">
        <f>IFERROR(COUNTIFS('Issuance Log'!$B:$B,A349,'Issuance Log'!$G:$G,$B$4),0)</f>
        <v>0</v>
      </c>
      <c r="E349" s="3" t="str">
        <f ca="1">IFERROR(INDEX('Issuance Log'!$E:$E,MATCH(MAXIFS('Issuance Log'!$D:$D,'Issuance Log'!$B:$B,A349,'Issuance Log'!$G:$G,$B$4),IF(('Issuance Log'!$B:$B=A349)*('Issuance Log'!$G:$G=$B$4),'Issuance Log'!$D:$D),0)),"-")</f>
        <v>-</v>
      </c>
    </row>
    <row r="350" spans="1:5" x14ac:dyDescent="0.25">
      <c r="A350" s="4" t="s">
        <v>687</v>
      </c>
      <c r="B350" s="4" t="s">
        <v>688</v>
      </c>
      <c r="C350" s="5">
        <f>IFERROR(SUMIFS('Issuance Log'!$D:$D,'Issuance Log'!$B:$B,A350,'Issuance Log'!$G:$G,$B$4),0)</f>
        <v>0</v>
      </c>
      <c r="D350" s="5">
        <f>IFERROR(COUNTIFS('Issuance Log'!$B:$B,A350,'Issuance Log'!$G:$G,$B$4),0)</f>
        <v>0</v>
      </c>
      <c r="E350" s="5" t="str">
        <f ca="1">IFERROR(INDEX('Issuance Log'!$E:$E,MATCH(MAXIFS('Issuance Log'!$D:$D,'Issuance Log'!$B:$B,A350,'Issuance Log'!$G:$G,$B$4),IF(('Issuance Log'!$B:$B=A350)*('Issuance Log'!$G:$G=$B$4),'Issuance Log'!$D:$D),0)),"-")</f>
        <v>-</v>
      </c>
    </row>
    <row r="351" spans="1:5" x14ac:dyDescent="0.25">
      <c r="A351" s="2" t="s">
        <v>689</v>
      </c>
      <c r="B351" s="2" t="s">
        <v>690</v>
      </c>
      <c r="C351" s="3">
        <f>IFERROR(SUMIFS('Issuance Log'!$D:$D,'Issuance Log'!$B:$B,A351,'Issuance Log'!$G:$G,$B$4),0)</f>
        <v>0</v>
      </c>
      <c r="D351" s="3">
        <f>IFERROR(COUNTIFS('Issuance Log'!$B:$B,A351,'Issuance Log'!$G:$G,$B$4),0)</f>
        <v>0</v>
      </c>
      <c r="E351" s="3" t="str">
        <f ca="1">IFERROR(INDEX('Issuance Log'!$E:$E,MATCH(MAXIFS('Issuance Log'!$D:$D,'Issuance Log'!$B:$B,A351,'Issuance Log'!$G:$G,$B$4),IF(('Issuance Log'!$B:$B=A351)*('Issuance Log'!$G:$G=$B$4),'Issuance Log'!$D:$D),0)),"-")</f>
        <v>-</v>
      </c>
    </row>
    <row r="352" spans="1:5" x14ac:dyDescent="0.25">
      <c r="A352" s="4" t="s">
        <v>691</v>
      </c>
      <c r="B352" s="4" t="s">
        <v>692</v>
      </c>
      <c r="C352" s="5">
        <f>IFERROR(SUMIFS('Issuance Log'!$D:$D,'Issuance Log'!$B:$B,A352,'Issuance Log'!$G:$G,$B$4),0)</f>
        <v>0</v>
      </c>
      <c r="D352" s="5">
        <f>IFERROR(COUNTIFS('Issuance Log'!$B:$B,A352,'Issuance Log'!$G:$G,$B$4),0)</f>
        <v>0</v>
      </c>
      <c r="E352" s="5" t="str">
        <f ca="1">IFERROR(INDEX('Issuance Log'!$E:$E,MATCH(MAXIFS('Issuance Log'!$D:$D,'Issuance Log'!$B:$B,A352,'Issuance Log'!$G:$G,$B$4),IF(('Issuance Log'!$B:$B=A352)*('Issuance Log'!$G:$G=$B$4),'Issuance Log'!$D:$D),0)),"-")</f>
        <v>-</v>
      </c>
    </row>
    <row r="353" spans="1:5" x14ac:dyDescent="0.25">
      <c r="A353" s="2" t="s">
        <v>693</v>
      </c>
      <c r="B353" s="2" t="s">
        <v>694</v>
      </c>
      <c r="C353" s="3">
        <f>IFERROR(SUMIFS('Issuance Log'!$D:$D,'Issuance Log'!$B:$B,A353,'Issuance Log'!$G:$G,$B$4),0)</f>
        <v>0</v>
      </c>
      <c r="D353" s="3">
        <f>IFERROR(COUNTIFS('Issuance Log'!$B:$B,A353,'Issuance Log'!$G:$G,$B$4),0)</f>
        <v>0</v>
      </c>
      <c r="E353" s="3" t="str">
        <f ca="1">IFERROR(INDEX('Issuance Log'!$E:$E,MATCH(MAXIFS('Issuance Log'!$D:$D,'Issuance Log'!$B:$B,A353,'Issuance Log'!$G:$G,$B$4),IF(('Issuance Log'!$B:$B=A353)*('Issuance Log'!$G:$G=$B$4),'Issuance Log'!$D:$D),0)),"-")</f>
        <v>-</v>
      </c>
    </row>
    <row r="354" spans="1:5" x14ac:dyDescent="0.25">
      <c r="A354" s="4" t="s">
        <v>695</v>
      </c>
      <c r="B354" s="4" t="s">
        <v>289</v>
      </c>
      <c r="C354" s="5">
        <f>IFERROR(SUMIFS('Issuance Log'!$D:$D,'Issuance Log'!$B:$B,A354,'Issuance Log'!$G:$G,$B$4),0)</f>
        <v>0</v>
      </c>
      <c r="D354" s="5">
        <f>IFERROR(COUNTIFS('Issuance Log'!$B:$B,A354,'Issuance Log'!$G:$G,$B$4),0)</f>
        <v>0</v>
      </c>
      <c r="E354" s="5" t="str">
        <f ca="1">IFERROR(INDEX('Issuance Log'!$E:$E,MATCH(MAXIFS('Issuance Log'!$D:$D,'Issuance Log'!$B:$B,A354,'Issuance Log'!$G:$G,$B$4),IF(('Issuance Log'!$B:$B=A354)*('Issuance Log'!$G:$G=$B$4),'Issuance Log'!$D:$D),0)),"-")</f>
        <v>-</v>
      </c>
    </row>
    <row r="355" spans="1:5" x14ac:dyDescent="0.25">
      <c r="A355" s="2" t="s">
        <v>696</v>
      </c>
      <c r="B355" s="2" t="s">
        <v>697</v>
      </c>
      <c r="C355" s="3">
        <f>IFERROR(SUMIFS('Issuance Log'!$D:$D,'Issuance Log'!$B:$B,A355,'Issuance Log'!$G:$G,$B$4),0)</f>
        <v>0</v>
      </c>
      <c r="D355" s="3">
        <f>IFERROR(COUNTIFS('Issuance Log'!$B:$B,A355,'Issuance Log'!$G:$G,$B$4),0)</f>
        <v>0</v>
      </c>
      <c r="E355" s="3" t="str">
        <f ca="1">IFERROR(INDEX('Issuance Log'!$E:$E,MATCH(MAXIFS('Issuance Log'!$D:$D,'Issuance Log'!$B:$B,A355,'Issuance Log'!$G:$G,$B$4),IF(('Issuance Log'!$B:$B=A355)*('Issuance Log'!$G:$G=$B$4),'Issuance Log'!$D:$D),0)),"-")</f>
        <v>-</v>
      </c>
    </row>
    <row r="356" spans="1:5" x14ac:dyDescent="0.25">
      <c r="A356" s="4" t="s">
        <v>698</v>
      </c>
      <c r="B356" s="4" t="s">
        <v>699</v>
      </c>
      <c r="C356" s="5">
        <f>IFERROR(SUMIFS('Issuance Log'!$D:$D,'Issuance Log'!$B:$B,A356,'Issuance Log'!$G:$G,$B$4),0)</f>
        <v>0</v>
      </c>
      <c r="D356" s="5">
        <f>IFERROR(COUNTIFS('Issuance Log'!$B:$B,A356,'Issuance Log'!$G:$G,$B$4),0)</f>
        <v>0</v>
      </c>
      <c r="E356" s="5" t="str">
        <f ca="1">IFERROR(INDEX('Issuance Log'!$E:$E,MATCH(MAXIFS('Issuance Log'!$D:$D,'Issuance Log'!$B:$B,A356,'Issuance Log'!$G:$G,$B$4),IF(('Issuance Log'!$B:$B=A356)*('Issuance Log'!$G:$G=$B$4),'Issuance Log'!$D:$D),0)),"-")</f>
        <v>-</v>
      </c>
    </row>
    <row r="357" spans="1:5" x14ac:dyDescent="0.25">
      <c r="A357" s="2" t="s">
        <v>700</v>
      </c>
      <c r="B357" s="2" t="s">
        <v>701</v>
      </c>
      <c r="C357" s="3">
        <f>IFERROR(SUMIFS('Issuance Log'!$D:$D,'Issuance Log'!$B:$B,A357,'Issuance Log'!$G:$G,$B$4),0)</f>
        <v>0</v>
      </c>
      <c r="D357" s="3">
        <f>IFERROR(COUNTIFS('Issuance Log'!$B:$B,A357,'Issuance Log'!$G:$G,$B$4),0)</f>
        <v>0</v>
      </c>
      <c r="E357" s="3" t="str">
        <f ca="1">IFERROR(INDEX('Issuance Log'!$E:$E,MATCH(MAXIFS('Issuance Log'!$D:$D,'Issuance Log'!$B:$B,A357,'Issuance Log'!$G:$G,$B$4),IF(('Issuance Log'!$B:$B=A357)*('Issuance Log'!$G:$G=$B$4),'Issuance Log'!$D:$D),0)),"-")</f>
        <v>-</v>
      </c>
    </row>
    <row r="358" spans="1:5" x14ac:dyDescent="0.25">
      <c r="A358" s="4" t="s">
        <v>702</v>
      </c>
      <c r="B358" s="4" t="s">
        <v>703</v>
      </c>
      <c r="C358" s="5">
        <f>IFERROR(SUMIFS('Issuance Log'!$D:$D,'Issuance Log'!$B:$B,A358,'Issuance Log'!$G:$G,$B$4),0)</f>
        <v>0</v>
      </c>
      <c r="D358" s="5">
        <f>IFERROR(COUNTIFS('Issuance Log'!$B:$B,A358,'Issuance Log'!$G:$G,$B$4),0)</f>
        <v>0</v>
      </c>
      <c r="E358" s="5" t="str">
        <f ca="1">IFERROR(INDEX('Issuance Log'!$E:$E,MATCH(MAXIFS('Issuance Log'!$D:$D,'Issuance Log'!$B:$B,A358,'Issuance Log'!$G:$G,$B$4),IF(('Issuance Log'!$B:$B=A358)*('Issuance Log'!$G:$G=$B$4),'Issuance Log'!$D:$D),0)),"-")</f>
        <v>-</v>
      </c>
    </row>
    <row r="359" spans="1:5" x14ac:dyDescent="0.25">
      <c r="A359" s="2" t="s">
        <v>704</v>
      </c>
      <c r="B359" s="2" t="s">
        <v>705</v>
      </c>
      <c r="C359" s="3">
        <f>IFERROR(SUMIFS('Issuance Log'!$D:$D,'Issuance Log'!$B:$B,A359,'Issuance Log'!$G:$G,$B$4),0)</f>
        <v>0</v>
      </c>
      <c r="D359" s="3">
        <f>IFERROR(COUNTIFS('Issuance Log'!$B:$B,A359,'Issuance Log'!$G:$G,$B$4),0)</f>
        <v>0</v>
      </c>
      <c r="E359" s="3" t="str">
        <f ca="1">IFERROR(INDEX('Issuance Log'!$E:$E,MATCH(MAXIFS('Issuance Log'!$D:$D,'Issuance Log'!$B:$B,A359,'Issuance Log'!$G:$G,$B$4),IF(('Issuance Log'!$B:$B=A359)*('Issuance Log'!$G:$G=$B$4),'Issuance Log'!$D:$D),0)),"-")</f>
        <v>-</v>
      </c>
    </row>
    <row r="360" spans="1:5" x14ac:dyDescent="0.25">
      <c r="A360" s="4" t="s">
        <v>706</v>
      </c>
      <c r="B360" s="4" t="s">
        <v>707</v>
      </c>
      <c r="C360" s="5">
        <f>IFERROR(SUMIFS('Issuance Log'!$D:$D,'Issuance Log'!$B:$B,A360,'Issuance Log'!$G:$G,$B$4),0)</f>
        <v>0</v>
      </c>
      <c r="D360" s="5">
        <f>IFERROR(COUNTIFS('Issuance Log'!$B:$B,A360,'Issuance Log'!$G:$G,$B$4),0)</f>
        <v>0</v>
      </c>
      <c r="E360" s="5" t="str">
        <f ca="1">IFERROR(INDEX('Issuance Log'!$E:$E,MATCH(MAXIFS('Issuance Log'!$D:$D,'Issuance Log'!$B:$B,A360,'Issuance Log'!$G:$G,$B$4),IF(('Issuance Log'!$B:$B=A360)*('Issuance Log'!$G:$G=$B$4),'Issuance Log'!$D:$D),0)),"-")</f>
        <v>-</v>
      </c>
    </row>
    <row r="361" spans="1:5" x14ac:dyDescent="0.25">
      <c r="A361" s="2" t="s">
        <v>708</v>
      </c>
      <c r="B361" s="2" t="s">
        <v>709</v>
      </c>
      <c r="C361" s="3">
        <f>IFERROR(SUMIFS('Issuance Log'!$D:$D,'Issuance Log'!$B:$B,A361,'Issuance Log'!$G:$G,$B$4),0)</f>
        <v>0</v>
      </c>
      <c r="D361" s="3">
        <f>IFERROR(COUNTIFS('Issuance Log'!$B:$B,A361,'Issuance Log'!$G:$G,$B$4),0)</f>
        <v>0</v>
      </c>
      <c r="E361" s="3" t="str">
        <f ca="1">IFERROR(INDEX('Issuance Log'!$E:$E,MATCH(MAXIFS('Issuance Log'!$D:$D,'Issuance Log'!$B:$B,A361,'Issuance Log'!$G:$G,$B$4),IF(('Issuance Log'!$B:$B=A361)*('Issuance Log'!$G:$G=$B$4),'Issuance Log'!$D:$D),0)),"-")</f>
        <v>-</v>
      </c>
    </row>
    <row r="362" spans="1:5" x14ac:dyDescent="0.25">
      <c r="A362" s="4" t="s">
        <v>710</v>
      </c>
      <c r="B362" s="4" t="s">
        <v>711</v>
      </c>
      <c r="C362" s="5">
        <f>IFERROR(SUMIFS('Issuance Log'!$D:$D,'Issuance Log'!$B:$B,A362,'Issuance Log'!$G:$G,$B$4),0)</f>
        <v>0</v>
      </c>
      <c r="D362" s="5">
        <f>IFERROR(COUNTIFS('Issuance Log'!$B:$B,A362,'Issuance Log'!$G:$G,$B$4),0)</f>
        <v>0</v>
      </c>
      <c r="E362" s="5" t="str">
        <f ca="1">IFERROR(INDEX('Issuance Log'!$E:$E,MATCH(MAXIFS('Issuance Log'!$D:$D,'Issuance Log'!$B:$B,A362,'Issuance Log'!$G:$G,$B$4),IF(('Issuance Log'!$B:$B=A362)*('Issuance Log'!$G:$G=$B$4),'Issuance Log'!$D:$D),0)),"-")</f>
        <v>-</v>
      </c>
    </row>
    <row r="363" spans="1:5" x14ac:dyDescent="0.25">
      <c r="A363" s="2" t="s">
        <v>712</v>
      </c>
      <c r="B363" s="2" t="s">
        <v>713</v>
      </c>
      <c r="C363" s="3">
        <f>IFERROR(SUMIFS('Issuance Log'!$D:$D,'Issuance Log'!$B:$B,A363,'Issuance Log'!$G:$G,$B$4),0)</f>
        <v>0</v>
      </c>
      <c r="D363" s="3">
        <f>IFERROR(COUNTIFS('Issuance Log'!$B:$B,A363,'Issuance Log'!$G:$G,$B$4),0)</f>
        <v>0</v>
      </c>
      <c r="E363" s="3" t="str">
        <f ca="1">IFERROR(INDEX('Issuance Log'!$E:$E,MATCH(MAXIFS('Issuance Log'!$D:$D,'Issuance Log'!$B:$B,A363,'Issuance Log'!$G:$G,$B$4),IF(('Issuance Log'!$B:$B=A363)*('Issuance Log'!$G:$G=$B$4),'Issuance Log'!$D:$D),0)),"-")</f>
        <v>-</v>
      </c>
    </row>
    <row r="364" spans="1:5" x14ac:dyDescent="0.25">
      <c r="A364" s="4" t="s">
        <v>714</v>
      </c>
      <c r="B364" s="4" t="s">
        <v>715</v>
      </c>
      <c r="C364" s="5">
        <f>IFERROR(SUMIFS('Issuance Log'!$D:$D,'Issuance Log'!$B:$B,A364,'Issuance Log'!$G:$G,$B$4),0)</f>
        <v>0</v>
      </c>
      <c r="D364" s="5">
        <f>IFERROR(COUNTIFS('Issuance Log'!$B:$B,A364,'Issuance Log'!$G:$G,$B$4),0)</f>
        <v>0</v>
      </c>
      <c r="E364" s="5" t="str">
        <f ca="1">IFERROR(INDEX('Issuance Log'!$E:$E,MATCH(MAXIFS('Issuance Log'!$D:$D,'Issuance Log'!$B:$B,A364,'Issuance Log'!$G:$G,$B$4),IF(('Issuance Log'!$B:$B=A364)*('Issuance Log'!$G:$G=$B$4),'Issuance Log'!$D:$D),0)),"-")</f>
        <v>-</v>
      </c>
    </row>
    <row r="365" spans="1:5" x14ac:dyDescent="0.25">
      <c r="A365" s="2" t="s">
        <v>716</v>
      </c>
      <c r="B365" s="2" t="s">
        <v>717</v>
      </c>
      <c r="C365" s="3">
        <f>IFERROR(SUMIFS('Issuance Log'!$D:$D,'Issuance Log'!$B:$B,A365,'Issuance Log'!$G:$G,$B$4),0)</f>
        <v>0</v>
      </c>
      <c r="D365" s="3">
        <f>IFERROR(COUNTIFS('Issuance Log'!$B:$B,A365,'Issuance Log'!$G:$G,$B$4),0)</f>
        <v>0</v>
      </c>
      <c r="E365" s="3" t="str">
        <f ca="1">IFERROR(INDEX('Issuance Log'!$E:$E,MATCH(MAXIFS('Issuance Log'!$D:$D,'Issuance Log'!$B:$B,A365,'Issuance Log'!$G:$G,$B$4),IF(('Issuance Log'!$B:$B=A365)*('Issuance Log'!$G:$G=$B$4),'Issuance Log'!$D:$D),0)),"-")</f>
        <v>-</v>
      </c>
    </row>
    <row r="366" spans="1:5" x14ac:dyDescent="0.25">
      <c r="A366" s="4" t="s">
        <v>718</v>
      </c>
      <c r="B366" s="4" t="s">
        <v>719</v>
      </c>
      <c r="C366" s="5">
        <f>IFERROR(SUMIFS('Issuance Log'!$D:$D,'Issuance Log'!$B:$B,A366,'Issuance Log'!$G:$G,$B$4),0)</f>
        <v>0</v>
      </c>
      <c r="D366" s="5">
        <f>IFERROR(COUNTIFS('Issuance Log'!$B:$B,A366,'Issuance Log'!$G:$G,$B$4),0)</f>
        <v>0</v>
      </c>
      <c r="E366" s="5" t="str">
        <f ca="1">IFERROR(INDEX('Issuance Log'!$E:$E,MATCH(MAXIFS('Issuance Log'!$D:$D,'Issuance Log'!$B:$B,A366,'Issuance Log'!$G:$G,$B$4),IF(('Issuance Log'!$B:$B=A366)*('Issuance Log'!$G:$G=$B$4),'Issuance Log'!$D:$D),0)),"-")</f>
        <v>-</v>
      </c>
    </row>
    <row r="367" spans="1:5" x14ac:dyDescent="0.25">
      <c r="A367" s="2" t="s">
        <v>720</v>
      </c>
      <c r="B367" s="2" t="s">
        <v>721</v>
      </c>
      <c r="C367" s="3">
        <f>IFERROR(SUMIFS('Issuance Log'!$D:$D,'Issuance Log'!$B:$B,A367,'Issuance Log'!$G:$G,$B$4),0)</f>
        <v>0</v>
      </c>
      <c r="D367" s="3">
        <f>IFERROR(COUNTIFS('Issuance Log'!$B:$B,A367,'Issuance Log'!$G:$G,$B$4),0)</f>
        <v>0</v>
      </c>
      <c r="E367" s="3" t="str">
        <f ca="1">IFERROR(INDEX('Issuance Log'!$E:$E,MATCH(MAXIFS('Issuance Log'!$D:$D,'Issuance Log'!$B:$B,A367,'Issuance Log'!$G:$G,$B$4),IF(('Issuance Log'!$B:$B=A367)*('Issuance Log'!$G:$G=$B$4),'Issuance Log'!$D:$D),0)),"-")</f>
        <v>-</v>
      </c>
    </row>
    <row r="368" spans="1:5" x14ac:dyDescent="0.25">
      <c r="A368" s="4" t="s">
        <v>722</v>
      </c>
      <c r="B368" s="4" t="s">
        <v>723</v>
      </c>
      <c r="C368" s="5">
        <f>IFERROR(SUMIFS('Issuance Log'!$D:$D,'Issuance Log'!$B:$B,A368,'Issuance Log'!$G:$G,$B$4),0)</f>
        <v>0</v>
      </c>
      <c r="D368" s="5">
        <f>IFERROR(COUNTIFS('Issuance Log'!$B:$B,A368,'Issuance Log'!$G:$G,$B$4),0)</f>
        <v>0</v>
      </c>
      <c r="E368" s="5" t="str">
        <f ca="1">IFERROR(INDEX('Issuance Log'!$E:$E,MATCH(MAXIFS('Issuance Log'!$D:$D,'Issuance Log'!$B:$B,A368,'Issuance Log'!$G:$G,$B$4),IF(('Issuance Log'!$B:$B=A368)*('Issuance Log'!$G:$G=$B$4),'Issuance Log'!$D:$D),0)),"-")</f>
        <v>-</v>
      </c>
    </row>
    <row r="369" spans="1:5" x14ac:dyDescent="0.25">
      <c r="A369" s="2" t="s">
        <v>724</v>
      </c>
      <c r="B369" s="2" t="s">
        <v>297</v>
      </c>
      <c r="C369" s="3">
        <f>IFERROR(SUMIFS('Issuance Log'!$D:$D,'Issuance Log'!$B:$B,A369,'Issuance Log'!$G:$G,$B$4),0)</f>
        <v>0</v>
      </c>
      <c r="D369" s="3">
        <f>IFERROR(COUNTIFS('Issuance Log'!$B:$B,A369,'Issuance Log'!$G:$G,$B$4),0)</f>
        <v>0</v>
      </c>
      <c r="E369" s="3" t="str">
        <f ca="1">IFERROR(INDEX('Issuance Log'!$E:$E,MATCH(MAXIFS('Issuance Log'!$D:$D,'Issuance Log'!$B:$B,A369,'Issuance Log'!$G:$G,$B$4),IF(('Issuance Log'!$B:$B=A369)*('Issuance Log'!$G:$G=$B$4),'Issuance Log'!$D:$D),0)),"-")</f>
        <v>-</v>
      </c>
    </row>
    <row r="370" spans="1:5" x14ac:dyDescent="0.25">
      <c r="A370" s="4" t="s">
        <v>725</v>
      </c>
      <c r="B370" s="4" t="s">
        <v>726</v>
      </c>
      <c r="C370" s="5">
        <f>IFERROR(SUMIFS('Issuance Log'!$D:$D,'Issuance Log'!$B:$B,A370,'Issuance Log'!$G:$G,$B$4),0)</f>
        <v>0</v>
      </c>
      <c r="D370" s="5">
        <f>IFERROR(COUNTIFS('Issuance Log'!$B:$B,A370,'Issuance Log'!$G:$G,$B$4),0)</f>
        <v>0</v>
      </c>
      <c r="E370" s="5" t="str">
        <f ca="1">IFERROR(INDEX('Issuance Log'!$E:$E,MATCH(MAXIFS('Issuance Log'!$D:$D,'Issuance Log'!$B:$B,A370,'Issuance Log'!$G:$G,$B$4),IF(('Issuance Log'!$B:$B=A370)*('Issuance Log'!$G:$G=$B$4),'Issuance Log'!$D:$D),0)),"-")</f>
        <v>-</v>
      </c>
    </row>
    <row r="371" spans="1:5" x14ac:dyDescent="0.25">
      <c r="A371" s="2" t="s">
        <v>727</v>
      </c>
      <c r="B371" s="2" t="s">
        <v>728</v>
      </c>
      <c r="C371" s="3">
        <f>IFERROR(SUMIFS('Issuance Log'!$D:$D,'Issuance Log'!$B:$B,A371,'Issuance Log'!$G:$G,$B$4),0)</f>
        <v>0</v>
      </c>
      <c r="D371" s="3">
        <f>IFERROR(COUNTIFS('Issuance Log'!$B:$B,A371,'Issuance Log'!$G:$G,$B$4),0)</f>
        <v>0</v>
      </c>
      <c r="E371" s="3" t="str">
        <f ca="1">IFERROR(INDEX('Issuance Log'!$E:$E,MATCH(MAXIFS('Issuance Log'!$D:$D,'Issuance Log'!$B:$B,A371,'Issuance Log'!$G:$G,$B$4),IF(('Issuance Log'!$B:$B=A371)*('Issuance Log'!$G:$G=$B$4),'Issuance Log'!$D:$D),0)),"-")</f>
        <v>-</v>
      </c>
    </row>
    <row r="372" spans="1:5" x14ac:dyDescent="0.25">
      <c r="A372" s="4" t="s">
        <v>729</v>
      </c>
      <c r="B372" s="4" t="s">
        <v>730</v>
      </c>
      <c r="C372" s="5">
        <f>IFERROR(SUMIFS('Issuance Log'!$D:$D,'Issuance Log'!$B:$B,A372,'Issuance Log'!$G:$G,$B$4),0)</f>
        <v>0</v>
      </c>
      <c r="D372" s="5">
        <f>IFERROR(COUNTIFS('Issuance Log'!$B:$B,A372,'Issuance Log'!$G:$G,$B$4),0)</f>
        <v>0</v>
      </c>
      <c r="E372" s="5" t="str">
        <f ca="1">IFERROR(INDEX('Issuance Log'!$E:$E,MATCH(MAXIFS('Issuance Log'!$D:$D,'Issuance Log'!$B:$B,A372,'Issuance Log'!$G:$G,$B$4),IF(('Issuance Log'!$B:$B=A372)*('Issuance Log'!$G:$G=$B$4),'Issuance Log'!$D:$D),0)),"-")</f>
        <v>-</v>
      </c>
    </row>
    <row r="373" spans="1:5" x14ac:dyDescent="0.25">
      <c r="A373" s="2" t="s">
        <v>731</v>
      </c>
      <c r="B373" s="2" t="s">
        <v>732</v>
      </c>
      <c r="C373" s="3">
        <f>IFERROR(SUMIFS('Issuance Log'!$D:$D,'Issuance Log'!$B:$B,A373,'Issuance Log'!$G:$G,$B$4),0)</f>
        <v>0</v>
      </c>
      <c r="D373" s="3">
        <f>IFERROR(COUNTIFS('Issuance Log'!$B:$B,A373,'Issuance Log'!$G:$G,$B$4),0)</f>
        <v>0</v>
      </c>
      <c r="E373" s="3" t="str">
        <f ca="1">IFERROR(INDEX('Issuance Log'!$E:$E,MATCH(MAXIFS('Issuance Log'!$D:$D,'Issuance Log'!$B:$B,A373,'Issuance Log'!$G:$G,$B$4),IF(('Issuance Log'!$B:$B=A373)*('Issuance Log'!$G:$G=$B$4),'Issuance Log'!$D:$D),0)),"-")</f>
        <v>-</v>
      </c>
    </row>
    <row r="374" spans="1:5" x14ac:dyDescent="0.25">
      <c r="A374" s="4" t="s">
        <v>733</v>
      </c>
      <c r="B374" s="4" t="s">
        <v>734</v>
      </c>
      <c r="C374" s="5">
        <f>IFERROR(SUMIFS('Issuance Log'!$D:$D,'Issuance Log'!$B:$B,A374,'Issuance Log'!$G:$G,$B$4),0)</f>
        <v>0</v>
      </c>
      <c r="D374" s="5">
        <f>IFERROR(COUNTIFS('Issuance Log'!$B:$B,A374,'Issuance Log'!$G:$G,$B$4),0)</f>
        <v>0</v>
      </c>
      <c r="E374" s="5" t="str">
        <f ca="1">IFERROR(INDEX('Issuance Log'!$E:$E,MATCH(MAXIFS('Issuance Log'!$D:$D,'Issuance Log'!$B:$B,A374,'Issuance Log'!$G:$G,$B$4),IF(('Issuance Log'!$B:$B=A374)*('Issuance Log'!$G:$G=$B$4),'Issuance Log'!$D:$D),0)),"-")</f>
        <v>-</v>
      </c>
    </row>
    <row r="375" spans="1:5" x14ac:dyDescent="0.25">
      <c r="A375" s="2" t="s">
        <v>735</v>
      </c>
      <c r="B375" s="2" t="s">
        <v>736</v>
      </c>
      <c r="C375" s="3">
        <f>IFERROR(SUMIFS('Issuance Log'!$D:$D,'Issuance Log'!$B:$B,A375,'Issuance Log'!$G:$G,$B$4),0)</f>
        <v>0</v>
      </c>
      <c r="D375" s="3">
        <f>IFERROR(COUNTIFS('Issuance Log'!$B:$B,A375,'Issuance Log'!$G:$G,$B$4),0)</f>
        <v>0</v>
      </c>
      <c r="E375" s="3" t="str">
        <f ca="1">IFERROR(INDEX('Issuance Log'!$E:$E,MATCH(MAXIFS('Issuance Log'!$D:$D,'Issuance Log'!$B:$B,A375,'Issuance Log'!$G:$G,$B$4),IF(('Issuance Log'!$B:$B=A375)*('Issuance Log'!$G:$G=$B$4),'Issuance Log'!$D:$D),0)),"-")</f>
        <v>-</v>
      </c>
    </row>
    <row r="376" spans="1:5" x14ac:dyDescent="0.25">
      <c r="A376" s="4" t="s">
        <v>737</v>
      </c>
      <c r="B376" s="4" t="s">
        <v>738</v>
      </c>
      <c r="C376" s="5">
        <f>IFERROR(SUMIFS('Issuance Log'!$D:$D,'Issuance Log'!$B:$B,A376,'Issuance Log'!$G:$G,$B$4),0)</f>
        <v>0</v>
      </c>
      <c r="D376" s="5">
        <f>IFERROR(COUNTIFS('Issuance Log'!$B:$B,A376,'Issuance Log'!$G:$G,$B$4),0)</f>
        <v>0</v>
      </c>
      <c r="E376" s="5" t="str">
        <f ca="1">IFERROR(INDEX('Issuance Log'!$E:$E,MATCH(MAXIFS('Issuance Log'!$D:$D,'Issuance Log'!$B:$B,A376,'Issuance Log'!$G:$G,$B$4),IF(('Issuance Log'!$B:$B=A376)*('Issuance Log'!$G:$G=$B$4),'Issuance Log'!$D:$D),0)),"-")</f>
        <v>-</v>
      </c>
    </row>
    <row r="377" spans="1:5" x14ac:dyDescent="0.25">
      <c r="A377" s="2" t="s">
        <v>739</v>
      </c>
      <c r="B377" s="2" t="s">
        <v>740</v>
      </c>
      <c r="C377" s="3">
        <f>IFERROR(SUMIFS('Issuance Log'!$D:$D,'Issuance Log'!$B:$B,A377,'Issuance Log'!$G:$G,$B$4),0)</f>
        <v>0</v>
      </c>
      <c r="D377" s="3">
        <f>IFERROR(COUNTIFS('Issuance Log'!$B:$B,A377,'Issuance Log'!$G:$G,$B$4),0)</f>
        <v>0</v>
      </c>
      <c r="E377" s="3" t="str">
        <f ca="1">IFERROR(INDEX('Issuance Log'!$E:$E,MATCH(MAXIFS('Issuance Log'!$D:$D,'Issuance Log'!$B:$B,A377,'Issuance Log'!$G:$G,$B$4),IF(('Issuance Log'!$B:$B=A377)*('Issuance Log'!$G:$G=$B$4),'Issuance Log'!$D:$D),0)),"-")</f>
        <v>-</v>
      </c>
    </row>
    <row r="378" spans="1:5" x14ac:dyDescent="0.25">
      <c r="A378" s="4" t="s">
        <v>741</v>
      </c>
      <c r="B378" s="4" t="s">
        <v>742</v>
      </c>
      <c r="C378" s="5">
        <f>IFERROR(SUMIFS('Issuance Log'!$D:$D,'Issuance Log'!$B:$B,A378,'Issuance Log'!$G:$G,$B$4),0)</f>
        <v>0</v>
      </c>
      <c r="D378" s="5">
        <f>IFERROR(COUNTIFS('Issuance Log'!$B:$B,A378,'Issuance Log'!$G:$G,$B$4),0)</f>
        <v>0</v>
      </c>
      <c r="E378" s="5" t="str">
        <f ca="1">IFERROR(INDEX('Issuance Log'!$E:$E,MATCH(MAXIFS('Issuance Log'!$D:$D,'Issuance Log'!$B:$B,A378,'Issuance Log'!$G:$G,$B$4),IF(('Issuance Log'!$B:$B=A378)*('Issuance Log'!$G:$G=$B$4),'Issuance Log'!$D:$D),0)),"-")</f>
        <v>-</v>
      </c>
    </row>
    <row r="379" spans="1:5" x14ac:dyDescent="0.25">
      <c r="A379" s="2" t="s">
        <v>743</v>
      </c>
      <c r="B379" s="2" t="s">
        <v>744</v>
      </c>
      <c r="C379" s="3">
        <f>IFERROR(SUMIFS('Issuance Log'!$D:$D,'Issuance Log'!$B:$B,A379,'Issuance Log'!$G:$G,$B$4),0)</f>
        <v>0</v>
      </c>
      <c r="D379" s="3">
        <f>IFERROR(COUNTIFS('Issuance Log'!$B:$B,A379,'Issuance Log'!$G:$G,$B$4),0)</f>
        <v>0</v>
      </c>
      <c r="E379" s="3" t="str">
        <f ca="1">IFERROR(INDEX('Issuance Log'!$E:$E,MATCH(MAXIFS('Issuance Log'!$D:$D,'Issuance Log'!$B:$B,A379,'Issuance Log'!$G:$G,$B$4),IF(('Issuance Log'!$B:$B=A379)*('Issuance Log'!$G:$G=$B$4),'Issuance Log'!$D:$D),0)),"-")</f>
        <v>-</v>
      </c>
    </row>
    <row r="380" spans="1:5" x14ac:dyDescent="0.25">
      <c r="A380" s="4" t="s">
        <v>745</v>
      </c>
      <c r="B380" s="4" t="s">
        <v>746</v>
      </c>
      <c r="C380" s="5">
        <f>IFERROR(SUMIFS('Issuance Log'!$D:$D,'Issuance Log'!$B:$B,A380,'Issuance Log'!$G:$G,$B$4),0)</f>
        <v>0</v>
      </c>
      <c r="D380" s="5">
        <f>IFERROR(COUNTIFS('Issuance Log'!$B:$B,A380,'Issuance Log'!$G:$G,$B$4),0)</f>
        <v>0</v>
      </c>
      <c r="E380" s="5" t="str">
        <f ca="1">IFERROR(INDEX('Issuance Log'!$E:$E,MATCH(MAXIFS('Issuance Log'!$D:$D,'Issuance Log'!$B:$B,A380,'Issuance Log'!$G:$G,$B$4),IF(('Issuance Log'!$B:$B=A380)*('Issuance Log'!$G:$G=$B$4),'Issuance Log'!$D:$D),0)),"-")</f>
        <v>-</v>
      </c>
    </row>
    <row r="381" spans="1:5" x14ac:dyDescent="0.25">
      <c r="A381" s="2" t="s">
        <v>747</v>
      </c>
      <c r="B381" s="2" t="s">
        <v>748</v>
      </c>
      <c r="C381" s="3">
        <f>IFERROR(SUMIFS('Issuance Log'!$D:$D,'Issuance Log'!$B:$B,A381,'Issuance Log'!$G:$G,$B$4),0)</f>
        <v>0</v>
      </c>
      <c r="D381" s="3">
        <f>IFERROR(COUNTIFS('Issuance Log'!$B:$B,A381,'Issuance Log'!$G:$G,$B$4),0)</f>
        <v>0</v>
      </c>
      <c r="E381" s="3" t="str">
        <f ca="1">IFERROR(INDEX('Issuance Log'!$E:$E,MATCH(MAXIFS('Issuance Log'!$D:$D,'Issuance Log'!$B:$B,A381,'Issuance Log'!$G:$G,$B$4),IF(('Issuance Log'!$B:$B=A381)*('Issuance Log'!$G:$G=$B$4),'Issuance Log'!$D:$D),0)),"-")</f>
        <v>-</v>
      </c>
    </row>
    <row r="382" spans="1:5" x14ac:dyDescent="0.25">
      <c r="A382" s="4" t="s">
        <v>749</v>
      </c>
      <c r="B382" s="4" t="s">
        <v>750</v>
      </c>
      <c r="C382" s="5">
        <f>IFERROR(SUMIFS('Issuance Log'!$D:$D,'Issuance Log'!$B:$B,A382,'Issuance Log'!$G:$G,$B$4),0)</f>
        <v>0</v>
      </c>
      <c r="D382" s="5">
        <f>IFERROR(COUNTIFS('Issuance Log'!$B:$B,A382,'Issuance Log'!$G:$G,$B$4),0)</f>
        <v>0</v>
      </c>
      <c r="E382" s="5" t="str">
        <f ca="1">IFERROR(INDEX('Issuance Log'!$E:$E,MATCH(MAXIFS('Issuance Log'!$D:$D,'Issuance Log'!$B:$B,A382,'Issuance Log'!$G:$G,$B$4),IF(('Issuance Log'!$B:$B=A382)*('Issuance Log'!$G:$G=$B$4),'Issuance Log'!$D:$D),0)),"-")</f>
        <v>-</v>
      </c>
    </row>
    <row r="383" spans="1:5" x14ac:dyDescent="0.25">
      <c r="A383" s="2" t="s">
        <v>751</v>
      </c>
      <c r="B383" s="2" t="s">
        <v>752</v>
      </c>
      <c r="C383" s="3">
        <f>IFERROR(SUMIFS('Issuance Log'!$D:$D,'Issuance Log'!$B:$B,A383,'Issuance Log'!$G:$G,$B$4),0)</f>
        <v>0</v>
      </c>
      <c r="D383" s="3">
        <f>IFERROR(COUNTIFS('Issuance Log'!$B:$B,A383,'Issuance Log'!$G:$G,$B$4),0)</f>
        <v>0</v>
      </c>
      <c r="E383" s="3" t="str">
        <f ca="1">IFERROR(INDEX('Issuance Log'!$E:$E,MATCH(MAXIFS('Issuance Log'!$D:$D,'Issuance Log'!$B:$B,A383,'Issuance Log'!$G:$G,$B$4),IF(('Issuance Log'!$B:$B=A383)*('Issuance Log'!$G:$G=$B$4),'Issuance Log'!$D:$D),0)),"-")</f>
        <v>-</v>
      </c>
    </row>
    <row r="384" spans="1:5" x14ac:dyDescent="0.25">
      <c r="A384" s="4" t="s">
        <v>753</v>
      </c>
      <c r="B384" s="4" t="s">
        <v>754</v>
      </c>
      <c r="C384" s="5">
        <f>IFERROR(SUMIFS('Issuance Log'!$D:$D,'Issuance Log'!$B:$B,A384,'Issuance Log'!$G:$G,$B$4),0)</f>
        <v>0</v>
      </c>
      <c r="D384" s="5">
        <f>IFERROR(COUNTIFS('Issuance Log'!$B:$B,A384,'Issuance Log'!$G:$G,$B$4),0)</f>
        <v>0</v>
      </c>
      <c r="E384" s="5" t="str">
        <f ca="1">IFERROR(INDEX('Issuance Log'!$E:$E,MATCH(MAXIFS('Issuance Log'!$D:$D,'Issuance Log'!$B:$B,A384,'Issuance Log'!$G:$G,$B$4),IF(('Issuance Log'!$B:$B=A384)*('Issuance Log'!$G:$G=$B$4),'Issuance Log'!$D:$D),0)),"-")</f>
        <v>-</v>
      </c>
    </row>
    <row r="385" spans="1:5" x14ac:dyDescent="0.25">
      <c r="A385" s="2" t="s">
        <v>755</v>
      </c>
      <c r="B385" s="2" t="s">
        <v>756</v>
      </c>
      <c r="C385" s="3">
        <f>IFERROR(SUMIFS('Issuance Log'!$D:$D,'Issuance Log'!$B:$B,A385,'Issuance Log'!$G:$G,$B$4),0)</f>
        <v>0</v>
      </c>
      <c r="D385" s="3">
        <f>IFERROR(COUNTIFS('Issuance Log'!$B:$B,A385,'Issuance Log'!$G:$G,$B$4),0)</f>
        <v>0</v>
      </c>
      <c r="E385" s="3" t="str">
        <f ca="1">IFERROR(INDEX('Issuance Log'!$E:$E,MATCH(MAXIFS('Issuance Log'!$D:$D,'Issuance Log'!$B:$B,A385,'Issuance Log'!$G:$G,$B$4),IF(('Issuance Log'!$B:$B=A385)*('Issuance Log'!$G:$G=$B$4),'Issuance Log'!$D:$D),0)),"-")</f>
        <v>-</v>
      </c>
    </row>
    <row r="386" spans="1:5" x14ac:dyDescent="0.25">
      <c r="A386" s="4" t="s">
        <v>757</v>
      </c>
      <c r="B386" s="4" t="s">
        <v>758</v>
      </c>
      <c r="C386" s="5">
        <f>IFERROR(SUMIFS('Issuance Log'!$D:$D,'Issuance Log'!$B:$B,A386,'Issuance Log'!$G:$G,$B$4),0)</f>
        <v>0</v>
      </c>
      <c r="D386" s="5">
        <f>IFERROR(COUNTIFS('Issuance Log'!$B:$B,A386,'Issuance Log'!$G:$G,$B$4),0)</f>
        <v>0</v>
      </c>
      <c r="E386" s="5" t="str">
        <f ca="1">IFERROR(INDEX('Issuance Log'!$E:$E,MATCH(MAXIFS('Issuance Log'!$D:$D,'Issuance Log'!$B:$B,A386,'Issuance Log'!$G:$G,$B$4),IF(('Issuance Log'!$B:$B=A386)*('Issuance Log'!$G:$G=$B$4),'Issuance Log'!$D:$D),0)),"-")</f>
        <v>-</v>
      </c>
    </row>
    <row r="387" spans="1:5" x14ac:dyDescent="0.25">
      <c r="A387" s="2" t="s">
        <v>759</v>
      </c>
      <c r="B387" s="2" t="s">
        <v>760</v>
      </c>
      <c r="C387" s="3">
        <f>IFERROR(SUMIFS('Issuance Log'!$D:$D,'Issuance Log'!$B:$B,A387,'Issuance Log'!$G:$G,$B$4),0)</f>
        <v>0</v>
      </c>
      <c r="D387" s="3">
        <f>IFERROR(COUNTIFS('Issuance Log'!$B:$B,A387,'Issuance Log'!$G:$G,$B$4),0)</f>
        <v>0</v>
      </c>
      <c r="E387" s="3" t="str">
        <f ca="1">IFERROR(INDEX('Issuance Log'!$E:$E,MATCH(MAXIFS('Issuance Log'!$D:$D,'Issuance Log'!$B:$B,A387,'Issuance Log'!$G:$G,$B$4),IF(('Issuance Log'!$B:$B=A387)*('Issuance Log'!$G:$G=$B$4),'Issuance Log'!$D:$D),0)),"-")</f>
        <v>-</v>
      </c>
    </row>
    <row r="388" spans="1:5" x14ac:dyDescent="0.25">
      <c r="A388" s="4" t="s">
        <v>761</v>
      </c>
      <c r="B388" s="4" t="s">
        <v>762</v>
      </c>
      <c r="C388" s="5">
        <f>IFERROR(SUMIFS('Issuance Log'!$D:$D,'Issuance Log'!$B:$B,A388,'Issuance Log'!$G:$G,$B$4),0)</f>
        <v>0</v>
      </c>
      <c r="D388" s="5">
        <f>IFERROR(COUNTIFS('Issuance Log'!$B:$B,A388,'Issuance Log'!$G:$G,$B$4),0)</f>
        <v>0</v>
      </c>
      <c r="E388" s="5" t="str">
        <f ca="1">IFERROR(INDEX('Issuance Log'!$E:$E,MATCH(MAXIFS('Issuance Log'!$D:$D,'Issuance Log'!$B:$B,A388,'Issuance Log'!$G:$G,$B$4),IF(('Issuance Log'!$B:$B=A388)*('Issuance Log'!$G:$G=$B$4),'Issuance Log'!$D:$D),0)),"-")</f>
        <v>-</v>
      </c>
    </row>
    <row r="389" spans="1:5" x14ac:dyDescent="0.25">
      <c r="A389" s="2" t="s">
        <v>763</v>
      </c>
      <c r="B389" s="2" t="s">
        <v>764</v>
      </c>
      <c r="C389" s="3">
        <f>IFERROR(SUMIFS('Issuance Log'!$D:$D,'Issuance Log'!$B:$B,A389,'Issuance Log'!$G:$G,$B$4),0)</f>
        <v>0</v>
      </c>
      <c r="D389" s="3">
        <f>IFERROR(COUNTIFS('Issuance Log'!$B:$B,A389,'Issuance Log'!$G:$G,$B$4),0)</f>
        <v>0</v>
      </c>
      <c r="E389" s="3" t="str">
        <f ca="1">IFERROR(INDEX('Issuance Log'!$E:$E,MATCH(MAXIFS('Issuance Log'!$D:$D,'Issuance Log'!$B:$B,A389,'Issuance Log'!$G:$G,$B$4),IF(('Issuance Log'!$B:$B=A389)*('Issuance Log'!$G:$G=$B$4),'Issuance Log'!$D:$D),0)),"-")</f>
        <v>-</v>
      </c>
    </row>
    <row r="390" spans="1:5" x14ac:dyDescent="0.25">
      <c r="A390" s="4" t="s">
        <v>765</v>
      </c>
      <c r="B390" s="4" t="s">
        <v>766</v>
      </c>
      <c r="C390" s="5">
        <f>IFERROR(SUMIFS('Issuance Log'!$D:$D,'Issuance Log'!$B:$B,A390,'Issuance Log'!$G:$G,$B$4),0)</f>
        <v>0</v>
      </c>
      <c r="D390" s="5">
        <f>IFERROR(COUNTIFS('Issuance Log'!$B:$B,A390,'Issuance Log'!$G:$G,$B$4),0)</f>
        <v>0</v>
      </c>
      <c r="E390" s="5" t="str">
        <f ca="1">IFERROR(INDEX('Issuance Log'!$E:$E,MATCH(MAXIFS('Issuance Log'!$D:$D,'Issuance Log'!$B:$B,A390,'Issuance Log'!$G:$G,$B$4),IF(('Issuance Log'!$B:$B=A390)*('Issuance Log'!$G:$G=$B$4),'Issuance Log'!$D:$D),0)),"-")</f>
        <v>-</v>
      </c>
    </row>
    <row r="391" spans="1:5" x14ac:dyDescent="0.25">
      <c r="A391" s="2" t="s">
        <v>767</v>
      </c>
      <c r="B391" s="2" t="s">
        <v>768</v>
      </c>
      <c r="C391" s="3">
        <f>IFERROR(SUMIFS('Issuance Log'!$D:$D,'Issuance Log'!$B:$B,A391,'Issuance Log'!$G:$G,$B$4),0)</f>
        <v>0</v>
      </c>
      <c r="D391" s="3">
        <f>IFERROR(COUNTIFS('Issuance Log'!$B:$B,A391,'Issuance Log'!$G:$G,$B$4),0)</f>
        <v>0</v>
      </c>
      <c r="E391" s="3" t="str">
        <f ca="1">IFERROR(INDEX('Issuance Log'!$E:$E,MATCH(MAXIFS('Issuance Log'!$D:$D,'Issuance Log'!$B:$B,A391,'Issuance Log'!$G:$G,$B$4),IF(('Issuance Log'!$B:$B=A391)*('Issuance Log'!$G:$G=$B$4),'Issuance Log'!$D:$D),0)),"-")</f>
        <v>-</v>
      </c>
    </row>
    <row r="392" spans="1:5" x14ac:dyDescent="0.25">
      <c r="A392" s="4" t="s">
        <v>769</v>
      </c>
      <c r="B392" s="4" t="s">
        <v>770</v>
      </c>
      <c r="C392" s="5">
        <f>IFERROR(SUMIFS('Issuance Log'!$D:$D,'Issuance Log'!$B:$B,A392,'Issuance Log'!$G:$G,$B$4),0)</f>
        <v>0</v>
      </c>
      <c r="D392" s="5">
        <f>IFERROR(COUNTIFS('Issuance Log'!$B:$B,A392,'Issuance Log'!$G:$G,$B$4),0)</f>
        <v>0</v>
      </c>
      <c r="E392" s="5" t="str">
        <f ca="1">IFERROR(INDEX('Issuance Log'!$E:$E,MATCH(MAXIFS('Issuance Log'!$D:$D,'Issuance Log'!$B:$B,A392,'Issuance Log'!$G:$G,$B$4),IF(('Issuance Log'!$B:$B=A392)*('Issuance Log'!$G:$G=$B$4),'Issuance Log'!$D:$D),0)),"-")</f>
        <v>-</v>
      </c>
    </row>
    <row r="393" spans="1:5" x14ac:dyDescent="0.25">
      <c r="A393" s="2" t="s">
        <v>771</v>
      </c>
      <c r="B393" s="2" t="s">
        <v>772</v>
      </c>
      <c r="C393" s="3">
        <f>IFERROR(SUMIFS('Issuance Log'!$D:$D,'Issuance Log'!$B:$B,A393,'Issuance Log'!$G:$G,$B$4),0)</f>
        <v>0</v>
      </c>
      <c r="D393" s="3">
        <f>IFERROR(COUNTIFS('Issuance Log'!$B:$B,A393,'Issuance Log'!$G:$G,$B$4),0)</f>
        <v>0</v>
      </c>
      <c r="E393" s="3" t="str">
        <f ca="1">IFERROR(INDEX('Issuance Log'!$E:$E,MATCH(MAXIFS('Issuance Log'!$D:$D,'Issuance Log'!$B:$B,A393,'Issuance Log'!$G:$G,$B$4),IF(('Issuance Log'!$B:$B=A393)*('Issuance Log'!$G:$G=$B$4),'Issuance Log'!$D:$D),0)),"-")</f>
        <v>-</v>
      </c>
    </row>
    <row r="394" spans="1:5" x14ac:dyDescent="0.25">
      <c r="A394" s="4" t="s">
        <v>773</v>
      </c>
      <c r="B394" s="4" t="s">
        <v>774</v>
      </c>
      <c r="C394" s="5">
        <f>IFERROR(SUMIFS('Issuance Log'!$D:$D,'Issuance Log'!$B:$B,A394,'Issuance Log'!$G:$G,$B$4),0)</f>
        <v>0</v>
      </c>
      <c r="D394" s="5">
        <f>IFERROR(COUNTIFS('Issuance Log'!$B:$B,A394,'Issuance Log'!$G:$G,$B$4),0)</f>
        <v>0</v>
      </c>
      <c r="E394" s="5" t="str">
        <f ca="1">IFERROR(INDEX('Issuance Log'!$E:$E,MATCH(MAXIFS('Issuance Log'!$D:$D,'Issuance Log'!$B:$B,A394,'Issuance Log'!$G:$G,$B$4),IF(('Issuance Log'!$B:$B=A394)*('Issuance Log'!$G:$G=$B$4),'Issuance Log'!$D:$D),0)),"-")</f>
        <v>-</v>
      </c>
    </row>
    <row r="395" spans="1:5" x14ac:dyDescent="0.25">
      <c r="A395" s="2" t="s">
        <v>775</v>
      </c>
      <c r="B395" s="2" t="s">
        <v>776</v>
      </c>
      <c r="C395" s="3">
        <f>IFERROR(SUMIFS('Issuance Log'!$D:$D,'Issuance Log'!$B:$B,A395,'Issuance Log'!$G:$G,$B$4),0)</f>
        <v>0</v>
      </c>
      <c r="D395" s="3">
        <f>IFERROR(COUNTIFS('Issuance Log'!$B:$B,A395,'Issuance Log'!$G:$G,$B$4),0)</f>
        <v>0</v>
      </c>
      <c r="E395" s="3" t="str">
        <f ca="1">IFERROR(INDEX('Issuance Log'!$E:$E,MATCH(MAXIFS('Issuance Log'!$D:$D,'Issuance Log'!$B:$B,A395,'Issuance Log'!$G:$G,$B$4),IF(('Issuance Log'!$B:$B=A395)*('Issuance Log'!$G:$G=$B$4),'Issuance Log'!$D:$D),0)),"-")</f>
        <v>-</v>
      </c>
    </row>
    <row r="396" spans="1:5" x14ac:dyDescent="0.25">
      <c r="A396" s="4" t="s">
        <v>777</v>
      </c>
      <c r="B396" s="4" t="s">
        <v>778</v>
      </c>
      <c r="C396" s="5">
        <f>IFERROR(SUMIFS('Issuance Log'!$D:$D,'Issuance Log'!$B:$B,A396,'Issuance Log'!$G:$G,$B$4),0)</f>
        <v>0</v>
      </c>
      <c r="D396" s="5">
        <f>IFERROR(COUNTIFS('Issuance Log'!$B:$B,A396,'Issuance Log'!$G:$G,$B$4),0)</f>
        <v>0</v>
      </c>
      <c r="E396" s="5" t="str">
        <f ca="1">IFERROR(INDEX('Issuance Log'!$E:$E,MATCH(MAXIFS('Issuance Log'!$D:$D,'Issuance Log'!$B:$B,A396,'Issuance Log'!$G:$G,$B$4),IF(('Issuance Log'!$B:$B=A396)*('Issuance Log'!$G:$G=$B$4),'Issuance Log'!$D:$D),0)),"-")</f>
        <v>-</v>
      </c>
    </row>
    <row r="397" spans="1:5" x14ac:dyDescent="0.25">
      <c r="A397" s="2" t="s">
        <v>779</v>
      </c>
      <c r="B397" s="2" t="s">
        <v>780</v>
      </c>
      <c r="C397" s="3">
        <f>IFERROR(SUMIFS('Issuance Log'!$D:$D,'Issuance Log'!$B:$B,A397,'Issuance Log'!$G:$G,$B$4),0)</f>
        <v>0</v>
      </c>
      <c r="D397" s="3">
        <f>IFERROR(COUNTIFS('Issuance Log'!$B:$B,A397,'Issuance Log'!$G:$G,$B$4),0)</f>
        <v>0</v>
      </c>
      <c r="E397" s="3" t="str">
        <f ca="1">IFERROR(INDEX('Issuance Log'!$E:$E,MATCH(MAXIFS('Issuance Log'!$D:$D,'Issuance Log'!$B:$B,A397,'Issuance Log'!$G:$G,$B$4),IF(('Issuance Log'!$B:$B=A397)*('Issuance Log'!$G:$G=$B$4),'Issuance Log'!$D:$D),0)),"-")</f>
        <v>-</v>
      </c>
    </row>
    <row r="398" spans="1:5" x14ac:dyDescent="0.25">
      <c r="A398" s="4" t="s">
        <v>781</v>
      </c>
      <c r="B398" s="4" t="s">
        <v>782</v>
      </c>
      <c r="C398" s="5">
        <f>IFERROR(SUMIFS('Issuance Log'!$D:$D,'Issuance Log'!$B:$B,A398,'Issuance Log'!$G:$G,$B$4),0)</f>
        <v>0</v>
      </c>
      <c r="D398" s="5">
        <f>IFERROR(COUNTIFS('Issuance Log'!$B:$B,A398,'Issuance Log'!$G:$G,$B$4),0)</f>
        <v>0</v>
      </c>
      <c r="E398" s="5" t="str">
        <f ca="1">IFERROR(INDEX('Issuance Log'!$E:$E,MATCH(MAXIFS('Issuance Log'!$D:$D,'Issuance Log'!$B:$B,A398,'Issuance Log'!$G:$G,$B$4),IF(('Issuance Log'!$B:$B=A398)*('Issuance Log'!$G:$G=$B$4),'Issuance Log'!$D:$D),0)),"-")</f>
        <v>-</v>
      </c>
    </row>
    <row r="399" spans="1:5" x14ac:dyDescent="0.25">
      <c r="A399" s="2" t="s">
        <v>783</v>
      </c>
      <c r="B399" s="2" t="s">
        <v>784</v>
      </c>
      <c r="C399" s="3">
        <f>IFERROR(SUMIFS('Issuance Log'!$D:$D,'Issuance Log'!$B:$B,A399,'Issuance Log'!$G:$G,$B$4),0)</f>
        <v>0</v>
      </c>
      <c r="D399" s="3">
        <f>IFERROR(COUNTIFS('Issuance Log'!$B:$B,A399,'Issuance Log'!$G:$G,$B$4),0)</f>
        <v>0</v>
      </c>
      <c r="E399" s="3" t="str">
        <f ca="1">IFERROR(INDEX('Issuance Log'!$E:$E,MATCH(MAXIFS('Issuance Log'!$D:$D,'Issuance Log'!$B:$B,A399,'Issuance Log'!$G:$G,$B$4),IF(('Issuance Log'!$B:$B=A399)*('Issuance Log'!$G:$G=$B$4),'Issuance Log'!$D:$D),0)),"-")</f>
        <v>-</v>
      </c>
    </row>
    <row r="400" spans="1:5" x14ac:dyDescent="0.25">
      <c r="A400" s="4" t="s">
        <v>785</v>
      </c>
      <c r="B400" s="4" t="s">
        <v>786</v>
      </c>
      <c r="C400" s="5">
        <f>IFERROR(SUMIFS('Issuance Log'!$D:$D,'Issuance Log'!$B:$B,A400,'Issuance Log'!$G:$G,$B$4),0)</f>
        <v>0</v>
      </c>
      <c r="D400" s="5">
        <f>IFERROR(COUNTIFS('Issuance Log'!$B:$B,A400,'Issuance Log'!$G:$G,$B$4),0)</f>
        <v>0</v>
      </c>
      <c r="E400" s="5" t="str">
        <f ca="1">IFERROR(INDEX('Issuance Log'!$E:$E,MATCH(MAXIFS('Issuance Log'!$D:$D,'Issuance Log'!$B:$B,A400,'Issuance Log'!$G:$G,$B$4),IF(('Issuance Log'!$B:$B=A400)*('Issuance Log'!$G:$G=$B$4),'Issuance Log'!$D:$D),0)),"-")</f>
        <v>-</v>
      </c>
    </row>
    <row r="401" spans="1:5" x14ac:dyDescent="0.25">
      <c r="A401" s="2" t="s">
        <v>787</v>
      </c>
      <c r="B401" s="2" t="s">
        <v>788</v>
      </c>
      <c r="C401" s="3">
        <f>IFERROR(SUMIFS('Issuance Log'!$D:$D,'Issuance Log'!$B:$B,A401,'Issuance Log'!$G:$G,$B$4),0)</f>
        <v>0</v>
      </c>
      <c r="D401" s="3">
        <f>IFERROR(COUNTIFS('Issuance Log'!$B:$B,A401,'Issuance Log'!$G:$G,$B$4),0)</f>
        <v>0</v>
      </c>
      <c r="E401" s="3" t="str">
        <f ca="1">IFERROR(INDEX('Issuance Log'!$E:$E,MATCH(MAXIFS('Issuance Log'!$D:$D,'Issuance Log'!$B:$B,A401,'Issuance Log'!$G:$G,$B$4),IF(('Issuance Log'!$B:$B=A401)*('Issuance Log'!$G:$G=$B$4),'Issuance Log'!$D:$D),0)),"-")</f>
        <v>-</v>
      </c>
    </row>
    <row r="402" spans="1:5" x14ac:dyDescent="0.25">
      <c r="A402" s="4" t="s">
        <v>789</v>
      </c>
      <c r="B402" s="4" t="s">
        <v>790</v>
      </c>
      <c r="C402" s="5">
        <f>IFERROR(SUMIFS('Issuance Log'!$D:$D,'Issuance Log'!$B:$B,A402,'Issuance Log'!$G:$G,$B$4),0)</f>
        <v>0</v>
      </c>
      <c r="D402" s="5">
        <f>IFERROR(COUNTIFS('Issuance Log'!$B:$B,A402,'Issuance Log'!$G:$G,$B$4),0)</f>
        <v>0</v>
      </c>
      <c r="E402" s="5" t="str">
        <f ca="1">IFERROR(INDEX('Issuance Log'!$E:$E,MATCH(MAXIFS('Issuance Log'!$D:$D,'Issuance Log'!$B:$B,A402,'Issuance Log'!$G:$G,$B$4),IF(('Issuance Log'!$B:$B=A402)*('Issuance Log'!$G:$G=$B$4),'Issuance Log'!$D:$D),0)),"-")</f>
        <v>-</v>
      </c>
    </row>
    <row r="403" spans="1:5" x14ac:dyDescent="0.25">
      <c r="A403" s="2" t="s">
        <v>791</v>
      </c>
      <c r="B403" s="2" t="s">
        <v>792</v>
      </c>
      <c r="C403" s="3">
        <f>IFERROR(SUMIFS('Issuance Log'!$D:$D,'Issuance Log'!$B:$B,A403,'Issuance Log'!$G:$G,$B$4),0)</f>
        <v>0</v>
      </c>
      <c r="D403" s="3">
        <f>IFERROR(COUNTIFS('Issuance Log'!$B:$B,A403,'Issuance Log'!$G:$G,$B$4),0)</f>
        <v>0</v>
      </c>
      <c r="E403" s="3" t="str">
        <f ca="1">IFERROR(INDEX('Issuance Log'!$E:$E,MATCH(MAXIFS('Issuance Log'!$D:$D,'Issuance Log'!$B:$B,A403,'Issuance Log'!$G:$G,$B$4),IF(('Issuance Log'!$B:$B=A403)*('Issuance Log'!$G:$G=$B$4),'Issuance Log'!$D:$D),0)),"-")</f>
        <v>-</v>
      </c>
    </row>
    <row r="404" spans="1:5" x14ac:dyDescent="0.25">
      <c r="A404" s="4" t="s">
        <v>793</v>
      </c>
      <c r="B404" s="4" t="s">
        <v>794</v>
      </c>
      <c r="C404" s="5">
        <f>IFERROR(SUMIFS('Issuance Log'!$D:$D,'Issuance Log'!$B:$B,A404,'Issuance Log'!$G:$G,$B$4),0)</f>
        <v>0</v>
      </c>
      <c r="D404" s="5">
        <f>IFERROR(COUNTIFS('Issuance Log'!$B:$B,A404,'Issuance Log'!$G:$G,$B$4),0)</f>
        <v>0</v>
      </c>
      <c r="E404" s="5" t="str">
        <f ca="1">IFERROR(INDEX('Issuance Log'!$E:$E,MATCH(MAXIFS('Issuance Log'!$D:$D,'Issuance Log'!$B:$B,A404,'Issuance Log'!$G:$G,$B$4),IF(('Issuance Log'!$B:$B=A404)*('Issuance Log'!$G:$G=$B$4),'Issuance Log'!$D:$D),0)),"-")</f>
        <v>-</v>
      </c>
    </row>
    <row r="405" spans="1:5" x14ac:dyDescent="0.25">
      <c r="A405" s="2" t="s">
        <v>795</v>
      </c>
      <c r="B405" s="2" t="s">
        <v>796</v>
      </c>
      <c r="C405" s="3">
        <f>IFERROR(SUMIFS('Issuance Log'!$D:$D,'Issuance Log'!$B:$B,A405,'Issuance Log'!$G:$G,$B$4),0)</f>
        <v>0</v>
      </c>
      <c r="D405" s="3">
        <f>IFERROR(COUNTIFS('Issuance Log'!$B:$B,A405,'Issuance Log'!$G:$G,$B$4),0)</f>
        <v>0</v>
      </c>
      <c r="E405" s="3" t="str">
        <f ca="1">IFERROR(INDEX('Issuance Log'!$E:$E,MATCH(MAXIFS('Issuance Log'!$D:$D,'Issuance Log'!$B:$B,A405,'Issuance Log'!$G:$G,$B$4),IF(('Issuance Log'!$B:$B=A405)*('Issuance Log'!$G:$G=$B$4),'Issuance Log'!$D:$D),0)),"-")</f>
        <v>-</v>
      </c>
    </row>
    <row r="406" spans="1:5" x14ac:dyDescent="0.25">
      <c r="A406" s="4" t="s">
        <v>797</v>
      </c>
      <c r="B406" s="4" t="s">
        <v>798</v>
      </c>
      <c r="C406" s="5">
        <f>IFERROR(SUMIFS('Issuance Log'!$D:$D,'Issuance Log'!$B:$B,A406,'Issuance Log'!$G:$G,$B$4),0)</f>
        <v>0</v>
      </c>
      <c r="D406" s="5">
        <f>IFERROR(COUNTIFS('Issuance Log'!$B:$B,A406,'Issuance Log'!$G:$G,$B$4),0)</f>
        <v>0</v>
      </c>
      <c r="E406" s="5" t="str">
        <f ca="1">IFERROR(INDEX('Issuance Log'!$E:$E,MATCH(MAXIFS('Issuance Log'!$D:$D,'Issuance Log'!$B:$B,A406,'Issuance Log'!$G:$G,$B$4),IF(('Issuance Log'!$B:$B=A406)*('Issuance Log'!$G:$G=$B$4),'Issuance Log'!$D:$D),0)),"-")</f>
        <v>-</v>
      </c>
    </row>
    <row r="407" spans="1:5" x14ac:dyDescent="0.25">
      <c r="A407" s="2" t="s">
        <v>799</v>
      </c>
      <c r="B407" s="2" t="s">
        <v>800</v>
      </c>
      <c r="C407" s="3">
        <f>IFERROR(SUMIFS('Issuance Log'!$D:$D,'Issuance Log'!$B:$B,A407,'Issuance Log'!$G:$G,$B$4),0)</f>
        <v>0</v>
      </c>
      <c r="D407" s="3">
        <f>IFERROR(COUNTIFS('Issuance Log'!$B:$B,A407,'Issuance Log'!$G:$G,$B$4),0)</f>
        <v>0</v>
      </c>
      <c r="E407" s="3" t="str">
        <f ca="1">IFERROR(INDEX('Issuance Log'!$E:$E,MATCH(MAXIFS('Issuance Log'!$D:$D,'Issuance Log'!$B:$B,A407,'Issuance Log'!$G:$G,$B$4),IF(('Issuance Log'!$B:$B=A407)*('Issuance Log'!$G:$G=$B$4),'Issuance Log'!$D:$D),0)),"-")</f>
        <v>-</v>
      </c>
    </row>
    <row r="408" spans="1:5" x14ac:dyDescent="0.25">
      <c r="A408" s="4" t="s">
        <v>801</v>
      </c>
      <c r="B408" s="4" t="s">
        <v>802</v>
      </c>
      <c r="C408" s="5">
        <f>IFERROR(SUMIFS('Issuance Log'!$D:$D,'Issuance Log'!$B:$B,A408,'Issuance Log'!$G:$G,$B$4),0)</f>
        <v>0</v>
      </c>
      <c r="D408" s="5">
        <f>IFERROR(COUNTIFS('Issuance Log'!$B:$B,A408,'Issuance Log'!$G:$G,$B$4),0)</f>
        <v>0</v>
      </c>
      <c r="E408" s="5" t="str">
        <f ca="1">IFERROR(INDEX('Issuance Log'!$E:$E,MATCH(MAXIFS('Issuance Log'!$D:$D,'Issuance Log'!$B:$B,A408,'Issuance Log'!$G:$G,$B$4),IF(('Issuance Log'!$B:$B=A408)*('Issuance Log'!$G:$G=$B$4),'Issuance Log'!$D:$D),0)),"-")</f>
        <v>-</v>
      </c>
    </row>
    <row r="409" spans="1:5" x14ac:dyDescent="0.25">
      <c r="A409" s="2" t="s">
        <v>803</v>
      </c>
      <c r="B409" s="2" t="s">
        <v>804</v>
      </c>
      <c r="C409" s="3">
        <f>IFERROR(SUMIFS('Issuance Log'!$D:$D,'Issuance Log'!$B:$B,A409,'Issuance Log'!$G:$G,$B$4),0)</f>
        <v>0</v>
      </c>
      <c r="D409" s="3">
        <f>IFERROR(COUNTIFS('Issuance Log'!$B:$B,A409,'Issuance Log'!$G:$G,$B$4),0)</f>
        <v>0</v>
      </c>
      <c r="E409" s="3" t="str">
        <f ca="1">IFERROR(INDEX('Issuance Log'!$E:$E,MATCH(MAXIFS('Issuance Log'!$D:$D,'Issuance Log'!$B:$B,A409,'Issuance Log'!$G:$G,$B$4),IF(('Issuance Log'!$B:$B=A409)*('Issuance Log'!$G:$G=$B$4),'Issuance Log'!$D:$D),0)),"-")</f>
        <v>-</v>
      </c>
    </row>
    <row r="410" spans="1:5" x14ac:dyDescent="0.25">
      <c r="A410" s="4" t="s">
        <v>805</v>
      </c>
      <c r="B410" s="4" t="s">
        <v>806</v>
      </c>
      <c r="C410" s="5">
        <f>IFERROR(SUMIFS('Issuance Log'!$D:$D,'Issuance Log'!$B:$B,A410,'Issuance Log'!$G:$G,$B$4),0)</f>
        <v>0</v>
      </c>
      <c r="D410" s="5">
        <f>IFERROR(COUNTIFS('Issuance Log'!$B:$B,A410,'Issuance Log'!$G:$G,$B$4),0)</f>
        <v>0</v>
      </c>
      <c r="E410" s="5" t="str">
        <f ca="1">IFERROR(INDEX('Issuance Log'!$E:$E,MATCH(MAXIFS('Issuance Log'!$D:$D,'Issuance Log'!$B:$B,A410,'Issuance Log'!$G:$G,$B$4),IF(('Issuance Log'!$B:$B=A410)*('Issuance Log'!$G:$G=$B$4),'Issuance Log'!$D:$D),0)),"-")</f>
        <v>-</v>
      </c>
    </row>
    <row r="411" spans="1:5" x14ac:dyDescent="0.25">
      <c r="A411" s="2" t="s">
        <v>807</v>
      </c>
      <c r="B411" s="2" t="s">
        <v>808</v>
      </c>
      <c r="C411" s="3">
        <f>IFERROR(SUMIFS('Issuance Log'!$D:$D,'Issuance Log'!$B:$B,A411,'Issuance Log'!$G:$G,$B$4),0)</f>
        <v>0</v>
      </c>
      <c r="D411" s="3">
        <f>IFERROR(COUNTIFS('Issuance Log'!$B:$B,A411,'Issuance Log'!$G:$G,$B$4),0)</f>
        <v>0</v>
      </c>
      <c r="E411" s="3" t="str">
        <f ca="1">IFERROR(INDEX('Issuance Log'!$E:$E,MATCH(MAXIFS('Issuance Log'!$D:$D,'Issuance Log'!$B:$B,A411,'Issuance Log'!$G:$G,$B$4),IF(('Issuance Log'!$B:$B=A411)*('Issuance Log'!$G:$G=$B$4),'Issuance Log'!$D:$D),0)),"-")</f>
        <v>-</v>
      </c>
    </row>
    <row r="412" spans="1:5" x14ac:dyDescent="0.25">
      <c r="A412" s="4" t="s">
        <v>809</v>
      </c>
      <c r="B412" s="4" t="s">
        <v>810</v>
      </c>
      <c r="C412" s="5">
        <f>IFERROR(SUMIFS('Issuance Log'!$D:$D,'Issuance Log'!$B:$B,A412,'Issuance Log'!$G:$G,$B$4),0)</f>
        <v>0</v>
      </c>
      <c r="D412" s="5">
        <f>IFERROR(COUNTIFS('Issuance Log'!$B:$B,A412,'Issuance Log'!$G:$G,$B$4),0)</f>
        <v>0</v>
      </c>
      <c r="E412" s="5" t="str">
        <f ca="1">IFERROR(INDEX('Issuance Log'!$E:$E,MATCH(MAXIFS('Issuance Log'!$D:$D,'Issuance Log'!$B:$B,A412,'Issuance Log'!$G:$G,$B$4),IF(('Issuance Log'!$B:$B=A412)*('Issuance Log'!$G:$G=$B$4),'Issuance Log'!$D:$D),0)),"-")</f>
        <v>-</v>
      </c>
    </row>
    <row r="413" spans="1:5" x14ac:dyDescent="0.25">
      <c r="A413" s="2" t="s">
        <v>811</v>
      </c>
      <c r="B413" s="2" t="s">
        <v>812</v>
      </c>
      <c r="C413" s="3">
        <f>IFERROR(SUMIFS('Issuance Log'!$D:$D,'Issuance Log'!$B:$B,A413,'Issuance Log'!$G:$G,$B$4),0)</f>
        <v>0</v>
      </c>
      <c r="D413" s="3">
        <f>IFERROR(COUNTIFS('Issuance Log'!$B:$B,A413,'Issuance Log'!$G:$G,$B$4),0)</f>
        <v>0</v>
      </c>
      <c r="E413" s="3" t="str">
        <f ca="1">IFERROR(INDEX('Issuance Log'!$E:$E,MATCH(MAXIFS('Issuance Log'!$D:$D,'Issuance Log'!$B:$B,A413,'Issuance Log'!$G:$G,$B$4),IF(('Issuance Log'!$B:$B=A413)*('Issuance Log'!$G:$G=$B$4),'Issuance Log'!$D:$D),0)),"-")</f>
        <v>-</v>
      </c>
    </row>
    <row r="414" spans="1:5" x14ac:dyDescent="0.25">
      <c r="A414" s="4" t="s">
        <v>813</v>
      </c>
      <c r="B414" s="4" t="s">
        <v>814</v>
      </c>
      <c r="C414" s="5">
        <f>IFERROR(SUMIFS('Issuance Log'!$D:$D,'Issuance Log'!$B:$B,A414,'Issuance Log'!$G:$G,$B$4),0)</f>
        <v>0</v>
      </c>
      <c r="D414" s="5">
        <f>IFERROR(COUNTIFS('Issuance Log'!$B:$B,A414,'Issuance Log'!$G:$G,$B$4),0)</f>
        <v>0</v>
      </c>
      <c r="E414" s="5" t="str">
        <f ca="1">IFERROR(INDEX('Issuance Log'!$E:$E,MATCH(MAXIFS('Issuance Log'!$D:$D,'Issuance Log'!$B:$B,A414,'Issuance Log'!$G:$G,$B$4),IF(('Issuance Log'!$B:$B=A414)*('Issuance Log'!$G:$G=$B$4),'Issuance Log'!$D:$D),0)),"-")</f>
        <v>-</v>
      </c>
    </row>
    <row r="415" spans="1:5" x14ac:dyDescent="0.25">
      <c r="A415" s="2" t="s">
        <v>815</v>
      </c>
      <c r="B415" s="2" t="s">
        <v>816</v>
      </c>
      <c r="C415" s="3">
        <f>IFERROR(SUMIFS('Issuance Log'!$D:$D,'Issuance Log'!$B:$B,A415,'Issuance Log'!$G:$G,$B$4),0)</f>
        <v>0</v>
      </c>
      <c r="D415" s="3">
        <f>IFERROR(COUNTIFS('Issuance Log'!$B:$B,A415,'Issuance Log'!$G:$G,$B$4),0)</f>
        <v>0</v>
      </c>
      <c r="E415" s="3" t="str">
        <f ca="1">IFERROR(INDEX('Issuance Log'!$E:$E,MATCH(MAXIFS('Issuance Log'!$D:$D,'Issuance Log'!$B:$B,A415,'Issuance Log'!$G:$G,$B$4),IF(('Issuance Log'!$B:$B=A415)*('Issuance Log'!$G:$G=$B$4),'Issuance Log'!$D:$D),0)),"-")</f>
        <v>-</v>
      </c>
    </row>
    <row r="416" spans="1:5" x14ac:dyDescent="0.25">
      <c r="A416" s="4" t="s">
        <v>817</v>
      </c>
      <c r="B416" s="4" t="s">
        <v>818</v>
      </c>
      <c r="C416" s="5">
        <f>IFERROR(SUMIFS('Issuance Log'!$D:$D,'Issuance Log'!$B:$B,A416,'Issuance Log'!$G:$G,$B$4),0)</f>
        <v>0</v>
      </c>
      <c r="D416" s="5">
        <f>IFERROR(COUNTIFS('Issuance Log'!$B:$B,A416,'Issuance Log'!$G:$G,$B$4),0)</f>
        <v>0</v>
      </c>
      <c r="E416" s="5" t="str">
        <f ca="1">IFERROR(INDEX('Issuance Log'!$E:$E,MATCH(MAXIFS('Issuance Log'!$D:$D,'Issuance Log'!$B:$B,A416,'Issuance Log'!$G:$G,$B$4),IF(('Issuance Log'!$B:$B=A416)*('Issuance Log'!$G:$G=$B$4),'Issuance Log'!$D:$D),0)),"-")</f>
        <v>-</v>
      </c>
    </row>
    <row r="417" spans="1:5" x14ac:dyDescent="0.25">
      <c r="A417" s="2" t="s">
        <v>819</v>
      </c>
      <c r="B417" s="2" t="s">
        <v>820</v>
      </c>
      <c r="C417" s="3">
        <f>IFERROR(SUMIFS('Issuance Log'!$D:$D,'Issuance Log'!$B:$B,A417,'Issuance Log'!$G:$G,$B$4),0)</f>
        <v>0</v>
      </c>
      <c r="D417" s="3">
        <f>IFERROR(COUNTIFS('Issuance Log'!$B:$B,A417,'Issuance Log'!$G:$G,$B$4),0)</f>
        <v>0</v>
      </c>
      <c r="E417" s="3" t="str">
        <f ca="1">IFERROR(INDEX('Issuance Log'!$E:$E,MATCH(MAXIFS('Issuance Log'!$D:$D,'Issuance Log'!$B:$B,A417,'Issuance Log'!$G:$G,$B$4),IF(('Issuance Log'!$B:$B=A417)*('Issuance Log'!$G:$G=$B$4),'Issuance Log'!$D:$D),0)),"-")</f>
        <v>-</v>
      </c>
    </row>
    <row r="418" spans="1:5" x14ac:dyDescent="0.25">
      <c r="A418" s="4" t="s">
        <v>821</v>
      </c>
      <c r="B418" s="4" t="s">
        <v>822</v>
      </c>
      <c r="C418" s="5">
        <f>IFERROR(SUMIFS('Issuance Log'!$D:$D,'Issuance Log'!$B:$B,A418,'Issuance Log'!$G:$G,$B$4),0)</f>
        <v>0</v>
      </c>
      <c r="D418" s="5">
        <f>IFERROR(COUNTIFS('Issuance Log'!$B:$B,A418,'Issuance Log'!$G:$G,$B$4),0)</f>
        <v>0</v>
      </c>
      <c r="E418" s="5" t="str">
        <f ca="1">IFERROR(INDEX('Issuance Log'!$E:$E,MATCH(MAXIFS('Issuance Log'!$D:$D,'Issuance Log'!$B:$B,A418,'Issuance Log'!$G:$G,$B$4),IF(('Issuance Log'!$B:$B=A418)*('Issuance Log'!$G:$G=$B$4),'Issuance Log'!$D:$D),0)),"-")</f>
        <v>-</v>
      </c>
    </row>
    <row r="419" spans="1:5" x14ac:dyDescent="0.25">
      <c r="A419" s="2" t="s">
        <v>823</v>
      </c>
      <c r="B419" s="2" t="s">
        <v>824</v>
      </c>
      <c r="C419" s="3">
        <f>IFERROR(SUMIFS('Issuance Log'!$D:$D,'Issuance Log'!$B:$B,A419,'Issuance Log'!$G:$G,$B$4),0)</f>
        <v>0</v>
      </c>
      <c r="D419" s="3">
        <f>IFERROR(COUNTIFS('Issuance Log'!$B:$B,A419,'Issuance Log'!$G:$G,$B$4),0)</f>
        <v>0</v>
      </c>
      <c r="E419" s="3" t="str">
        <f ca="1">IFERROR(INDEX('Issuance Log'!$E:$E,MATCH(MAXIFS('Issuance Log'!$D:$D,'Issuance Log'!$B:$B,A419,'Issuance Log'!$G:$G,$B$4),IF(('Issuance Log'!$B:$B=A419)*('Issuance Log'!$G:$G=$B$4),'Issuance Log'!$D:$D),0)),"-")</f>
        <v>-</v>
      </c>
    </row>
    <row r="420" spans="1:5" x14ac:dyDescent="0.25">
      <c r="A420" s="4" t="s">
        <v>825</v>
      </c>
      <c r="B420" s="4" t="s">
        <v>826</v>
      </c>
      <c r="C420" s="5">
        <f>IFERROR(SUMIFS('Issuance Log'!$D:$D,'Issuance Log'!$B:$B,A420,'Issuance Log'!$G:$G,$B$4),0)</f>
        <v>0</v>
      </c>
      <c r="D420" s="5">
        <f>IFERROR(COUNTIFS('Issuance Log'!$B:$B,A420,'Issuance Log'!$G:$G,$B$4),0)</f>
        <v>0</v>
      </c>
      <c r="E420" s="5" t="str">
        <f ca="1">IFERROR(INDEX('Issuance Log'!$E:$E,MATCH(MAXIFS('Issuance Log'!$D:$D,'Issuance Log'!$B:$B,A420,'Issuance Log'!$G:$G,$B$4),IF(('Issuance Log'!$B:$B=A420)*('Issuance Log'!$G:$G=$B$4),'Issuance Log'!$D:$D),0)),"-")</f>
        <v>-</v>
      </c>
    </row>
    <row r="421" spans="1:5" x14ac:dyDescent="0.25">
      <c r="A421" s="2" t="s">
        <v>827</v>
      </c>
      <c r="B421" s="2" t="s">
        <v>828</v>
      </c>
      <c r="C421" s="3">
        <f>IFERROR(SUMIFS('Issuance Log'!$D:$D,'Issuance Log'!$B:$B,A421,'Issuance Log'!$G:$G,$B$4),0)</f>
        <v>0</v>
      </c>
      <c r="D421" s="3">
        <f>IFERROR(COUNTIFS('Issuance Log'!$B:$B,A421,'Issuance Log'!$G:$G,$B$4),0)</f>
        <v>0</v>
      </c>
      <c r="E421" s="3" t="str">
        <f ca="1">IFERROR(INDEX('Issuance Log'!$E:$E,MATCH(MAXIFS('Issuance Log'!$D:$D,'Issuance Log'!$B:$B,A421,'Issuance Log'!$G:$G,$B$4),IF(('Issuance Log'!$B:$B=A421)*('Issuance Log'!$G:$G=$B$4),'Issuance Log'!$D:$D),0)),"-")</f>
        <v>-</v>
      </c>
    </row>
    <row r="422" spans="1:5" x14ac:dyDescent="0.25">
      <c r="A422" s="4" t="s">
        <v>829</v>
      </c>
      <c r="B422" s="4" t="s">
        <v>830</v>
      </c>
      <c r="C422" s="5">
        <f>IFERROR(SUMIFS('Issuance Log'!$D:$D,'Issuance Log'!$B:$B,A422,'Issuance Log'!$G:$G,$B$4),0)</f>
        <v>0</v>
      </c>
      <c r="D422" s="5">
        <f>IFERROR(COUNTIFS('Issuance Log'!$B:$B,A422,'Issuance Log'!$G:$G,$B$4),0)</f>
        <v>0</v>
      </c>
      <c r="E422" s="5" t="str">
        <f ca="1">IFERROR(INDEX('Issuance Log'!$E:$E,MATCH(MAXIFS('Issuance Log'!$D:$D,'Issuance Log'!$B:$B,A422,'Issuance Log'!$G:$G,$B$4),IF(('Issuance Log'!$B:$B=A422)*('Issuance Log'!$G:$G=$B$4),'Issuance Log'!$D:$D),0)),"-")</f>
        <v>-</v>
      </c>
    </row>
    <row r="423" spans="1:5" x14ac:dyDescent="0.25">
      <c r="A423" s="2" t="s">
        <v>831</v>
      </c>
      <c r="B423" s="2" t="s">
        <v>832</v>
      </c>
      <c r="C423" s="3">
        <f>IFERROR(SUMIFS('Issuance Log'!$D:$D,'Issuance Log'!$B:$B,A423,'Issuance Log'!$G:$G,$B$4),0)</f>
        <v>0</v>
      </c>
      <c r="D423" s="3">
        <f>IFERROR(COUNTIFS('Issuance Log'!$B:$B,A423,'Issuance Log'!$G:$G,$B$4),0)</f>
        <v>0</v>
      </c>
      <c r="E423" s="3" t="str">
        <f ca="1">IFERROR(INDEX('Issuance Log'!$E:$E,MATCH(MAXIFS('Issuance Log'!$D:$D,'Issuance Log'!$B:$B,A423,'Issuance Log'!$G:$G,$B$4),IF(('Issuance Log'!$B:$B=A423)*('Issuance Log'!$G:$G=$B$4),'Issuance Log'!$D:$D),0)),"-")</f>
        <v>-</v>
      </c>
    </row>
    <row r="424" spans="1:5" x14ac:dyDescent="0.25">
      <c r="A424" s="4" t="s">
        <v>833</v>
      </c>
      <c r="B424" s="4" t="s">
        <v>834</v>
      </c>
      <c r="C424" s="5">
        <f>IFERROR(SUMIFS('Issuance Log'!$D:$D,'Issuance Log'!$B:$B,A424,'Issuance Log'!$G:$G,$B$4),0)</f>
        <v>0</v>
      </c>
      <c r="D424" s="5">
        <f>IFERROR(COUNTIFS('Issuance Log'!$B:$B,A424,'Issuance Log'!$G:$G,$B$4),0)</f>
        <v>0</v>
      </c>
      <c r="E424" s="5" t="str">
        <f ca="1">IFERROR(INDEX('Issuance Log'!$E:$E,MATCH(MAXIFS('Issuance Log'!$D:$D,'Issuance Log'!$B:$B,A424,'Issuance Log'!$G:$G,$B$4),IF(('Issuance Log'!$B:$B=A424)*('Issuance Log'!$G:$G=$B$4),'Issuance Log'!$D:$D),0)),"-")</f>
        <v>-</v>
      </c>
    </row>
    <row r="425" spans="1:5" x14ac:dyDescent="0.25">
      <c r="A425" s="2" t="s">
        <v>835</v>
      </c>
      <c r="B425" s="2" t="s">
        <v>836</v>
      </c>
      <c r="C425" s="3">
        <f>IFERROR(SUMIFS('Issuance Log'!$D:$D,'Issuance Log'!$B:$B,A425,'Issuance Log'!$G:$G,$B$4),0)</f>
        <v>0</v>
      </c>
      <c r="D425" s="3">
        <f>IFERROR(COUNTIFS('Issuance Log'!$B:$B,A425,'Issuance Log'!$G:$G,$B$4),0)</f>
        <v>0</v>
      </c>
      <c r="E425" s="3" t="str">
        <f ca="1">IFERROR(INDEX('Issuance Log'!$E:$E,MATCH(MAXIFS('Issuance Log'!$D:$D,'Issuance Log'!$B:$B,A425,'Issuance Log'!$G:$G,$B$4),IF(('Issuance Log'!$B:$B=A425)*('Issuance Log'!$G:$G=$B$4),'Issuance Log'!$D:$D),0)),"-")</f>
        <v>-</v>
      </c>
    </row>
    <row r="426" spans="1:5" x14ac:dyDescent="0.25">
      <c r="A426" s="4" t="s">
        <v>837</v>
      </c>
      <c r="B426" s="4" t="s">
        <v>838</v>
      </c>
      <c r="C426" s="5">
        <f>IFERROR(SUMIFS('Issuance Log'!$D:$D,'Issuance Log'!$B:$B,A426,'Issuance Log'!$G:$G,$B$4),0)</f>
        <v>0</v>
      </c>
      <c r="D426" s="5">
        <f>IFERROR(COUNTIFS('Issuance Log'!$B:$B,A426,'Issuance Log'!$G:$G,$B$4),0)</f>
        <v>0</v>
      </c>
      <c r="E426" s="5" t="str">
        <f ca="1">IFERROR(INDEX('Issuance Log'!$E:$E,MATCH(MAXIFS('Issuance Log'!$D:$D,'Issuance Log'!$B:$B,A426,'Issuance Log'!$G:$G,$B$4),IF(('Issuance Log'!$B:$B=A426)*('Issuance Log'!$G:$G=$B$4),'Issuance Log'!$D:$D),0)),"-")</f>
        <v>-</v>
      </c>
    </row>
    <row r="427" spans="1:5" x14ac:dyDescent="0.25">
      <c r="A427" s="2" t="s">
        <v>839</v>
      </c>
      <c r="B427" s="2" t="s">
        <v>840</v>
      </c>
      <c r="C427" s="3">
        <f>IFERROR(SUMIFS('Issuance Log'!$D:$D,'Issuance Log'!$B:$B,A427,'Issuance Log'!$G:$G,$B$4),0)</f>
        <v>0</v>
      </c>
      <c r="D427" s="3">
        <f>IFERROR(COUNTIFS('Issuance Log'!$B:$B,A427,'Issuance Log'!$G:$G,$B$4),0)</f>
        <v>0</v>
      </c>
      <c r="E427" s="3" t="str">
        <f ca="1">IFERROR(INDEX('Issuance Log'!$E:$E,MATCH(MAXIFS('Issuance Log'!$D:$D,'Issuance Log'!$B:$B,A427,'Issuance Log'!$G:$G,$B$4),IF(('Issuance Log'!$B:$B=A427)*('Issuance Log'!$G:$G=$B$4),'Issuance Log'!$D:$D),0)),"-")</f>
        <v>-</v>
      </c>
    </row>
    <row r="428" spans="1:5" x14ac:dyDescent="0.25">
      <c r="A428" s="4" t="s">
        <v>841</v>
      </c>
      <c r="B428" s="4" t="s">
        <v>842</v>
      </c>
      <c r="C428" s="5">
        <f>IFERROR(SUMIFS('Issuance Log'!$D:$D,'Issuance Log'!$B:$B,A428,'Issuance Log'!$G:$G,$B$4),0)</f>
        <v>0</v>
      </c>
      <c r="D428" s="5">
        <f>IFERROR(COUNTIFS('Issuance Log'!$B:$B,A428,'Issuance Log'!$G:$G,$B$4),0)</f>
        <v>0</v>
      </c>
      <c r="E428" s="5" t="str">
        <f ca="1">IFERROR(INDEX('Issuance Log'!$E:$E,MATCH(MAXIFS('Issuance Log'!$D:$D,'Issuance Log'!$B:$B,A428,'Issuance Log'!$G:$G,$B$4),IF(('Issuance Log'!$B:$B=A428)*('Issuance Log'!$G:$G=$B$4),'Issuance Log'!$D:$D),0)),"-")</f>
        <v>-</v>
      </c>
    </row>
    <row r="429" spans="1:5" x14ac:dyDescent="0.25">
      <c r="A429" s="2" t="s">
        <v>843</v>
      </c>
      <c r="B429" s="2" t="s">
        <v>844</v>
      </c>
      <c r="C429" s="3">
        <f>IFERROR(SUMIFS('Issuance Log'!$D:$D,'Issuance Log'!$B:$B,A429,'Issuance Log'!$G:$G,$B$4),0)</f>
        <v>0</v>
      </c>
      <c r="D429" s="3">
        <f>IFERROR(COUNTIFS('Issuance Log'!$B:$B,A429,'Issuance Log'!$G:$G,$B$4),0)</f>
        <v>0</v>
      </c>
      <c r="E429" s="3" t="str">
        <f ca="1">IFERROR(INDEX('Issuance Log'!$E:$E,MATCH(MAXIFS('Issuance Log'!$D:$D,'Issuance Log'!$B:$B,A429,'Issuance Log'!$G:$G,$B$4),IF(('Issuance Log'!$B:$B=A429)*('Issuance Log'!$G:$G=$B$4),'Issuance Log'!$D:$D),0)),"-")</f>
        <v>-</v>
      </c>
    </row>
    <row r="430" spans="1:5" x14ac:dyDescent="0.25">
      <c r="A430" s="4" t="s">
        <v>845</v>
      </c>
      <c r="B430" s="4" t="s">
        <v>846</v>
      </c>
      <c r="C430" s="5">
        <f>IFERROR(SUMIFS('Issuance Log'!$D:$D,'Issuance Log'!$B:$B,A430,'Issuance Log'!$G:$G,$B$4),0)</f>
        <v>0</v>
      </c>
      <c r="D430" s="5">
        <f>IFERROR(COUNTIFS('Issuance Log'!$B:$B,A430,'Issuance Log'!$G:$G,$B$4),0)</f>
        <v>0</v>
      </c>
      <c r="E430" s="5" t="str">
        <f ca="1">IFERROR(INDEX('Issuance Log'!$E:$E,MATCH(MAXIFS('Issuance Log'!$D:$D,'Issuance Log'!$B:$B,A430,'Issuance Log'!$G:$G,$B$4),IF(('Issuance Log'!$B:$B=A430)*('Issuance Log'!$G:$G=$B$4),'Issuance Log'!$D:$D),0)),"-")</f>
        <v>-</v>
      </c>
    </row>
    <row r="431" spans="1:5" x14ac:dyDescent="0.25">
      <c r="A431" s="2" t="s">
        <v>847</v>
      </c>
      <c r="B431" s="2" t="s">
        <v>848</v>
      </c>
      <c r="C431" s="3">
        <f>IFERROR(SUMIFS('Issuance Log'!$D:$D,'Issuance Log'!$B:$B,A431,'Issuance Log'!$G:$G,$B$4),0)</f>
        <v>0</v>
      </c>
      <c r="D431" s="3">
        <f>IFERROR(COUNTIFS('Issuance Log'!$B:$B,A431,'Issuance Log'!$G:$G,$B$4),0)</f>
        <v>0</v>
      </c>
      <c r="E431" s="3" t="str">
        <f ca="1">IFERROR(INDEX('Issuance Log'!$E:$E,MATCH(MAXIFS('Issuance Log'!$D:$D,'Issuance Log'!$B:$B,A431,'Issuance Log'!$G:$G,$B$4),IF(('Issuance Log'!$B:$B=A431)*('Issuance Log'!$G:$G=$B$4),'Issuance Log'!$D:$D),0)),"-")</f>
        <v>-</v>
      </c>
    </row>
    <row r="432" spans="1:5" x14ac:dyDescent="0.25">
      <c r="A432" s="4" t="s">
        <v>849</v>
      </c>
      <c r="B432" s="4" t="s">
        <v>850</v>
      </c>
      <c r="C432" s="5">
        <f>IFERROR(SUMIFS('Issuance Log'!$D:$D,'Issuance Log'!$B:$B,A432,'Issuance Log'!$G:$G,$B$4),0)</f>
        <v>0</v>
      </c>
      <c r="D432" s="5">
        <f>IFERROR(COUNTIFS('Issuance Log'!$B:$B,A432,'Issuance Log'!$G:$G,$B$4),0)</f>
        <v>0</v>
      </c>
      <c r="E432" s="5" t="str">
        <f ca="1">IFERROR(INDEX('Issuance Log'!$E:$E,MATCH(MAXIFS('Issuance Log'!$D:$D,'Issuance Log'!$B:$B,A432,'Issuance Log'!$G:$G,$B$4),IF(('Issuance Log'!$B:$B=A432)*('Issuance Log'!$G:$G=$B$4),'Issuance Log'!$D:$D),0)),"-")</f>
        <v>-</v>
      </c>
    </row>
    <row r="433" spans="1:5" x14ac:dyDescent="0.25">
      <c r="A433" s="2" t="s">
        <v>851</v>
      </c>
      <c r="B433" s="2" t="s">
        <v>852</v>
      </c>
      <c r="C433" s="3">
        <f>IFERROR(SUMIFS('Issuance Log'!$D:$D,'Issuance Log'!$B:$B,A433,'Issuance Log'!$G:$G,$B$4),0)</f>
        <v>0</v>
      </c>
      <c r="D433" s="3">
        <f>IFERROR(COUNTIFS('Issuance Log'!$B:$B,A433,'Issuance Log'!$G:$G,$B$4),0)</f>
        <v>0</v>
      </c>
      <c r="E433" s="3" t="str">
        <f ca="1">IFERROR(INDEX('Issuance Log'!$E:$E,MATCH(MAXIFS('Issuance Log'!$D:$D,'Issuance Log'!$B:$B,A433,'Issuance Log'!$G:$G,$B$4),IF(('Issuance Log'!$B:$B=A433)*('Issuance Log'!$G:$G=$B$4),'Issuance Log'!$D:$D),0)),"-")</f>
        <v>-</v>
      </c>
    </row>
    <row r="434" spans="1:5" x14ac:dyDescent="0.25">
      <c r="A434" s="4" t="s">
        <v>853</v>
      </c>
      <c r="B434" s="4" t="s">
        <v>854</v>
      </c>
      <c r="C434" s="5">
        <f>IFERROR(SUMIFS('Issuance Log'!$D:$D,'Issuance Log'!$B:$B,A434,'Issuance Log'!$G:$G,$B$4),0)</f>
        <v>0</v>
      </c>
      <c r="D434" s="5">
        <f>IFERROR(COUNTIFS('Issuance Log'!$B:$B,A434,'Issuance Log'!$G:$G,$B$4),0)</f>
        <v>0</v>
      </c>
      <c r="E434" s="5" t="str">
        <f ca="1">IFERROR(INDEX('Issuance Log'!$E:$E,MATCH(MAXIFS('Issuance Log'!$D:$D,'Issuance Log'!$B:$B,A434,'Issuance Log'!$G:$G,$B$4),IF(('Issuance Log'!$B:$B=A434)*('Issuance Log'!$G:$G=$B$4),'Issuance Log'!$D:$D),0)),"-")</f>
        <v>-</v>
      </c>
    </row>
    <row r="435" spans="1:5" x14ac:dyDescent="0.25">
      <c r="A435" s="2" t="s">
        <v>855</v>
      </c>
      <c r="B435" s="2" t="s">
        <v>856</v>
      </c>
      <c r="C435" s="3">
        <f>IFERROR(SUMIFS('Issuance Log'!$D:$D,'Issuance Log'!$B:$B,A435,'Issuance Log'!$G:$G,$B$4),0)</f>
        <v>0</v>
      </c>
      <c r="D435" s="3">
        <f>IFERROR(COUNTIFS('Issuance Log'!$B:$B,A435,'Issuance Log'!$G:$G,$B$4),0)</f>
        <v>0</v>
      </c>
      <c r="E435" s="3" t="str">
        <f ca="1">IFERROR(INDEX('Issuance Log'!$E:$E,MATCH(MAXIFS('Issuance Log'!$D:$D,'Issuance Log'!$B:$B,A435,'Issuance Log'!$G:$G,$B$4),IF(('Issuance Log'!$B:$B=A435)*('Issuance Log'!$G:$G=$B$4),'Issuance Log'!$D:$D),0)),"-")</f>
        <v>-</v>
      </c>
    </row>
    <row r="436" spans="1:5" x14ac:dyDescent="0.25">
      <c r="A436" s="4" t="s">
        <v>857</v>
      </c>
      <c r="B436" s="4" t="s">
        <v>858</v>
      </c>
      <c r="C436" s="5">
        <f>IFERROR(SUMIFS('Issuance Log'!$D:$D,'Issuance Log'!$B:$B,A436,'Issuance Log'!$G:$G,$B$4),0)</f>
        <v>0</v>
      </c>
      <c r="D436" s="5">
        <f>IFERROR(COUNTIFS('Issuance Log'!$B:$B,A436,'Issuance Log'!$G:$G,$B$4),0)</f>
        <v>0</v>
      </c>
      <c r="E436" s="5" t="str">
        <f ca="1">IFERROR(INDEX('Issuance Log'!$E:$E,MATCH(MAXIFS('Issuance Log'!$D:$D,'Issuance Log'!$B:$B,A436,'Issuance Log'!$G:$G,$B$4),IF(('Issuance Log'!$B:$B=A436)*('Issuance Log'!$G:$G=$B$4),'Issuance Log'!$D:$D),0)),"-")</f>
        <v>-</v>
      </c>
    </row>
    <row r="437" spans="1:5" x14ac:dyDescent="0.25">
      <c r="A437" s="2" t="s">
        <v>859</v>
      </c>
      <c r="B437" s="2" t="s">
        <v>645</v>
      </c>
      <c r="C437" s="3">
        <f>IFERROR(SUMIFS('Issuance Log'!$D:$D,'Issuance Log'!$B:$B,A437,'Issuance Log'!$G:$G,$B$4),0)</f>
        <v>0</v>
      </c>
      <c r="D437" s="3">
        <f>IFERROR(COUNTIFS('Issuance Log'!$B:$B,A437,'Issuance Log'!$G:$G,$B$4),0)</f>
        <v>0</v>
      </c>
      <c r="E437" s="3" t="str">
        <f ca="1">IFERROR(INDEX('Issuance Log'!$E:$E,MATCH(MAXIFS('Issuance Log'!$D:$D,'Issuance Log'!$B:$B,A437,'Issuance Log'!$G:$G,$B$4),IF(('Issuance Log'!$B:$B=A437)*('Issuance Log'!$G:$G=$B$4),'Issuance Log'!$D:$D),0)),"-")</f>
        <v>-</v>
      </c>
    </row>
    <row r="438" spans="1:5" x14ac:dyDescent="0.25">
      <c r="A438" s="4" t="s">
        <v>860</v>
      </c>
      <c r="B438" s="4" t="s">
        <v>861</v>
      </c>
      <c r="C438" s="5">
        <f>IFERROR(SUMIFS('Issuance Log'!$D:$D,'Issuance Log'!$B:$B,A438,'Issuance Log'!$G:$G,$B$4),0)</f>
        <v>0</v>
      </c>
      <c r="D438" s="5">
        <f>IFERROR(COUNTIFS('Issuance Log'!$B:$B,A438,'Issuance Log'!$G:$G,$B$4),0)</f>
        <v>0</v>
      </c>
      <c r="E438" s="5" t="str">
        <f ca="1">IFERROR(INDEX('Issuance Log'!$E:$E,MATCH(MAXIFS('Issuance Log'!$D:$D,'Issuance Log'!$B:$B,A438,'Issuance Log'!$G:$G,$B$4),IF(('Issuance Log'!$B:$B=A438)*('Issuance Log'!$G:$G=$B$4),'Issuance Log'!$D:$D),0)),"-")</f>
        <v>-</v>
      </c>
    </row>
    <row r="439" spans="1:5" x14ac:dyDescent="0.25">
      <c r="A439" s="2" t="s">
        <v>862</v>
      </c>
      <c r="B439" s="2" t="s">
        <v>649</v>
      </c>
      <c r="C439" s="3">
        <f>IFERROR(SUMIFS('Issuance Log'!$D:$D,'Issuance Log'!$B:$B,A439,'Issuance Log'!$G:$G,$B$4),0)</f>
        <v>0</v>
      </c>
      <c r="D439" s="3">
        <f>IFERROR(COUNTIFS('Issuance Log'!$B:$B,A439,'Issuance Log'!$G:$G,$B$4),0)</f>
        <v>0</v>
      </c>
      <c r="E439" s="3" t="str">
        <f ca="1">IFERROR(INDEX('Issuance Log'!$E:$E,MATCH(MAXIFS('Issuance Log'!$D:$D,'Issuance Log'!$B:$B,A439,'Issuance Log'!$G:$G,$B$4),IF(('Issuance Log'!$B:$B=A439)*('Issuance Log'!$G:$G=$B$4),'Issuance Log'!$D:$D),0)),"-")</f>
        <v>-</v>
      </c>
    </row>
    <row r="440" spans="1:5" x14ac:dyDescent="0.25">
      <c r="A440" s="4" t="s">
        <v>863</v>
      </c>
      <c r="B440" s="4" t="s">
        <v>864</v>
      </c>
      <c r="C440" s="5">
        <f>IFERROR(SUMIFS('Issuance Log'!$D:$D,'Issuance Log'!$B:$B,A440,'Issuance Log'!$G:$G,$B$4),0)</f>
        <v>0</v>
      </c>
      <c r="D440" s="5">
        <f>IFERROR(COUNTIFS('Issuance Log'!$B:$B,A440,'Issuance Log'!$G:$G,$B$4),0)</f>
        <v>0</v>
      </c>
      <c r="E440" s="5" t="str">
        <f ca="1">IFERROR(INDEX('Issuance Log'!$E:$E,MATCH(MAXIFS('Issuance Log'!$D:$D,'Issuance Log'!$B:$B,A440,'Issuance Log'!$G:$G,$B$4),IF(('Issuance Log'!$B:$B=A440)*('Issuance Log'!$G:$G=$B$4),'Issuance Log'!$D:$D),0)),"-")</f>
        <v>-</v>
      </c>
    </row>
    <row r="441" spans="1:5" x14ac:dyDescent="0.25">
      <c r="A441" s="2" t="s">
        <v>865</v>
      </c>
      <c r="B441" s="2" t="s">
        <v>271</v>
      </c>
      <c r="C441" s="3">
        <f>IFERROR(SUMIFS('Issuance Log'!$D:$D,'Issuance Log'!$B:$B,A441,'Issuance Log'!$G:$G,$B$4),0)</f>
        <v>0</v>
      </c>
      <c r="D441" s="3">
        <f>IFERROR(COUNTIFS('Issuance Log'!$B:$B,A441,'Issuance Log'!$G:$G,$B$4),0)</f>
        <v>0</v>
      </c>
      <c r="E441" s="3" t="str">
        <f ca="1">IFERROR(INDEX('Issuance Log'!$E:$E,MATCH(MAXIFS('Issuance Log'!$D:$D,'Issuance Log'!$B:$B,A441,'Issuance Log'!$G:$G,$B$4),IF(('Issuance Log'!$B:$B=A441)*('Issuance Log'!$G:$G=$B$4),'Issuance Log'!$D:$D),0)),"-")</f>
        <v>-</v>
      </c>
    </row>
    <row r="442" spans="1:5" x14ac:dyDescent="0.25">
      <c r="A442" s="4" t="s">
        <v>866</v>
      </c>
      <c r="B442" s="4" t="s">
        <v>867</v>
      </c>
      <c r="C442" s="5">
        <f>IFERROR(SUMIFS('Issuance Log'!$D:$D,'Issuance Log'!$B:$B,A442,'Issuance Log'!$G:$G,$B$4),0)</f>
        <v>0</v>
      </c>
      <c r="D442" s="5">
        <f>IFERROR(COUNTIFS('Issuance Log'!$B:$B,A442,'Issuance Log'!$G:$G,$B$4),0)</f>
        <v>0</v>
      </c>
      <c r="E442" s="5" t="str">
        <f ca="1">IFERROR(INDEX('Issuance Log'!$E:$E,MATCH(MAXIFS('Issuance Log'!$D:$D,'Issuance Log'!$B:$B,A442,'Issuance Log'!$G:$G,$B$4),IF(('Issuance Log'!$B:$B=A442)*('Issuance Log'!$G:$G=$B$4),'Issuance Log'!$D:$D),0)),"-")</f>
        <v>-</v>
      </c>
    </row>
    <row r="443" spans="1:5" x14ac:dyDescent="0.25">
      <c r="A443" s="2" t="s">
        <v>868</v>
      </c>
      <c r="B443" s="2" t="s">
        <v>869</v>
      </c>
      <c r="C443" s="3">
        <f>IFERROR(SUMIFS('Issuance Log'!$D:$D,'Issuance Log'!$B:$B,A443,'Issuance Log'!$G:$G,$B$4),0)</f>
        <v>0</v>
      </c>
      <c r="D443" s="3">
        <f>IFERROR(COUNTIFS('Issuance Log'!$B:$B,A443,'Issuance Log'!$G:$G,$B$4),0)</f>
        <v>0</v>
      </c>
      <c r="E443" s="3" t="str">
        <f ca="1">IFERROR(INDEX('Issuance Log'!$E:$E,MATCH(MAXIFS('Issuance Log'!$D:$D,'Issuance Log'!$B:$B,A443,'Issuance Log'!$G:$G,$B$4),IF(('Issuance Log'!$B:$B=A443)*('Issuance Log'!$G:$G=$B$4),'Issuance Log'!$D:$D),0)),"-")</f>
        <v>-</v>
      </c>
    </row>
    <row r="444" spans="1:5" x14ac:dyDescent="0.25">
      <c r="A444" s="4" t="s">
        <v>870</v>
      </c>
      <c r="B444" s="4" t="s">
        <v>871</v>
      </c>
      <c r="C444" s="5">
        <f>IFERROR(SUMIFS('Issuance Log'!$D:$D,'Issuance Log'!$B:$B,A444,'Issuance Log'!$G:$G,$B$4),0)</f>
        <v>0</v>
      </c>
      <c r="D444" s="5">
        <f>IFERROR(COUNTIFS('Issuance Log'!$B:$B,A444,'Issuance Log'!$G:$G,$B$4),0)</f>
        <v>0</v>
      </c>
      <c r="E444" s="5" t="str">
        <f ca="1">IFERROR(INDEX('Issuance Log'!$E:$E,MATCH(MAXIFS('Issuance Log'!$D:$D,'Issuance Log'!$B:$B,A444,'Issuance Log'!$G:$G,$B$4),IF(('Issuance Log'!$B:$B=A444)*('Issuance Log'!$G:$G=$B$4),'Issuance Log'!$D:$D),0)),"-")</f>
        <v>-</v>
      </c>
    </row>
    <row r="445" spans="1:5" x14ac:dyDescent="0.25">
      <c r="A445" s="2" t="s">
        <v>872</v>
      </c>
      <c r="B445" s="2" t="s">
        <v>873</v>
      </c>
      <c r="C445" s="3">
        <f>IFERROR(SUMIFS('Issuance Log'!$D:$D,'Issuance Log'!$B:$B,A445,'Issuance Log'!$G:$G,$B$4),0)</f>
        <v>0</v>
      </c>
      <c r="D445" s="3">
        <f>IFERROR(COUNTIFS('Issuance Log'!$B:$B,A445,'Issuance Log'!$G:$G,$B$4),0)</f>
        <v>0</v>
      </c>
      <c r="E445" s="3" t="str">
        <f ca="1">IFERROR(INDEX('Issuance Log'!$E:$E,MATCH(MAXIFS('Issuance Log'!$D:$D,'Issuance Log'!$B:$B,A445,'Issuance Log'!$G:$G,$B$4),IF(('Issuance Log'!$B:$B=A445)*('Issuance Log'!$G:$G=$B$4),'Issuance Log'!$D:$D),0)),"-")</f>
        <v>-</v>
      </c>
    </row>
    <row r="446" spans="1:5" x14ac:dyDescent="0.25">
      <c r="A446" s="4" t="s">
        <v>874</v>
      </c>
      <c r="B446" s="4" t="s">
        <v>875</v>
      </c>
      <c r="C446" s="5">
        <f>IFERROR(SUMIFS('Issuance Log'!$D:$D,'Issuance Log'!$B:$B,A446,'Issuance Log'!$G:$G,$B$4),0)</f>
        <v>0</v>
      </c>
      <c r="D446" s="5">
        <f>IFERROR(COUNTIFS('Issuance Log'!$B:$B,A446,'Issuance Log'!$G:$G,$B$4),0)</f>
        <v>0</v>
      </c>
      <c r="E446" s="5" t="str">
        <f ca="1">IFERROR(INDEX('Issuance Log'!$E:$E,MATCH(MAXIFS('Issuance Log'!$D:$D,'Issuance Log'!$B:$B,A446,'Issuance Log'!$G:$G,$B$4),IF(('Issuance Log'!$B:$B=A446)*('Issuance Log'!$G:$G=$B$4),'Issuance Log'!$D:$D),0)),"-")</f>
        <v>-</v>
      </c>
    </row>
    <row r="447" spans="1:5" x14ac:dyDescent="0.25">
      <c r="A447" s="2" t="s">
        <v>876</v>
      </c>
      <c r="B447" s="2" t="s">
        <v>877</v>
      </c>
      <c r="C447" s="3">
        <f>IFERROR(SUMIFS('Issuance Log'!$D:$D,'Issuance Log'!$B:$B,A447,'Issuance Log'!$G:$G,$B$4),0)</f>
        <v>0</v>
      </c>
      <c r="D447" s="3">
        <f>IFERROR(COUNTIFS('Issuance Log'!$B:$B,A447,'Issuance Log'!$G:$G,$B$4),0)</f>
        <v>0</v>
      </c>
      <c r="E447" s="3" t="str">
        <f ca="1">IFERROR(INDEX('Issuance Log'!$E:$E,MATCH(MAXIFS('Issuance Log'!$D:$D,'Issuance Log'!$B:$B,A447,'Issuance Log'!$G:$G,$B$4),IF(('Issuance Log'!$B:$B=A447)*('Issuance Log'!$G:$G=$B$4),'Issuance Log'!$D:$D),0)),"-")</f>
        <v>-</v>
      </c>
    </row>
    <row r="448" spans="1:5" x14ac:dyDescent="0.25">
      <c r="A448" s="4" t="s">
        <v>878</v>
      </c>
      <c r="B448" s="4" t="s">
        <v>879</v>
      </c>
      <c r="C448" s="5">
        <f>IFERROR(SUMIFS('Issuance Log'!$D:$D,'Issuance Log'!$B:$B,A448,'Issuance Log'!$G:$G,$B$4),0)</f>
        <v>0</v>
      </c>
      <c r="D448" s="5">
        <f>IFERROR(COUNTIFS('Issuance Log'!$B:$B,A448,'Issuance Log'!$G:$G,$B$4),0)</f>
        <v>0</v>
      </c>
      <c r="E448" s="5" t="str">
        <f ca="1">IFERROR(INDEX('Issuance Log'!$E:$E,MATCH(MAXIFS('Issuance Log'!$D:$D,'Issuance Log'!$B:$B,A448,'Issuance Log'!$G:$G,$B$4),IF(('Issuance Log'!$B:$B=A448)*('Issuance Log'!$G:$G=$B$4),'Issuance Log'!$D:$D),0)),"-")</f>
        <v>-</v>
      </c>
    </row>
    <row r="449" spans="1:5" x14ac:dyDescent="0.25">
      <c r="A449" s="2" t="s">
        <v>880</v>
      </c>
      <c r="B449" s="2" t="s">
        <v>275</v>
      </c>
      <c r="C449" s="3">
        <f>IFERROR(SUMIFS('Issuance Log'!$D:$D,'Issuance Log'!$B:$B,A449,'Issuance Log'!$G:$G,$B$4),0)</f>
        <v>0</v>
      </c>
      <c r="D449" s="3">
        <f>IFERROR(COUNTIFS('Issuance Log'!$B:$B,A449,'Issuance Log'!$G:$G,$B$4),0)</f>
        <v>0</v>
      </c>
      <c r="E449" s="3" t="str">
        <f ca="1">IFERROR(INDEX('Issuance Log'!$E:$E,MATCH(MAXIFS('Issuance Log'!$D:$D,'Issuance Log'!$B:$B,A449,'Issuance Log'!$G:$G,$B$4),IF(('Issuance Log'!$B:$B=A449)*('Issuance Log'!$G:$G=$B$4),'Issuance Log'!$D:$D),0)),"-")</f>
        <v>-</v>
      </c>
    </row>
    <row r="450" spans="1:5" x14ac:dyDescent="0.25">
      <c r="A450" s="4" t="s">
        <v>881</v>
      </c>
      <c r="B450" s="4" t="s">
        <v>882</v>
      </c>
      <c r="C450" s="5">
        <f>IFERROR(SUMIFS('Issuance Log'!$D:$D,'Issuance Log'!$B:$B,A450,'Issuance Log'!$G:$G,$B$4),0)</f>
        <v>0</v>
      </c>
      <c r="D450" s="5">
        <f>IFERROR(COUNTIFS('Issuance Log'!$B:$B,A450,'Issuance Log'!$G:$G,$B$4),0)</f>
        <v>0</v>
      </c>
      <c r="E450" s="5" t="str">
        <f ca="1">IFERROR(INDEX('Issuance Log'!$E:$E,MATCH(MAXIFS('Issuance Log'!$D:$D,'Issuance Log'!$B:$B,A450,'Issuance Log'!$G:$G,$B$4),IF(('Issuance Log'!$B:$B=A450)*('Issuance Log'!$G:$G=$B$4),'Issuance Log'!$D:$D),0)),"-")</f>
        <v>-</v>
      </c>
    </row>
    <row r="451" spans="1:5" x14ac:dyDescent="0.25">
      <c r="A451" s="2" t="s">
        <v>883</v>
      </c>
      <c r="B451" s="2" t="s">
        <v>884</v>
      </c>
      <c r="C451" s="3">
        <f>IFERROR(SUMIFS('Issuance Log'!$D:$D,'Issuance Log'!$B:$B,A451,'Issuance Log'!$G:$G,$B$4),0)</f>
        <v>0</v>
      </c>
      <c r="D451" s="3">
        <f>IFERROR(COUNTIFS('Issuance Log'!$B:$B,A451,'Issuance Log'!$G:$G,$B$4),0)</f>
        <v>0</v>
      </c>
      <c r="E451" s="3" t="str">
        <f ca="1">IFERROR(INDEX('Issuance Log'!$E:$E,MATCH(MAXIFS('Issuance Log'!$D:$D,'Issuance Log'!$B:$B,A451,'Issuance Log'!$G:$G,$B$4),IF(('Issuance Log'!$B:$B=A451)*('Issuance Log'!$G:$G=$B$4),'Issuance Log'!$D:$D),0)),"-")</f>
        <v>-</v>
      </c>
    </row>
    <row r="452" spans="1:5" x14ac:dyDescent="0.25">
      <c r="A452" s="4" t="s">
        <v>885</v>
      </c>
      <c r="B452" s="4" t="s">
        <v>886</v>
      </c>
      <c r="C452" s="5">
        <f>IFERROR(SUMIFS('Issuance Log'!$D:$D,'Issuance Log'!$B:$B,A452,'Issuance Log'!$G:$G,$B$4),0)</f>
        <v>0</v>
      </c>
      <c r="D452" s="5">
        <f>IFERROR(COUNTIFS('Issuance Log'!$B:$B,A452,'Issuance Log'!$G:$G,$B$4),0)</f>
        <v>0</v>
      </c>
      <c r="E452" s="5" t="str">
        <f ca="1">IFERROR(INDEX('Issuance Log'!$E:$E,MATCH(MAXIFS('Issuance Log'!$D:$D,'Issuance Log'!$B:$B,A452,'Issuance Log'!$G:$G,$B$4),IF(('Issuance Log'!$B:$B=A452)*('Issuance Log'!$G:$G=$B$4),'Issuance Log'!$D:$D),0)),"-")</f>
        <v>-</v>
      </c>
    </row>
    <row r="453" spans="1:5" x14ac:dyDescent="0.25">
      <c r="A453" s="2" t="s">
        <v>887</v>
      </c>
      <c r="B453" s="2" t="s">
        <v>888</v>
      </c>
      <c r="C453" s="3">
        <f>IFERROR(SUMIFS('Issuance Log'!$D:$D,'Issuance Log'!$B:$B,A453,'Issuance Log'!$G:$G,$B$4),0)</f>
        <v>0</v>
      </c>
      <c r="D453" s="3">
        <f>IFERROR(COUNTIFS('Issuance Log'!$B:$B,A453,'Issuance Log'!$G:$G,$B$4),0)</f>
        <v>0</v>
      </c>
      <c r="E453" s="3" t="str">
        <f ca="1">IFERROR(INDEX('Issuance Log'!$E:$E,MATCH(MAXIFS('Issuance Log'!$D:$D,'Issuance Log'!$B:$B,A453,'Issuance Log'!$G:$G,$B$4),IF(('Issuance Log'!$B:$B=A453)*('Issuance Log'!$G:$G=$B$4),'Issuance Log'!$D:$D),0)),"-")</f>
        <v>-</v>
      </c>
    </row>
    <row r="454" spans="1:5" x14ac:dyDescent="0.25">
      <c r="A454" s="4" t="s">
        <v>889</v>
      </c>
      <c r="B454" s="4" t="s">
        <v>890</v>
      </c>
      <c r="C454" s="5">
        <f>IFERROR(SUMIFS('Issuance Log'!$D:$D,'Issuance Log'!$B:$B,A454,'Issuance Log'!$G:$G,$B$4),0)</f>
        <v>0</v>
      </c>
      <c r="D454" s="5">
        <f>IFERROR(COUNTIFS('Issuance Log'!$B:$B,A454,'Issuance Log'!$G:$G,$B$4),0)</f>
        <v>0</v>
      </c>
      <c r="E454" s="5" t="str">
        <f ca="1">IFERROR(INDEX('Issuance Log'!$E:$E,MATCH(MAXIFS('Issuance Log'!$D:$D,'Issuance Log'!$B:$B,A454,'Issuance Log'!$G:$G,$B$4),IF(('Issuance Log'!$B:$B=A454)*('Issuance Log'!$G:$G=$B$4),'Issuance Log'!$D:$D),0)),"-")</f>
        <v>-</v>
      </c>
    </row>
    <row r="455" spans="1:5" x14ac:dyDescent="0.25">
      <c r="A455" s="2" t="s">
        <v>891</v>
      </c>
      <c r="B455" s="2" t="s">
        <v>289</v>
      </c>
      <c r="C455" s="3">
        <f>IFERROR(SUMIFS('Issuance Log'!$D:$D,'Issuance Log'!$B:$B,A455,'Issuance Log'!$G:$G,$B$4),0)</f>
        <v>0</v>
      </c>
      <c r="D455" s="3">
        <f>IFERROR(COUNTIFS('Issuance Log'!$B:$B,A455,'Issuance Log'!$G:$G,$B$4),0)</f>
        <v>0</v>
      </c>
      <c r="E455" s="3" t="str">
        <f ca="1">IFERROR(INDEX('Issuance Log'!$E:$E,MATCH(MAXIFS('Issuance Log'!$D:$D,'Issuance Log'!$B:$B,A455,'Issuance Log'!$G:$G,$B$4),IF(('Issuance Log'!$B:$B=A455)*('Issuance Log'!$G:$G=$B$4),'Issuance Log'!$D:$D),0)),"-")</f>
        <v>-</v>
      </c>
    </row>
    <row r="456" spans="1:5" x14ac:dyDescent="0.25">
      <c r="A456" s="4" t="s">
        <v>892</v>
      </c>
      <c r="B456" s="4" t="s">
        <v>893</v>
      </c>
      <c r="C456" s="5">
        <f>IFERROR(SUMIFS('Issuance Log'!$D:$D,'Issuance Log'!$B:$B,A456,'Issuance Log'!$G:$G,$B$4),0)</f>
        <v>0</v>
      </c>
      <c r="D456" s="5">
        <f>IFERROR(COUNTIFS('Issuance Log'!$B:$B,A456,'Issuance Log'!$G:$G,$B$4),0)</f>
        <v>0</v>
      </c>
      <c r="E456" s="5" t="str">
        <f ca="1">IFERROR(INDEX('Issuance Log'!$E:$E,MATCH(MAXIFS('Issuance Log'!$D:$D,'Issuance Log'!$B:$B,A456,'Issuance Log'!$G:$G,$B$4),IF(('Issuance Log'!$B:$B=A456)*('Issuance Log'!$G:$G=$B$4),'Issuance Log'!$D:$D),0)),"-")</f>
        <v>-</v>
      </c>
    </row>
    <row r="457" spans="1:5" x14ac:dyDescent="0.25">
      <c r="A457" s="2" t="s">
        <v>894</v>
      </c>
      <c r="B457" s="2" t="s">
        <v>895</v>
      </c>
      <c r="C457" s="3">
        <f>IFERROR(SUMIFS('Issuance Log'!$D:$D,'Issuance Log'!$B:$B,A457,'Issuance Log'!$G:$G,$B$4),0)</f>
        <v>0</v>
      </c>
      <c r="D457" s="3">
        <f>IFERROR(COUNTIFS('Issuance Log'!$B:$B,A457,'Issuance Log'!$G:$G,$B$4),0)</f>
        <v>0</v>
      </c>
      <c r="E457" s="3" t="str">
        <f ca="1">IFERROR(INDEX('Issuance Log'!$E:$E,MATCH(MAXIFS('Issuance Log'!$D:$D,'Issuance Log'!$B:$B,A457,'Issuance Log'!$G:$G,$B$4),IF(('Issuance Log'!$B:$B=A457)*('Issuance Log'!$G:$G=$B$4),'Issuance Log'!$D:$D),0)),"-")</f>
        <v>-</v>
      </c>
    </row>
    <row r="458" spans="1:5" x14ac:dyDescent="0.25">
      <c r="A458" s="4" t="s">
        <v>896</v>
      </c>
      <c r="B458" s="4" t="s">
        <v>719</v>
      </c>
      <c r="C458" s="5">
        <f>IFERROR(SUMIFS('Issuance Log'!$D:$D,'Issuance Log'!$B:$B,A458,'Issuance Log'!$G:$G,$B$4),0)</f>
        <v>0</v>
      </c>
      <c r="D458" s="5">
        <f>IFERROR(COUNTIFS('Issuance Log'!$B:$B,A458,'Issuance Log'!$G:$G,$B$4),0)</f>
        <v>0</v>
      </c>
      <c r="E458" s="5" t="str">
        <f ca="1">IFERROR(INDEX('Issuance Log'!$E:$E,MATCH(MAXIFS('Issuance Log'!$D:$D,'Issuance Log'!$B:$B,A458,'Issuance Log'!$G:$G,$B$4),IF(('Issuance Log'!$B:$B=A458)*('Issuance Log'!$G:$G=$B$4),'Issuance Log'!$D:$D),0)),"-")</f>
        <v>-</v>
      </c>
    </row>
    <row r="459" spans="1:5" x14ac:dyDescent="0.25">
      <c r="A459" s="2" t="s">
        <v>897</v>
      </c>
      <c r="B459" s="2" t="s">
        <v>898</v>
      </c>
      <c r="C459" s="3">
        <f>IFERROR(SUMIFS('Issuance Log'!$D:$D,'Issuance Log'!$B:$B,A459,'Issuance Log'!$G:$G,$B$4),0)</f>
        <v>0</v>
      </c>
      <c r="D459" s="3">
        <f>IFERROR(COUNTIFS('Issuance Log'!$B:$B,A459,'Issuance Log'!$G:$G,$B$4),0)</f>
        <v>0</v>
      </c>
      <c r="E459" s="3" t="str">
        <f ca="1">IFERROR(INDEX('Issuance Log'!$E:$E,MATCH(MAXIFS('Issuance Log'!$D:$D,'Issuance Log'!$B:$B,A459,'Issuance Log'!$G:$G,$B$4),IF(('Issuance Log'!$B:$B=A459)*('Issuance Log'!$G:$G=$B$4),'Issuance Log'!$D:$D),0)),"-")</f>
        <v>-</v>
      </c>
    </row>
    <row r="460" spans="1:5" x14ac:dyDescent="0.25">
      <c r="A460" s="4" t="s">
        <v>899</v>
      </c>
      <c r="B460" s="4" t="s">
        <v>293</v>
      </c>
      <c r="C460" s="5">
        <f>IFERROR(SUMIFS('Issuance Log'!$D:$D,'Issuance Log'!$B:$B,A460,'Issuance Log'!$G:$G,$B$4),0)</f>
        <v>0</v>
      </c>
      <c r="D460" s="5">
        <f>IFERROR(COUNTIFS('Issuance Log'!$B:$B,A460,'Issuance Log'!$G:$G,$B$4),0)</f>
        <v>0</v>
      </c>
      <c r="E460" s="5" t="str">
        <f ca="1">IFERROR(INDEX('Issuance Log'!$E:$E,MATCH(MAXIFS('Issuance Log'!$D:$D,'Issuance Log'!$B:$B,A460,'Issuance Log'!$G:$G,$B$4),IF(('Issuance Log'!$B:$B=A460)*('Issuance Log'!$G:$G=$B$4),'Issuance Log'!$D:$D),0)),"-")</f>
        <v>-</v>
      </c>
    </row>
    <row r="461" spans="1:5" x14ac:dyDescent="0.25">
      <c r="A461" s="2" t="s">
        <v>900</v>
      </c>
      <c r="B461" s="2" t="s">
        <v>901</v>
      </c>
      <c r="C461" s="3">
        <f>IFERROR(SUMIFS('Issuance Log'!$D:$D,'Issuance Log'!$B:$B,A461,'Issuance Log'!$G:$G,$B$4),0)</f>
        <v>0</v>
      </c>
      <c r="D461" s="3">
        <f>IFERROR(COUNTIFS('Issuance Log'!$B:$B,A461,'Issuance Log'!$G:$G,$B$4),0)</f>
        <v>0</v>
      </c>
      <c r="E461" s="3" t="str">
        <f ca="1">IFERROR(INDEX('Issuance Log'!$E:$E,MATCH(MAXIFS('Issuance Log'!$D:$D,'Issuance Log'!$B:$B,A461,'Issuance Log'!$G:$G,$B$4),IF(('Issuance Log'!$B:$B=A461)*('Issuance Log'!$G:$G=$B$4),'Issuance Log'!$D:$D),0)),"-")</f>
        <v>-</v>
      </c>
    </row>
    <row r="462" spans="1:5" x14ac:dyDescent="0.25">
      <c r="A462" s="4" t="s">
        <v>902</v>
      </c>
      <c r="B462" s="4" t="s">
        <v>297</v>
      </c>
      <c r="C462" s="5">
        <f>IFERROR(SUMIFS('Issuance Log'!$D:$D,'Issuance Log'!$B:$B,A462,'Issuance Log'!$G:$G,$B$4),0)</f>
        <v>0</v>
      </c>
      <c r="D462" s="5">
        <f>IFERROR(COUNTIFS('Issuance Log'!$B:$B,A462,'Issuance Log'!$G:$G,$B$4),0)</f>
        <v>0</v>
      </c>
      <c r="E462" s="5" t="str">
        <f ca="1">IFERROR(INDEX('Issuance Log'!$E:$E,MATCH(MAXIFS('Issuance Log'!$D:$D,'Issuance Log'!$B:$B,A462,'Issuance Log'!$G:$G,$B$4),IF(('Issuance Log'!$B:$B=A462)*('Issuance Log'!$G:$G=$B$4),'Issuance Log'!$D:$D),0)),"-")</f>
        <v>-</v>
      </c>
    </row>
    <row r="463" spans="1:5" x14ac:dyDescent="0.25">
      <c r="A463" s="2" t="s">
        <v>903</v>
      </c>
      <c r="B463" s="2" t="s">
        <v>904</v>
      </c>
      <c r="C463" s="3">
        <f>IFERROR(SUMIFS('Issuance Log'!$D:$D,'Issuance Log'!$B:$B,A463,'Issuance Log'!$G:$G,$B$4),0)</f>
        <v>0</v>
      </c>
      <c r="D463" s="3">
        <f>IFERROR(COUNTIFS('Issuance Log'!$B:$B,A463,'Issuance Log'!$G:$G,$B$4),0)</f>
        <v>0</v>
      </c>
      <c r="E463" s="3" t="str">
        <f ca="1">IFERROR(INDEX('Issuance Log'!$E:$E,MATCH(MAXIFS('Issuance Log'!$D:$D,'Issuance Log'!$B:$B,A463,'Issuance Log'!$G:$G,$B$4),IF(('Issuance Log'!$B:$B=A463)*('Issuance Log'!$G:$G=$B$4),'Issuance Log'!$D:$D),0)),"-")</f>
        <v>-</v>
      </c>
    </row>
    <row r="464" spans="1:5" x14ac:dyDescent="0.25">
      <c r="A464" s="4" t="s">
        <v>905</v>
      </c>
      <c r="B464" s="4" t="s">
        <v>906</v>
      </c>
      <c r="C464" s="5">
        <f>IFERROR(SUMIFS('Issuance Log'!$D:$D,'Issuance Log'!$B:$B,A464,'Issuance Log'!$G:$G,$B$4),0)</f>
        <v>0</v>
      </c>
      <c r="D464" s="5">
        <f>IFERROR(COUNTIFS('Issuance Log'!$B:$B,A464,'Issuance Log'!$G:$G,$B$4),0)</f>
        <v>0</v>
      </c>
      <c r="E464" s="5" t="str">
        <f ca="1">IFERROR(INDEX('Issuance Log'!$E:$E,MATCH(MAXIFS('Issuance Log'!$D:$D,'Issuance Log'!$B:$B,A464,'Issuance Log'!$G:$G,$B$4),IF(('Issuance Log'!$B:$B=A464)*('Issuance Log'!$G:$G=$B$4),'Issuance Log'!$D:$D),0)),"-")</f>
        <v>-</v>
      </c>
    </row>
    <row r="465" spans="1:5" x14ac:dyDescent="0.25">
      <c r="A465" s="2" t="s">
        <v>907</v>
      </c>
      <c r="B465" s="2" t="s">
        <v>908</v>
      </c>
      <c r="C465" s="3">
        <f>IFERROR(SUMIFS('Issuance Log'!$D:$D,'Issuance Log'!$B:$B,A465,'Issuance Log'!$G:$G,$B$4),0)</f>
        <v>0</v>
      </c>
      <c r="D465" s="3">
        <f>IFERROR(COUNTIFS('Issuance Log'!$B:$B,A465,'Issuance Log'!$G:$G,$B$4),0)</f>
        <v>0</v>
      </c>
      <c r="E465" s="3" t="str">
        <f ca="1">IFERROR(INDEX('Issuance Log'!$E:$E,MATCH(MAXIFS('Issuance Log'!$D:$D,'Issuance Log'!$B:$B,A465,'Issuance Log'!$G:$G,$B$4),IF(('Issuance Log'!$B:$B=A465)*('Issuance Log'!$G:$G=$B$4),'Issuance Log'!$D:$D),0)),"-")</f>
        <v>-</v>
      </c>
    </row>
    <row r="466" spans="1:5" x14ac:dyDescent="0.25">
      <c r="A466" s="4" t="s">
        <v>909</v>
      </c>
      <c r="B466" s="4" t="s">
        <v>910</v>
      </c>
      <c r="C466" s="5">
        <f>IFERROR(SUMIFS('Issuance Log'!$D:$D,'Issuance Log'!$B:$B,A466,'Issuance Log'!$G:$G,$B$4),0)</f>
        <v>0</v>
      </c>
      <c r="D466" s="5">
        <f>IFERROR(COUNTIFS('Issuance Log'!$B:$B,A466,'Issuance Log'!$G:$G,$B$4),0)</f>
        <v>0</v>
      </c>
      <c r="E466" s="5" t="str">
        <f ca="1">IFERROR(INDEX('Issuance Log'!$E:$E,MATCH(MAXIFS('Issuance Log'!$D:$D,'Issuance Log'!$B:$B,A466,'Issuance Log'!$G:$G,$B$4),IF(('Issuance Log'!$B:$B=A466)*('Issuance Log'!$G:$G=$B$4),'Issuance Log'!$D:$D),0)),"-")</f>
        <v>-</v>
      </c>
    </row>
    <row r="467" spans="1:5" x14ac:dyDescent="0.25">
      <c r="A467" s="2" t="s">
        <v>911</v>
      </c>
      <c r="B467" s="2" t="s">
        <v>912</v>
      </c>
      <c r="C467" s="3">
        <f>IFERROR(SUMIFS('Issuance Log'!$D:$D,'Issuance Log'!$B:$B,A467,'Issuance Log'!$G:$G,$B$4),0)</f>
        <v>0</v>
      </c>
      <c r="D467" s="3">
        <f>IFERROR(COUNTIFS('Issuance Log'!$B:$B,A467,'Issuance Log'!$G:$G,$B$4),0)</f>
        <v>0</v>
      </c>
      <c r="E467" s="3" t="str">
        <f ca="1">IFERROR(INDEX('Issuance Log'!$E:$E,MATCH(MAXIFS('Issuance Log'!$D:$D,'Issuance Log'!$B:$B,A467,'Issuance Log'!$G:$G,$B$4),IF(('Issuance Log'!$B:$B=A467)*('Issuance Log'!$G:$G=$B$4),'Issuance Log'!$D:$D),0)),"-")</f>
        <v>-</v>
      </c>
    </row>
    <row r="468" spans="1:5" x14ac:dyDescent="0.25">
      <c r="A468" s="4" t="s">
        <v>913</v>
      </c>
      <c r="B468" s="4" t="s">
        <v>914</v>
      </c>
      <c r="C468" s="5">
        <f>IFERROR(SUMIFS('Issuance Log'!$D:$D,'Issuance Log'!$B:$B,A468,'Issuance Log'!$G:$G,$B$4),0)</f>
        <v>0</v>
      </c>
      <c r="D468" s="5">
        <f>IFERROR(COUNTIFS('Issuance Log'!$B:$B,A468,'Issuance Log'!$G:$G,$B$4),0)</f>
        <v>0</v>
      </c>
      <c r="E468" s="5" t="str">
        <f ca="1">IFERROR(INDEX('Issuance Log'!$E:$E,MATCH(MAXIFS('Issuance Log'!$D:$D,'Issuance Log'!$B:$B,A468,'Issuance Log'!$G:$G,$B$4),IF(('Issuance Log'!$B:$B=A468)*('Issuance Log'!$G:$G=$B$4),'Issuance Log'!$D:$D),0)),"-")</f>
        <v>-</v>
      </c>
    </row>
    <row r="469" spans="1:5" x14ac:dyDescent="0.25">
      <c r="A469" s="2" t="s">
        <v>915</v>
      </c>
      <c r="B469" s="2" t="s">
        <v>916</v>
      </c>
      <c r="C469" s="3">
        <f>IFERROR(SUMIFS('Issuance Log'!$D:$D,'Issuance Log'!$B:$B,A469,'Issuance Log'!$G:$G,$B$4),0)</f>
        <v>0</v>
      </c>
      <c r="D469" s="3">
        <f>IFERROR(COUNTIFS('Issuance Log'!$B:$B,A469,'Issuance Log'!$G:$G,$B$4),0)</f>
        <v>0</v>
      </c>
      <c r="E469" s="3" t="str">
        <f ca="1">IFERROR(INDEX('Issuance Log'!$E:$E,MATCH(MAXIFS('Issuance Log'!$D:$D,'Issuance Log'!$B:$B,A469,'Issuance Log'!$G:$G,$B$4),IF(('Issuance Log'!$B:$B=A469)*('Issuance Log'!$G:$G=$B$4),'Issuance Log'!$D:$D),0)),"-")</f>
        <v>-</v>
      </c>
    </row>
    <row r="470" spans="1:5" x14ac:dyDescent="0.25">
      <c r="A470" s="4" t="s">
        <v>917</v>
      </c>
      <c r="B470" s="4" t="s">
        <v>918</v>
      </c>
      <c r="C470" s="5">
        <f>IFERROR(SUMIFS('Issuance Log'!$D:$D,'Issuance Log'!$B:$B,A470,'Issuance Log'!$G:$G,$B$4),0)</f>
        <v>0</v>
      </c>
      <c r="D470" s="5">
        <f>IFERROR(COUNTIFS('Issuance Log'!$B:$B,A470,'Issuance Log'!$G:$G,$B$4),0)</f>
        <v>0</v>
      </c>
      <c r="E470" s="5" t="str">
        <f ca="1">IFERROR(INDEX('Issuance Log'!$E:$E,MATCH(MAXIFS('Issuance Log'!$D:$D,'Issuance Log'!$B:$B,A470,'Issuance Log'!$G:$G,$B$4),IF(('Issuance Log'!$B:$B=A470)*('Issuance Log'!$G:$G=$B$4),'Issuance Log'!$D:$D),0)),"-")</f>
        <v>-</v>
      </c>
    </row>
    <row r="471" spans="1:5" x14ac:dyDescent="0.25">
      <c r="A471" s="2" t="s">
        <v>919</v>
      </c>
      <c r="B471" s="2" t="s">
        <v>920</v>
      </c>
      <c r="C471" s="3">
        <f>IFERROR(SUMIFS('Issuance Log'!$D:$D,'Issuance Log'!$B:$B,A471,'Issuance Log'!$G:$G,$B$4),0)</f>
        <v>0</v>
      </c>
      <c r="D471" s="3">
        <f>IFERROR(COUNTIFS('Issuance Log'!$B:$B,A471,'Issuance Log'!$G:$G,$B$4),0)</f>
        <v>0</v>
      </c>
      <c r="E471" s="3" t="str">
        <f ca="1">IFERROR(INDEX('Issuance Log'!$E:$E,MATCH(MAXIFS('Issuance Log'!$D:$D,'Issuance Log'!$B:$B,A471,'Issuance Log'!$G:$G,$B$4),IF(('Issuance Log'!$B:$B=A471)*('Issuance Log'!$G:$G=$B$4),'Issuance Log'!$D:$D),0)),"-")</f>
        <v>-</v>
      </c>
    </row>
    <row r="472" spans="1:5" x14ac:dyDescent="0.25">
      <c r="A472" s="4" t="s">
        <v>921</v>
      </c>
      <c r="B472" s="4" t="s">
        <v>922</v>
      </c>
      <c r="C472" s="5">
        <f>IFERROR(SUMIFS('Issuance Log'!$D:$D,'Issuance Log'!$B:$B,A472,'Issuance Log'!$G:$G,$B$4),0)</f>
        <v>0</v>
      </c>
      <c r="D472" s="5">
        <f>IFERROR(COUNTIFS('Issuance Log'!$B:$B,A472,'Issuance Log'!$G:$G,$B$4),0)</f>
        <v>0</v>
      </c>
      <c r="E472" s="5" t="str">
        <f ca="1">IFERROR(INDEX('Issuance Log'!$E:$E,MATCH(MAXIFS('Issuance Log'!$D:$D,'Issuance Log'!$B:$B,A472,'Issuance Log'!$G:$G,$B$4),IF(('Issuance Log'!$B:$B=A472)*('Issuance Log'!$G:$G=$B$4),'Issuance Log'!$D:$D),0)),"-")</f>
        <v>-</v>
      </c>
    </row>
    <row r="473" spans="1:5" x14ac:dyDescent="0.25">
      <c r="A473" s="2" t="s">
        <v>923</v>
      </c>
      <c r="B473" s="2" t="s">
        <v>924</v>
      </c>
      <c r="C473" s="3">
        <f>IFERROR(SUMIFS('Issuance Log'!$D:$D,'Issuance Log'!$B:$B,A473,'Issuance Log'!$G:$G,$B$4),0)</f>
        <v>0</v>
      </c>
      <c r="D473" s="3">
        <f>IFERROR(COUNTIFS('Issuance Log'!$B:$B,A473,'Issuance Log'!$G:$G,$B$4),0)</f>
        <v>0</v>
      </c>
      <c r="E473" s="3" t="str">
        <f ca="1">IFERROR(INDEX('Issuance Log'!$E:$E,MATCH(MAXIFS('Issuance Log'!$D:$D,'Issuance Log'!$B:$B,A473,'Issuance Log'!$G:$G,$B$4),IF(('Issuance Log'!$B:$B=A473)*('Issuance Log'!$G:$G=$B$4),'Issuance Log'!$D:$D),0)),"-")</f>
        <v>-</v>
      </c>
    </row>
    <row r="474" spans="1:5" x14ac:dyDescent="0.25">
      <c r="A474" s="4" t="s">
        <v>925</v>
      </c>
      <c r="B474" s="4" t="s">
        <v>926</v>
      </c>
      <c r="C474" s="5">
        <f>IFERROR(SUMIFS('Issuance Log'!$D:$D,'Issuance Log'!$B:$B,A474,'Issuance Log'!$G:$G,$B$4),0)</f>
        <v>0</v>
      </c>
      <c r="D474" s="5">
        <f>IFERROR(COUNTIFS('Issuance Log'!$B:$B,A474,'Issuance Log'!$G:$G,$B$4),0)</f>
        <v>0</v>
      </c>
      <c r="E474" s="5" t="str">
        <f ca="1">IFERROR(INDEX('Issuance Log'!$E:$E,MATCH(MAXIFS('Issuance Log'!$D:$D,'Issuance Log'!$B:$B,A474,'Issuance Log'!$G:$G,$B$4),IF(('Issuance Log'!$B:$B=A474)*('Issuance Log'!$G:$G=$B$4),'Issuance Log'!$D:$D),0)),"-")</f>
        <v>-</v>
      </c>
    </row>
    <row r="475" spans="1:5" x14ac:dyDescent="0.25">
      <c r="A475" s="2" t="s">
        <v>927</v>
      </c>
      <c r="B475" s="2" t="s">
        <v>928</v>
      </c>
      <c r="C475" s="3">
        <f>IFERROR(SUMIFS('Issuance Log'!$D:$D,'Issuance Log'!$B:$B,A475,'Issuance Log'!$G:$G,$B$4),0)</f>
        <v>0</v>
      </c>
      <c r="D475" s="3">
        <f>IFERROR(COUNTIFS('Issuance Log'!$B:$B,A475,'Issuance Log'!$G:$G,$B$4),0)</f>
        <v>0</v>
      </c>
      <c r="E475" s="3" t="str">
        <f ca="1">IFERROR(INDEX('Issuance Log'!$E:$E,MATCH(MAXIFS('Issuance Log'!$D:$D,'Issuance Log'!$B:$B,A475,'Issuance Log'!$G:$G,$B$4),IF(('Issuance Log'!$B:$B=A475)*('Issuance Log'!$G:$G=$B$4),'Issuance Log'!$D:$D),0)),"-")</f>
        <v>-</v>
      </c>
    </row>
    <row r="476" spans="1:5" x14ac:dyDescent="0.25">
      <c r="A476" s="4" t="s">
        <v>929</v>
      </c>
      <c r="B476" s="4" t="s">
        <v>930</v>
      </c>
      <c r="C476" s="5">
        <f>IFERROR(SUMIFS('Issuance Log'!$D:$D,'Issuance Log'!$B:$B,A476,'Issuance Log'!$G:$G,$B$4),0)</f>
        <v>0</v>
      </c>
      <c r="D476" s="5">
        <f>IFERROR(COUNTIFS('Issuance Log'!$B:$B,A476,'Issuance Log'!$G:$G,$B$4),0)</f>
        <v>0</v>
      </c>
      <c r="E476" s="5" t="str">
        <f ca="1">IFERROR(INDEX('Issuance Log'!$E:$E,MATCH(MAXIFS('Issuance Log'!$D:$D,'Issuance Log'!$B:$B,A476,'Issuance Log'!$G:$G,$B$4),IF(('Issuance Log'!$B:$B=A476)*('Issuance Log'!$G:$G=$B$4),'Issuance Log'!$D:$D),0)),"-")</f>
        <v>-</v>
      </c>
    </row>
    <row r="477" spans="1:5" x14ac:dyDescent="0.25">
      <c r="A477" s="2" t="s">
        <v>931</v>
      </c>
      <c r="B477" s="2" t="s">
        <v>932</v>
      </c>
      <c r="C477" s="3">
        <f>IFERROR(SUMIFS('Issuance Log'!$D:$D,'Issuance Log'!$B:$B,A477,'Issuance Log'!$G:$G,$B$4),0)</f>
        <v>0</v>
      </c>
      <c r="D477" s="3">
        <f>IFERROR(COUNTIFS('Issuance Log'!$B:$B,A477,'Issuance Log'!$G:$G,$B$4),0)</f>
        <v>0</v>
      </c>
      <c r="E477" s="3" t="str">
        <f ca="1">IFERROR(INDEX('Issuance Log'!$E:$E,MATCH(MAXIFS('Issuance Log'!$D:$D,'Issuance Log'!$B:$B,A477,'Issuance Log'!$G:$G,$B$4),IF(('Issuance Log'!$B:$B=A477)*('Issuance Log'!$G:$G=$B$4),'Issuance Log'!$D:$D),0)),"-")</f>
        <v>-</v>
      </c>
    </row>
    <row r="478" spans="1:5" x14ac:dyDescent="0.25">
      <c r="A478" s="4" t="s">
        <v>933</v>
      </c>
      <c r="B478" s="4" t="s">
        <v>934</v>
      </c>
      <c r="C478" s="5">
        <f>IFERROR(SUMIFS('Issuance Log'!$D:$D,'Issuance Log'!$B:$B,A478,'Issuance Log'!$G:$G,$B$4),0)</f>
        <v>0</v>
      </c>
      <c r="D478" s="5">
        <f>IFERROR(COUNTIFS('Issuance Log'!$B:$B,A478,'Issuance Log'!$G:$G,$B$4),0)</f>
        <v>0</v>
      </c>
      <c r="E478" s="5" t="str">
        <f ca="1">IFERROR(INDEX('Issuance Log'!$E:$E,MATCH(MAXIFS('Issuance Log'!$D:$D,'Issuance Log'!$B:$B,A478,'Issuance Log'!$G:$G,$B$4),IF(('Issuance Log'!$B:$B=A478)*('Issuance Log'!$G:$G=$B$4),'Issuance Log'!$D:$D),0)),"-")</f>
        <v>-</v>
      </c>
    </row>
    <row r="479" spans="1:5" x14ac:dyDescent="0.25">
      <c r="A479" s="2" t="s">
        <v>935</v>
      </c>
      <c r="B479" s="2" t="s">
        <v>936</v>
      </c>
      <c r="C479" s="3">
        <f>IFERROR(SUMIFS('Issuance Log'!$D:$D,'Issuance Log'!$B:$B,A479,'Issuance Log'!$G:$G,$B$4),0)</f>
        <v>0</v>
      </c>
      <c r="D479" s="3">
        <f>IFERROR(COUNTIFS('Issuance Log'!$B:$B,A479,'Issuance Log'!$G:$G,$B$4),0)</f>
        <v>0</v>
      </c>
      <c r="E479" s="3" t="str">
        <f ca="1">IFERROR(INDEX('Issuance Log'!$E:$E,MATCH(MAXIFS('Issuance Log'!$D:$D,'Issuance Log'!$B:$B,A479,'Issuance Log'!$G:$G,$B$4),IF(('Issuance Log'!$B:$B=A479)*('Issuance Log'!$G:$G=$B$4),'Issuance Log'!$D:$D),0)),"-")</f>
        <v>-</v>
      </c>
    </row>
    <row r="480" spans="1:5" x14ac:dyDescent="0.25">
      <c r="A480" s="4" t="s">
        <v>937</v>
      </c>
      <c r="B480" s="4" t="s">
        <v>938</v>
      </c>
      <c r="C480" s="5">
        <f>IFERROR(SUMIFS('Issuance Log'!$D:$D,'Issuance Log'!$B:$B,A480,'Issuance Log'!$G:$G,$B$4),0)</f>
        <v>0</v>
      </c>
      <c r="D480" s="5">
        <f>IFERROR(COUNTIFS('Issuance Log'!$B:$B,A480,'Issuance Log'!$G:$G,$B$4),0)</f>
        <v>0</v>
      </c>
      <c r="E480" s="5" t="str">
        <f ca="1">IFERROR(INDEX('Issuance Log'!$E:$E,MATCH(MAXIFS('Issuance Log'!$D:$D,'Issuance Log'!$B:$B,A480,'Issuance Log'!$G:$G,$B$4),IF(('Issuance Log'!$B:$B=A480)*('Issuance Log'!$G:$G=$B$4),'Issuance Log'!$D:$D),0)),"-")</f>
        <v>-</v>
      </c>
    </row>
    <row r="481" spans="1:5" x14ac:dyDescent="0.25">
      <c r="A481" s="2" t="s">
        <v>939</v>
      </c>
      <c r="B481" s="2" t="s">
        <v>940</v>
      </c>
      <c r="C481" s="3">
        <f>IFERROR(SUMIFS('Issuance Log'!$D:$D,'Issuance Log'!$B:$B,A481,'Issuance Log'!$G:$G,$B$4),0)</f>
        <v>0</v>
      </c>
      <c r="D481" s="3">
        <f>IFERROR(COUNTIFS('Issuance Log'!$B:$B,A481,'Issuance Log'!$G:$G,$B$4),0)</f>
        <v>0</v>
      </c>
      <c r="E481" s="3" t="str">
        <f ca="1">IFERROR(INDEX('Issuance Log'!$E:$E,MATCH(MAXIFS('Issuance Log'!$D:$D,'Issuance Log'!$B:$B,A481,'Issuance Log'!$G:$G,$B$4),IF(('Issuance Log'!$B:$B=A481)*('Issuance Log'!$G:$G=$B$4),'Issuance Log'!$D:$D),0)),"-")</f>
        <v>-</v>
      </c>
    </row>
    <row r="482" spans="1:5" x14ac:dyDescent="0.25">
      <c r="A482" s="4" t="s">
        <v>941</v>
      </c>
      <c r="B482" s="4" t="s">
        <v>942</v>
      </c>
      <c r="C482" s="5">
        <f>IFERROR(SUMIFS('Issuance Log'!$D:$D,'Issuance Log'!$B:$B,A482,'Issuance Log'!$G:$G,$B$4),0)</f>
        <v>0</v>
      </c>
      <c r="D482" s="5">
        <f>IFERROR(COUNTIFS('Issuance Log'!$B:$B,A482,'Issuance Log'!$G:$G,$B$4),0)</f>
        <v>0</v>
      </c>
      <c r="E482" s="5" t="str">
        <f ca="1">IFERROR(INDEX('Issuance Log'!$E:$E,MATCH(MAXIFS('Issuance Log'!$D:$D,'Issuance Log'!$B:$B,A482,'Issuance Log'!$G:$G,$B$4),IF(('Issuance Log'!$B:$B=A482)*('Issuance Log'!$G:$G=$B$4),'Issuance Log'!$D:$D),0)),"-")</f>
        <v>-</v>
      </c>
    </row>
    <row r="483" spans="1:5" x14ac:dyDescent="0.25">
      <c r="A483" s="2" t="s">
        <v>943</v>
      </c>
      <c r="B483" s="2" t="s">
        <v>944</v>
      </c>
      <c r="C483" s="3">
        <f>IFERROR(SUMIFS('Issuance Log'!$D:$D,'Issuance Log'!$B:$B,A483,'Issuance Log'!$G:$G,$B$4),0)</f>
        <v>0</v>
      </c>
      <c r="D483" s="3">
        <f>IFERROR(COUNTIFS('Issuance Log'!$B:$B,A483,'Issuance Log'!$G:$G,$B$4),0)</f>
        <v>0</v>
      </c>
      <c r="E483" s="3" t="str">
        <f ca="1">IFERROR(INDEX('Issuance Log'!$E:$E,MATCH(MAXIFS('Issuance Log'!$D:$D,'Issuance Log'!$B:$B,A483,'Issuance Log'!$G:$G,$B$4),IF(('Issuance Log'!$B:$B=A483)*('Issuance Log'!$G:$G=$B$4),'Issuance Log'!$D:$D),0)),"-")</f>
        <v>-</v>
      </c>
    </row>
    <row r="484" spans="1:5" x14ac:dyDescent="0.25">
      <c r="A484" s="4" t="s">
        <v>945</v>
      </c>
      <c r="B484" s="4" t="s">
        <v>946</v>
      </c>
      <c r="C484" s="5">
        <f>IFERROR(SUMIFS('Issuance Log'!$D:$D,'Issuance Log'!$B:$B,A484,'Issuance Log'!$G:$G,$B$4),0)</f>
        <v>0</v>
      </c>
      <c r="D484" s="5">
        <f>IFERROR(COUNTIFS('Issuance Log'!$B:$B,A484,'Issuance Log'!$G:$G,$B$4),0)</f>
        <v>0</v>
      </c>
      <c r="E484" s="5" t="str">
        <f ca="1">IFERROR(INDEX('Issuance Log'!$E:$E,MATCH(MAXIFS('Issuance Log'!$D:$D,'Issuance Log'!$B:$B,A484,'Issuance Log'!$G:$G,$B$4),IF(('Issuance Log'!$B:$B=A484)*('Issuance Log'!$G:$G=$B$4),'Issuance Log'!$D:$D),0)),"-")</f>
        <v>-</v>
      </c>
    </row>
    <row r="485" spans="1:5" x14ac:dyDescent="0.25">
      <c r="A485" s="2" t="s">
        <v>947</v>
      </c>
      <c r="B485" s="2" t="s">
        <v>948</v>
      </c>
      <c r="C485" s="3">
        <f>IFERROR(SUMIFS('Issuance Log'!$D:$D,'Issuance Log'!$B:$B,A485,'Issuance Log'!$G:$G,$B$4),0)</f>
        <v>0</v>
      </c>
      <c r="D485" s="3">
        <f>IFERROR(COUNTIFS('Issuance Log'!$B:$B,A485,'Issuance Log'!$G:$G,$B$4),0)</f>
        <v>0</v>
      </c>
      <c r="E485" s="3" t="str">
        <f ca="1">IFERROR(INDEX('Issuance Log'!$E:$E,MATCH(MAXIFS('Issuance Log'!$D:$D,'Issuance Log'!$B:$B,A485,'Issuance Log'!$G:$G,$B$4),IF(('Issuance Log'!$B:$B=A485)*('Issuance Log'!$G:$G=$B$4),'Issuance Log'!$D:$D),0)),"-")</f>
        <v>-</v>
      </c>
    </row>
    <row r="486" spans="1:5" x14ac:dyDescent="0.25">
      <c r="A486" s="4" t="s">
        <v>949</v>
      </c>
      <c r="B486" s="4" t="s">
        <v>950</v>
      </c>
      <c r="C486" s="5">
        <f>IFERROR(SUMIFS('Issuance Log'!$D:$D,'Issuance Log'!$B:$B,A486,'Issuance Log'!$G:$G,$B$4),0)</f>
        <v>0</v>
      </c>
      <c r="D486" s="5">
        <f>IFERROR(COUNTIFS('Issuance Log'!$B:$B,A486,'Issuance Log'!$G:$G,$B$4),0)</f>
        <v>0</v>
      </c>
      <c r="E486" s="5" t="str">
        <f ca="1">IFERROR(INDEX('Issuance Log'!$E:$E,MATCH(MAXIFS('Issuance Log'!$D:$D,'Issuance Log'!$B:$B,A486,'Issuance Log'!$G:$G,$B$4),IF(('Issuance Log'!$B:$B=A486)*('Issuance Log'!$G:$G=$B$4),'Issuance Log'!$D:$D),0)),"-")</f>
        <v>-</v>
      </c>
    </row>
    <row r="487" spans="1:5" x14ac:dyDescent="0.25">
      <c r="A487" s="2" t="s">
        <v>951</v>
      </c>
      <c r="B487" s="2" t="s">
        <v>952</v>
      </c>
      <c r="C487" s="3">
        <f>IFERROR(SUMIFS('Issuance Log'!$D:$D,'Issuance Log'!$B:$B,A487,'Issuance Log'!$G:$G,$B$4),0)</f>
        <v>0</v>
      </c>
      <c r="D487" s="3">
        <f>IFERROR(COUNTIFS('Issuance Log'!$B:$B,A487,'Issuance Log'!$G:$G,$B$4),0)</f>
        <v>0</v>
      </c>
      <c r="E487" s="3" t="str">
        <f ca="1">IFERROR(INDEX('Issuance Log'!$E:$E,MATCH(MAXIFS('Issuance Log'!$D:$D,'Issuance Log'!$B:$B,A487,'Issuance Log'!$G:$G,$B$4),IF(('Issuance Log'!$B:$B=A487)*('Issuance Log'!$G:$G=$B$4),'Issuance Log'!$D:$D),0)),"-")</f>
        <v>-</v>
      </c>
    </row>
    <row r="488" spans="1:5" x14ac:dyDescent="0.25">
      <c r="A488" s="4" t="s">
        <v>953</v>
      </c>
      <c r="B488" s="4" t="s">
        <v>954</v>
      </c>
      <c r="C488" s="5">
        <f>IFERROR(SUMIFS('Issuance Log'!$D:$D,'Issuance Log'!$B:$B,A488,'Issuance Log'!$G:$G,$B$4),0)</f>
        <v>0</v>
      </c>
      <c r="D488" s="5">
        <f>IFERROR(COUNTIFS('Issuance Log'!$B:$B,A488,'Issuance Log'!$G:$G,$B$4),0)</f>
        <v>0</v>
      </c>
      <c r="E488" s="5" t="str">
        <f ca="1">IFERROR(INDEX('Issuance Log'!$E:$E,MATCH(MAXIFS('Issuance Log'!$D:$D,'Issuance Log'!$B:$B,A488,'Issuance Log'!$G:$G,$B$4),IF(('Issuance Log'!$B:$B=A488)*('Issuance Log'!$G:$G=$B$4),'Issuance Log'!$D:$D),0)),"-")</f>
        <v>-</v>
      </c>
    </row>
    <row r="489" spans="1:5" x14ac:dyDescent="0.25">
      <c r="A489" s="2" t="s">
        <v>955</v>
      </c>
      <c r="B489" s="2" t="s">
        <v>956</v>
      </c>
      <c r="C489" s="3">
        <f>IFERROR(SUMIFS('Issuance Log'!$D:$D,'Issuance Log'!$B:$B,A489,'Issuance Log'!$G:$G,$B$4),0)</f>
        <v>0</v>
      </c>
      <c r="D489" s="3">
        <f>IFERROR(COUNTIFS('Issuance Log'!$B:$B,A489,'Issuance Log'!$G:$G,$B$4),0)</f>
        <v>0</v>
      </c>
      <c r="E489" s="3" t="str">
        <f ca="1">IFERROR(INDEX('Issuance Log'!$E:$E,MATCH(MAXIFS('Issuance Log'!$D:$D,'Issuance Log'!$B:$B,A489,'Issuance Log'!$G:$G,$B$4),IF(('Issuance Log'!$B:$B=A489)*('Issuance Log'!$G:$G=$B$4),'Issuance Log'!$D:$D),0)),"-")</f>
        <v>-</v>
      </c>
    </row>
    <row r="490" spans="1:5" x14ac:dyDescent="0.25">
      <c r="A490" s="4" t="s">
        <v>957</v>
      </c>
      <c r="B490" s="4" t="s">
        <v>958</v>
      </c>
      <c r="C490" s="5">
        <f>IFERROR(SUMIFS('Issuance Log'!$D:$D,'Issuance Log'!$B:$B,A490,'Issuance Log'!$G:$G,$B$4),0)</f>
        <v>0</v>
      </c>
      <c r="D490" s="5">
        <f>IFERROR(COUNTIFS('Issuance Log'!$B:$B,A490,'Issuance Log'!$G:$G,$B$4),0)</f>
        <v>0</v>
      </c>
      <c r="E490" s="5" t="str">
        <f ca="1">IFERROR(INDEX('Issuance Log'!$E:$E,MATCH(MAXIFS('Issuance Log'!$D:$D,'Issuance Log'!$B:$B,A490,'Issuance Log'!$G:$G,$B$4),IF(('Issuance Log'!$B:$B=A490)*('Issuance Log'!$G:$G=$B$4),'Issuance Log'!$D:$D),0)),"-")</f>
        <v>-</v>
      </c>
    </row>
    <row r="491" spans="1:5" x14ac:dyDescent="0.25">
      <c r="A491" s="2" t="s">
        <v>959</v>
      </c>
      <c r="B491" s="2" t="s">
        <v>960</v>
      </c>
      <c r="C491" s="3">
        <f>IFERROR(SUMIFS('Issuance Log'!$D:$D,'Issuance Log'!$B:$B,A491,'Issuance Log'!$G:$G,$B$4),0)</f>
        <v>0</v>
      </c>
      <c r="D491" s="3">
        <f>IFERROR(COUNTIFS('Issuance Log'!$B:$B,A491,'Issuance Log'!$G:$G,$B$4),0)</f>
        <v>0</v>
      </c>
      <c r="E491" s="3" t="str">
        <f ca="1">IFERROR(INDEX('Issuance Log'!$E:$E,MATCH(MAXIFS('Issuance Log'!$D:$D,'Issuance Log'!$B:$B,A491,'Issuance Log'!$G:$G,$B$4),IF(('Issuance Log'!$B:$B=A491)*('Issuance Log'!$G:$G=$B$4),'Issuance Log'!$D:$D),0)),"-")</f>
        <v>-</v>
      </c>
    </row>
    <row r="492" spans="1:5" x14ac:dyDescent="0.25">
      <c r="A492" s="4" t="s">
        <v>961</v>
      </c>
      <c r="B492" s="4" t="s">
        <v>962</v>
      </c>
      <c r="C492" s="5">
        <f>IFERROR(SUMIFS('Issuance Log'!$D:$D,'Issuance Log'!$B:$B,A492,'Issuance Log'!$G:$G,$B$4),0)</f>
        <v>0</v>
      </c>
      <c r="D492" s="5">
        <f>IFERROR(COUNTIFS('Issuance Log'!$B:$B,A492,'Issuance Log'!$G:$G,$B$4),0)</f>
        <v>0</v>
      </c>
      <c r="E492" s="5" t="str">
        <f ca="1">IFERROR(INDEX('Issuance Log'!$E:$E,MATCH(MAXIFS('Issuance Log'!$D:$D,'Issuance Log'!$B:$B,A492,'Issuance Log'!$G:$G,$B$4),IF(('Issuance Log'!$B:$B=A492)*('Issuance Log'!$G:$G=$B$4),'Issuance Log'!$D:$D),0)),"-")</f>
        <v>-</v>
      </c>
    </row>
    <row r="493" spans="1:5" x14ac:dyDescent="0.25">
      <c r="A493" s="2" t="s">
        <v>963</v>
      </c>
      <c r="B493" s="2" t="s">
        <v>964</v>
      </c>
      <c r="C493" s="3">
        <f>IFERROR(SUMIFS('Issuance Log'!$D:$D,'Issuance Log'!$B:$B,A493,'Issuance Log'!$G:$G,$B$4),0)</f>
        <v>0</v>
      </c>
      <c r="D493" s="3">
        <f>IFERROR(COUNTIFS('Issuance Log'!$B:$B,A493,'Issuance Log'!$G:$G,$B$4),0)</f>
        <v>0</v>
      </c>
      <c r="E493" s="3" t="str">
        <f ca="1">IFERROR(INDEX('Issuance Log'!$E:$E,MATCH(MAXIFS('Issuance Log'!$D:$D,'Issuance Log'!$B:$B,A493,'Issuance Log'!$G:$G,$B$4),IF(('Issuance Log'!$B:$B=A493)*('Issuance Log'!$G:$G=$B$4),'Issuance Log'!$D:$D),0)),"-")</f>
        <v>-</v>
      </c>
    </row>
    <row r="494" spans="1:5" x14ac:dyDescent="0.25">
      <c r="A494" s="4" t="s">
        <v>965</v>
      </c>
      <c r="B494" s="4" t="s">
        <v>966</v>
      </c>
      <c r="C494" s="5">
        <f>IFERROR(SUMIFS('Issuance Log'!$D:$D,'Issuance Log'!$B:$B,A494,'Issuance Log'!$G:$G,$B$4),0)</f>
        <v>0</v>
      </c>
      <c r="D494" s="5">
        <f>IFERROR(COUNTIFS('Issuance Log'!$B:$B,A494,'Issuance Log'!$G:$G,$B$4),0)</f>
        <v>0</v>
      </c>
      <c r="E494" s="5" t="str">
        <f ca="1">IFERROR(INDEX('Issuance Log'!$E:$E,MATCH(MAXIFS('Issuance Log'!$D:$D,'Issuance Log'!$B:$B,A494,'Issuance Log'!$G:$G,$B$4),IF(('Issuance Log'!$B:$B=A494)*('Issuance Log'!$G:$G=$B$4),'Issuance Log'!$D:$D),0)),"-")</f>
        <v>-</v>
      </c>
    </row>
    <row r="495" spans="1:5" x14ac:dyDescent="0.25">
      <c r="A495" s="2" t="s">
        <v>967</v>
      </c>
      <c r="B495" s="2" t="s">
        <v>968</v>
      </c>
      <c r="C495" s="3">
        <f>IFERROR(SUMIFS('Issuance Log'!$D:$D,'Issuance Log'!$B:$B,A495,'Issuance Log'!$G:$G,$B$4),0)</f>
        <v>0</v>
      </c>
      <c r="D495" s="3">
        <f>IFERROR(COUNTIFS('Issuance Log'!$B:$B,A495,'Issuance Log'!$G:$G,$B$4),0)</f>
        <v>0</v>
      </c>
      <c r="E495" s="3" t="str">
        <f ca="1">IFERROR(INDEX('Issuance Log'!$E:$E,MATCH(MAXIFS('Issuance Log'!$D:$D,'Issuance Log'!$B:$B,A495,'Issuance Log'!$G:$G,$B$4),IF(('Issuance Log'!$B:$B=A495)*('Issuance Log'!$G:$G=$B$4),'Issuance Log'!$D:$D),0)),"-")</f>
        <v>-</v>
      </c>
    </row>
    <row r="496" spans="1:5" x14ac:dyDescent="0.25">
      <c r="A496" s="4" t="s">
        <v>969</v>
      </c>
      <c r="B496" s="4" t="s">
        <v>970</v>
      </c>
      <c r="C496" s="5">
        <f>IFERROR(SUMIFS('Issuance Log'!$D:$D,'Issuance Log'!$B:$B,A496,'Issuance Log'!$G:$G,$B$4),0)</f>
        <v>0</v>
      </c>
      <c r="D496" s="5">
        <f>IFERROR(COUNTIFS('Issuance Log'!$B:$B,A496,'Issuance Log'!$G:$G,$B$4),0)</f>
        <v>0</v>
      </c>
      <c r="E496" s="5" t="str">
        <f ca="1">IFERROR(INDEX('Issuance Log'!$E:$E,MATCH(MAXIFS('Issuance Log'!$D:$D,'Issuance Log'!$B:$B,A496,'Issuance Log'!$G:$G,$B$4),IF(('Issuance Log'!$B:$B=A496)*('Issuance Log'!$G:$G=$B$4),'Issuance Log'!$D:$D),0)),"-")</f>
        <v>-</v>
      </c>
    </row>
    <row r="497" spans="1:5" x14ac:dyDescent="0.25">
      <c r="A497" s="2" t="s">
        <v>971</v>
      </c>
      <c r="B497" s="2" t="s">
        <v>972</v>
      </c>
      <c r="C497" s="3">
        <f>IFERROR(SUMIFS('Issuance Log'!$D:$D,'Issuance Log'!$B:$B,A497,'Issuance Log'!$G:$G,$B$4),0)</f>
        <v>0</v>
      </c>
      <c r="D497" s="3">
        <f>IFERROR(COUNTIFS('Issuance Log'!$B:$B,A497,'Issuance Log'!$G:$G,$B$4),0)</f>
        <v>0</v>
      </c>
      <c r="E497" s="3" t="str">
        <f ca="1">IFERROR(INDEX('Issuance Log'!$E:$E,MATCH(MAXIFS('Issuance Log'!$D:$D,'Issuance Log'!$B:$B,A497,'Issuance Log'!$G:$G,$B$4),IF(('Issuance Log'!$B:$B=A497)*('Issuance Log'!$G:$G=$B$4),'Issuance Log'!$D:$D),0)),"-")</f>
        <v>-</v>
      </c>
    </row>
    <row r="498" spans="1:5" x14ac:dyDescent="0.25">
      <c r="A498" s="4" t="s">
        <v>973</v>
      </c>
      <c r="B498" s="4" t="s">
        <v>974</v>
      </c>
      <c r="C498" s="5">
        <f>IFERROR(SUMIFS('Issuance Log'!$D:$D,'Issuance Log'!$B:$B,A498,'Issuance Log'!$G:$G,$B$4),0)</f>
        <v>0</v>
      </c>
      <c r="D498" s="5">
        <f>IFERROR(COUNTIFS('Issuance Log'!$B:$B,A498,'Issuance Log'!$G:$G,$B$4),0)</f>
        <v>0</v>
      </c>
      <c r="E498" s="5" t="str">
        <f ca="1">IFERROR(INDEX('Issuance Log'!$E:$E,MATCH(MAXIFS('Issuance Log'!$D:$D,'Issuance Log'!$B:$B,A498,'Issuance Log'!$G:$G,$B$4),IF(('Issuance Log'!$B:$B=A498)*('Issuance Log'!$G:$G=$B$4),'Issuance Log'!$D:$D),0)),"-")</f>
        <v>-</v>
      </c>
    </row>
    <row r="499" spans="1:5" x14ac:dyDescent="0.25">
      <c r="A499" s="2" t="s">
        <v>975</v>
      </c>
      <c r="B499" s="2" t="s">
        <v>976</v>
      </c>
      <c r="C499" s="3">
        <f>IFERROR(SUMIFS('Issuance Log'!$D:$D,'Issuance Log'!$B:$B,A499,'Issuance Log'!$G:$G,$B$4),0)</f>
        <v>0</v>
      </c>
      <c r="D499" s="3">
        <f>IFERROR(COUNTIFS('Issuance Log'!$B:$B,A499,'Issuance Log'!$G:$G,$B$4),0)</f>
        <v>0</v>
      </c>
      <c r="E499" s="3" t="str">
        <f ca="1">IFERROR(INDEX('Issuance Log'!$E:$E,MATCH(MAXIFS('Issuance Log'!$D:$D,'Issuance Log'!$B:$B,A499,'Issuance Log'!$G:$G,$B$4),IF(('Issuance Log'!$B:$B=A499)*('Issuance Log'!$G:$G=$B$4),'Issuance Log'!$D:$D),0)),"-")</f>
        <v>-</v>
      </c>
    </row>
    <row r="500" spans="1:5" x14ac:dyDescent="0.25">
      <c r="A500" s="4" t="s">
        <v>977</v>
      </c>
      <c r="B500" s="4" t="s">
        <v>978</v>
      </c>
      <c r="C500" s="5">
        <f>IFERROR(SUMIFS('Issuance Log'!$D:$D,'Issuance Log'!$B:$B,A500,'Issuance Log'!$G:$G,$B$4),0)</f>
        <v>0</v>
      </c>
      <c r="D500" s="5">
        <f>IFERROR(COUNTIFS('Issuance Log'!$B:$B,A500,'Issuance Log'!$G:$G,$B$4),0)</f>
        <v>0</v>
      </c>
      <c r="E500" s="5" t="str">
        <f ca="1">IFERROR(INDEX('Issuance Log'!$E:$E,MATCH(MAXIFS('Issuance Log'!$D:$D,'Issuance Log'!$B:$B,A500,'Issuance Log'!$G:$G,$B$4),IF(('Issuance Log'!$B:$B=A500)*('Issuance Log'!$G:$G=$B$4),'Issuance Log'!$D:$D),0)),"-")</f>
        <v>-</v>
      </c>
    </row>
    <row r="501" spans="1:5" x14ac:dyDescent="0.25">
      <c r="A501" s="2" t="s">
        <v>979</v>
      </c>
      <c r="B501" s="2" t="s">
        <v>980</v>
      </c>
      <c r="C501" s="3">
        <f>IFERROR(SUMIFS('Issuance Log'!$D:$D,'Issuance Log'!$B:$B,A501,'Issuance Log'!$G:$G,$B$4),0)</f>
        <v>0</v>
      </c>
      <c r="D501" s="3">
        <f>IFERROR(COUNTIFS('Issuance Log'!$B:$B,A501,'Issuance Log'!$G:$G,$B$4),0)</f>
        <v>0</v>
      </c>
      <c r="E501" s="3" t="str">
        <f ca="1">IFERROR(INDEX('Issuance Log'!$E:$E,MATCH(MAXIFS('Issuance Log'!$D:$D,'Issuance Log'!$B:$B,A501,'Issuance Log'!$G:$G,$B$4),IF(('Issuance Log'!$B:$B=A501)*('Issuance Log'!$G:$G=$B$4),'Issuance Log'!$D:$D),0)),"-")</f>
        <v>-</v>
      </c>
    </row>
    <row r="502" spans="1:5" x14ac:dyDescent="0.25">
      <c r="A502" s="4" t="s">
        <v>981</v>
      </c>
      <c r="B502" s="4" t="s">
        <v>982</v>
      </c>
      <c r="C502" s="5">
        <f>IFERROR(SUMIFS('Issuance Log'!$D:$D,'Issuance Log'!$B:$B,A502,'Issuance Log'!$G:$G,$B$4),0)</f>
        <v>0</v>
      </c>
      <c r="D502" s="5">
        <f>IFERROR(COUNTIFS('Issuance Log'!$B:$B,A502,'Issuance Log'!$G:$G,$B$4),0)</f>
        <v>0</v>
      </c>
      <c r="E502" s="5" t="str">
        <f ca="1">IFERROR(INDEX('Issuance Log'!$E:$E,MATCH(MAXIFS('Issuance Log'!$D:$D,'Issuance Log'!$B:$B,A502,'Issuance Log'!$G:$G,$B$4),IF(('Issuance Log'!$B:$B=A502)*('Issuance Log'!$G:$G=$B$4),'Issuance Log'!$D:$D),0)),"-")</f>
        <v>-</v>
      </c>
    </row>
    <row r="503" spans="1:5" x14ac:dyDescent="0.25">
      <c r="A503" s="2" t="s">
        <v>983</v>
      </c>
      <c r="B503" s="2" t="s">
        <v>984</v>
      </c>
      <c r="C503" s="3">
        <f>IFERROR(SUMIFS('Issuance Log'!$D:$D,'Issuance Log'!$B:$B,A503,'Issuance Log'!$G:$G,$B$4),0)</f>
        <v>0</v>
      </c>
      <c r="D503" s="3">
        <f>IFERROR(COUNTIFS('Issuance Log'!$B:$B,A503,'Issuance Log'!$G:$G,$B$4),0)</f>
        <v>0</v>
      </c>
      <c r="E503" s="3" t="str">
        <f ca="1">IFERROR(INDEX('Issuance Log'!$E:$E,MATCH(MAXIFS('Issuance Log'!$D:$D,'Issuance Log'!$B:$B,A503,'Issuance Log'!$G:$G,$B$4),IF(('Issuance Log'!$B:$B=A503)*('Issuance Log'!$G:$G=$B$4),'Issuance Log'!$D:$D),0)),"-")</f>
        <v>-</v>
      </c>
    </row>
    <row r="504" spans="1:5" x14ac:dyDescent="0.25">
      <c r="A504" s="4" t="s">
        <v>985</v>
      </c>
      <c r="B504" s="4" t="s">
        <v>986</v>
      </c>
      <c r="C504" s="5">
        <f>IFERROR(SUMIFS('Issuance Log'!$D:$D,'Issuance Log'!$B:$B,A504,'Issuance Log'!$G:$G,$B$4),0)</f>
        <v>0</v>
      </c>
      <c r="D504" s="5">
        <f>IFERROR(COUNTIFS('Issuance Log'!$B:$B,A504,'Issuance Log'!$G:$G,$B$4),0)</f>
        <v>0</v>
      </c>
      <c r="E504" s="5" t="str">
        <f ca="1">IFERROR(INDEX('Issuance Log'!$E:$E,MATCH(MAXIFS('Issuance Log'!$D:$D,'Issuance Log'!$B:$B,A504,'Issuance Log'!$G:$G,$B$4),IF(('Issuance Log'!$B:$B=A504)*('Issuance Log'!$G:$G=$B$4),'Issuance Log'!$D:$D),0)),"-")</f>
        <v>-</v>
      </c>
    </row>
    <row r="505" spans="1:5" x14ac:dyDescent="0.25">
      <c r="A505" s="2" t="s">
        <v>987</v>
      </c>
      <c r="B505" s="2" t="s">
        <v>988</v>
      </c>
      <c r="C505" s="3">
        <f>IFERROR(SUMIFS('Issuance Log'!$D:$D,'Issuance Log'!$B:$B,A505,'Issuance Log'!$G:$G,$B$4),0)</f>
        <v>0</v>
      </c>
      <c r="D505" s="3">
        <f>IFERROR(COUNTIFS('Issuance Log'!$B:$B,A505,'Issuance Log'!$G:$G,$B$4),0)</f>
        <v>0</v>
      </c>
      <c r="E505" s="3" t="str">
        <f ca="1">IFERROR(INDEX('Issuance Log'!$E:$E,MATCH(MAXIFS('Issuance Log'!$D:$D,'Issuance Log'!$B:$B,A505,'Issuance Log'!$G:$G,$B$4),IF(('Issuance Log'!$B:$B=A505)*('Issuance Log'!$G:$G=$B$4),'Issuance Log'!$D:$D),0)),"-")</f>
        <v>-</v>
      </c>
    </row>
    <row r="506" spans="1:5" x14ac:dyDescent="0.25">
      <c r="A506" s="4" t="s">
        <v>989</v>
      </c>
      <c r="B506" s="4" t="s">
        <v>990</v>
      </c>
      <c r="C506" s="5">
        <f>IFERROR(SUMIFS('Issuance Log'!$D:$D,'Issuance Log'!$B:$B,A506,'Issuance Log'!$G:$G,$B$4),0)</f>
        <v>0</v>
      </c>
      <c r="D506" s="5">
        <f>IFERROR(COUNTIFS('Issuance Log'!$B:$B,A506,'Issuance Log'!$G:$G,$B$4),0)</f>
        <v>0</v>
      </c>
      <c r="E506" s="5" t="str">
        <f ca="1">IFERROR(INDEX('Issuance Log'!$E:$E,MATCH(MAXIFS('Issuance Log'!$D:$D,'Issuance Log'!$B:$B,A506,'Issuance Log'!$G:$G,$B$4),IF(('Issuance Log'!$B:$B=A506)*('Issuance Log'!$G:$G=$B$4),'Issuance Log'!$D:$D),0)),"-")</f>
        <v>-</v>
      </c>
    </row>
    <row r="507" spans="1:5" x14ac:dyDescent="0.25">
      <c r="A507" s="2" t="s">
        <v>991</v>
      </c>
      <c r="B507" s="2" t="s">
        <v>992</v>
      </c>
      <c r="C507" s="3">
        <f>IFERROR(SUMIFS('Issuance Log'!$D:$D,'Issuance Log'!$B:$B,A507,'Issuance Log'!$G:$G,$B$4),0)</f>
        <v>0</v>
      </c>
      <c r="D507" s="3">
        <f>IFERROR(COUNTIFS('Issuance Log'!$B:$B,A507,'Issuance Log'!$G:$G,$B$4),0)</f>
        <v>0</v>
      </c>
      <c r="E507" s="3" t="str">
        <f ca="1">IFERROR(INDEX('Issuance Log'!$E:$E,MATCH(MAXIFS('Issuance Log'!$D:$D,'Issuance Log'!$B:$B,A507,'Issuance Log'!$G:$G,$B$4),IF(('Issuance Log'!$B:$B=A507)*('Issuance Log'!$G:$G=$B$4),'Issuance Log'!$D:$D),0)),"-")</f>
        <v>-</v>
      </c>
    </row>
    <row r="508" spans="1:5" x14ac:dyDescent="0.25">
      <c r="A508" s="4" t="s">
        <v>993</v>
      </c>
      <c r="B508" s="4" t="s">
        <v>994</v>
      </c>
      <c r="C508" s="5">
        <f>IFERROR(SUMIFS('Issuance Log'!$D:$D,'Issuance Log'!$B:$B,A508,'Issuance Log'!$G:$G,$B$4),0)</f>
        <v>0</v>
      </c>
      <c r="D508" s="5">
        <f>IFERROR(COUNTIFS('Issuance Log'!$B:$B,A508,'Issuance Log'!$G:$G,$B$4),0)</f>
        <v>0</v>
      </c>
      <c r="E508" s="5" t="str">
        <f ca="1">IFERROR(INDEX('Issuance Log'!$E:$E,MATCH(MAXIFS('Issuance Log'!$D:$D,'Issuance Log'!$B:$B,A508,'Issuance Log'!$G:$G,$B$4),IF(('Issuance Log'!$B:$B=A508)*('Issuance Log'!$G:$G=$B$4),'Issuance Log'!$D:$D),0)),"-")</f>
        <v>-</v>
      </c>
    </row>
    <row r="509" spans="1:5" x14ac:dyDescent="0.25">
      <c r="A509" s="2" t="s">
        <v>995</v>
      </c>
      <c r="B509" s="2" t="s">
        <v>996</v>
      </c>
      <c r="C509" s="3">
        <f>IFERROR(SUMIFS('Issuance Log'!$D:$D,'Issuance Log'!$B:$B,A509,'Issuance Log'!$G:$G,$B$4),0)</f>
        <v>0</v>
      </c>
      <c r="D509" s="3">
        <f>IFERROR(COUNTIFS('Issuance Log'!$B:$B,A509,'Issuance Log'!$G:$G,$B$4),0)</f>
        <v>0</v>
      </c>
      <c r="E509" s="3" t="str">
        <f ca="1">IFERROR(INDEX('Issuance Log'!$E:$E,MATCH(MAXIFS('Issuance Log'!$D:$D,'Issuance Log'!$B:$B,A509,'Issuance Log'!$G:$G,$B$4),IF(('Issuance Log'!$B:$B=A509)*('Issuance Log'!$G:$G=$B$4),'Issuance Log'!$D:$D),0)),"-")</f>
        <v>-</v>
      </c>
    </row>
    <row r="510" spans="1:5" x14ac:dyDescent="0.25">
      <c r="A510" s="4" t="s">
        <v>997</v>
      </c>
      <c r="B510" s="4" t="s">
        <v>998</v>
      </c>
      <c r="C510" s="5">
        <f>IFERROR(SUMIFS('Issuance Log'!$D:$D,'Issuance Log'!$B:$B,A510,'Issuance Log'!$G:$G,$B$4),0)</f>
        <v>0</v>
      </c>
      <c r="D510" s="5">
        <f>IFERROR(COUNTIFS('Issuance Log'!$B:$B,A510,'Issuance Log'!$G:$G,$B$4),0)</f>
        <v>0</v>
      </c>
      <c r="E510" s="5" t="str">
        <f ca="1">IFERROR(INDEX('Issuance Log'!$E:$E,MATCH(MAXIFS('Issuance Log'!$D:$D,'Issuance Log'!$B:$B,A510,'Issuance Log'!$G:$G,$B$4),IF(('Issuance Log'!$B:$B=A510)*('Issuance Log'!$G:$G=$B$4),'Issuance Log'!$D:$D),0)),"-")</f>
        <v>-</v>
      </c>
    </row>
    <row r="511" spans="1:5" x14ac:dyDescent="0.25">
      <c r="A511" s="2" t="s">
        <v>999</v>
      </c>
      <c r="B511" s="2" t="s">
        <v>1000</v>
      </c>
      <c r="C511" s="3">
        <f>IFERROR(SUMIFS('Issuance Log'!$D:$D,'Issuance Log'!$B:$B,A511,'Issuance Log'!$G:$G,$B$4),0)</f>
        <v>0</v>
      </c>
      <c r="D511" s="3">
        <f>IFERROR(COUNTIFS('Issuance Log'!$B:$B,A511,'Issuance Log'!$G:$G,$B$4),0)</f>
        <v>0</v>
      </c>
      <c r="E511" s="3" t="str">
        <f ca="1">IFERROR(INDEX('Issuance Log'!$E:$E,MATCH(MAXIFS('Issuance Log'!$D:$D,'Issuance Log'!$B:$B,A511,'Issuance Log'!$G:$G,$B$4),IF(('Issuance Log'!$B:$B=A511)*('Issuance Log'!$G:$G=$B$4),'Issuance Log'!$D:$D),0)),"-")</f>
        <v>-</v>
      </c>
    </row>
    <row r="512" spans="1:5" x14ac:dyDescent="0.25">
      <c r="A512" s="4" t="s">
        <v>1001</v>
      </c>
      <c r="B512" s="4" t="s">
        <v>1002</v>
      </c>
      <c r="C512" s="5">
        <f>IFERROR(SUMIFS('Issuance Log'!$D:$D,'Issuance Log'!$B:$B,A512,'Issuance Log'!$G:$G,$B$4),0)</f>
        <v>0</v>
      </c>
      <c r="D512" s="5">
        <f>IFERROR(COUNTIFS('Issuance Log'!$B:$B,A512,'Issuance Log'!$G:$G,$B$4),0)</f>
        <v>0</v>
      </c>
      <c r="E512" s="5" t="str">
        <f ca="1">IFERROR(INDEX('Issuance Log'!$E:$E,MATCH(MAXIFS('Issuance Log'!$D:$D,'Issuance Log'!$B:$B,A512,'Issuance Log'!$G:$G,$B$4),IF(('Issuance Log'!$B:$B=A512)*('Issuance Log'!$G:$G=$B$4),'Issuance Log'!$D:$D),0)),"-")</f>
        <v>-</v>
      </c>
    </row>
    <row r="513" spans="1:5" x14ac:dyDescent="0.25">
      <c r="A513" s="2" t="s">
        <v>1003</v>
      </c>
      <c r="B513" s="2" t="s">
        <v>1004</v>
      </c>
      <c r="C513" s="3">
        <f>IFERROR(SUMIFS('Issuance Log'!$D:$D,'Issuance Log'!$B:$B,A513,'Issuance Log'!$G:$G,$B$4),0)</f>
        <v>0</v>
      </c>
      <c r="D513" s="3">
        <f>IFERROR(COUNTIFS('Issuance Log'!$B:$B,A513,'Issuance Log'!$G:$G,$B$4),0)</f>
        <v>0</v>
      </c>
      <c r="E513" s="3" t="str">
        <f ca="1">IFERROR(INDEX('Issuance Log'!$E:$E,MATCH(MAXIFS('Issuance Log'!$D:$D,'Issuance Log'!$B:$B,A513,'Issuance Log'!$G:$G,$B$4),IF(('Issuance Log'!$B:$B=A513)*('Issuance Log'!$G:$G=$B$4),'Issuance Log'!$D:$D),0)),"-")</f>
        <v>-</v>
      </c>
    </row>
    <row r="514" spans="1:5" x14ac:dyDescent="0.25">
      <c r="A514" s="4" t="s">
        <v>1005</v>
      </c>
      <c r="B514" s="4" t="s">
        <v>1006</v>
      </c>
      <c r="C514" s="5">
        <f>IFERROR(SUMIFS('Issuance Log'!$D:$D,'Issuance Log'!$B:$B,A514,'Issuance Log'!$G:$G,$B$4),0)</f>
        <v>0</v>
      </c>
      <c r="D514" s="5">
        <f>IFERROR(COUNTIFS('Issuance Log'!$B:$B,A514,'Issuance Log'!$G:$G,$B$4),0)</f>
        <v>0</v>
      </c>
      <c r="E514" s="5" t="str">
        <f ca="1">IFERROR(INDEX('Issuance Log'!$E:$E,MATCH(MAXIFS('Issuance Log'!$D:$D,'Issuance Log'!$B:$B,A514,'Issuance Log'!$G:$G,$B$4),IF(('Issuance Log'!$B:$B=A514)*('Issuance Log'!$G:$G=$B$4),'Issuance Log'!$D:$D),0)),"-")</f>
        <v>-</v>
      </c>
    </row>
    <row r="515" spans="1:5" x14ac:dyDescent="0.25">
      <c r="A515" s="2" t="s">
        <v>1007</v>
      </c>
      <c r="B515" s="2" t="s">
        <v>1008</v>
      </c>
      <c r="C515" s="3">
        <f>IFERROR(SUMIFS('Issuance Log'!$D:$D,'Issuance Log'!$B:$B,A515,'Issuance Log'!$G:$G,$B$4),0)</f>
        <v>0</v>
      </c>
      <c r="D515" s="3">
        <f>IFERROR(COUNTIFS('Issuance Log'!$B:$B,A515,'Issuance Log'!$G:$G,$B$4),0)</f>
        <v>0</v>
      </c>
      <c r="E515" s="3" t="str">
        <f ca="1">IFERROR(INDEX('Issuance Log'!$E:$E,MATCH(MAXIFS('Issuance Log'!$D:$D,'Issuance Log'!$B:$B,A515,'Issuance Log'!$G:$G,$B$4),IF(('Issuance Log'!$B:$B=A515)*('Issuance Log'!$G:$G=$B$4),'Issuance Log'!$D:$D),0)),"-")</f>
        <v>-</v>
      </c>
    </row>
    <row r="516" spans="1:5" x14ac:dyDescent="0.25">
      <c r="A516" s="4" t="s">
        <v>1009</v>
      </c>
      <c r="B516" s="4" t="s">
        <v>1010</v>
      </c>
      <c r="C516" s="5">
        <f>IFERROR(SUMIFS('Issuance Log'!$D:$D,'Issuance Log'!$B:$B,A516,'Issuance Log'!$G:$G,$B$4),0)</f>
        <v>0</v>
      </c>
      <c r="D516" s="5">
        <f>IFERROR(COUNTIFS('Issuance Log'!$B:$B,A516,'Issuance Log'!$G:$G,$B$4),0)</f>
        <v>0</v>
      </c>
      <c r="E516" s="5" t="str">
        <f ca="1">IFERROR(INDEX('Issuance Log'!$E:$E,MATCH(MAXIFS('Issuance Log'!$D:$D,'Issuance Log'!$B:$B,A516,'Issuance Log'!$G:$G,$B$4),IF(('Issuance Log'!$B:$B=A516)*('Issuance Log'!$G:$G=$B$4),'Issuance Log'!$D:$D),0)),"-")</f>
        <v>-</v>
      </c>
    </row>
    <row r="517" spans="1:5" x14ac:dyDescent="0.25">
      <c r="A517" s="2" t="s">
        <v>1011</v>
      </c>
      <c r="B517" s="2" t="s">
        <v>1012</v>
      </c>
      <c r="C517" s="3">
        <f>IFERROR(SUMIFS('Issuance Log'!$D:$D,'Issuance Log'!$B:$B,A517,'Issuance Log'!$G:$G,$B$4),0)</f>
        <v>0</v>
      </c>
      <c r="D517" s="3">
        <f>IFERROR(COUNTIFS('Issuance Log'!$B:$B,A517,'Issuance Log'!$G:$G,$B$4),0)</f>
        <v>0</v>
      </c>
      <c r="E517" s="3" t="str">
        <f ca="1">IFERROR(INDEX('Issuance Log'!$E:$E,MATCH(MAXIFS('Issuance Log'!$D:$D,'Issuance Log'!$B:$B,A517,'Issuance Log'!$G:$G,$B$4),IF(('Issuance Log'!$B:$B=A517)*('Issuance Log'!$G:$G=$B$4),'Issuance Log'!$D:$D),0)),"-")</f>
        <v>-</v>
      </c>
    </row>
    <row r="518" spans="1:5" x14ac:dyDescent="0.25">
      <c r="A518" s="4" t="s">
        <v>1013</v>
      </c>
      <c r="B518" s="4" t="s">
        <v>1014</v>
      </c>
      <c r="C518" s="5">
        <f>IFERROR(SUMIFS('Issuance Log'!$D:$D,'Issuance Log'!$B:$B,A518,'Issuance Log'!$G:$G,$B$4),0)</f>
        <v>0</v>
      </c>
      <c r="D518" s="5">
        <f>IFERROR(COUNTIFS('Issuance Log'!$B:$B,A518,'Issuance Log'!$G:$G,$B$4),0)</f>
        <v>0</v>
      </c>
      <c r="E518" s="5" t="str">
        <f ca="1">IFERROR(INDEX('Issuance Log'!$E:$E,MATCH(MAXIFS('Issuance Log'!$D:$D,'Issuance Log'!$B:$B,A518,'Issuance Log'!$G:$G,$B$4),IF(('Issuance Log'!$B:$B=A518)*('Issuance Log'!$G:$G=$B$4),'Issuance Log'!$D:$D),0)),"-")</f>
        <v>-</v>
      </c>
    </row>
    <row r="519" spans="1:5" x14ac:dyDescent="0.25">
      <c r="A519" s="2" t="s">
        <v>1015</v>
      </c>
      <c r="B519" s="2" t="s">
        <v>1016</v>
      </c>
      <c r="C519" s="3">
        <f>IFERROR(SUMIFS('Issuance Log'!$D:$D,'Issuance Log'!$B:$B,A519,'Issuance Log'!$G:$G,$B$4),0)</f>
        <v>0</v>
      </c>
      <c r="D519" s="3">
        <f>IFERROR(COUNTIFS('Issuance Log'!$B:$B,A519,'Issuance Log'!$G:$G,$B$4),0)</f>
        <v>0</v>
      </c>
      <c r="E519" s="3" t="str">
        <f ca="1">IFERROR(INDEX('Issuance Log'!$E:$E,MATCH(MAXIFS('Issuance Log'!$D:$D,'Issuance Log'!$B:$B,A519,'Issuance Log'!$G:$G,$B$4),IF(('Issuance Log'!$B:$B=A519)*('Issuance Log'!$G:$G=$B$4),'Issuance Log'!$D:$D),0)),"-")</f>
        <v>-</v>
      </c>
    </row>
    <row r="520" spans="1:5" x14ac:dyDescent="0.25">
      <c r="A520" s="4" t="s">
        <v>1017</v>
      </c>
      <c r="B520" s="4" t="s">
        <v>1018</v>
      </c>
      <c r="C520" s="5">
        <f>IFERROR(SUMIFS('Issuance Log'!$D:$D,'Issuance Log'!$B:$B,A520,'Issuance Log'!$G:$G,$B$4),0)</f>
        <v>0</v>
      </c>
      <c r="D520" s="5">
        <f>IFERROR(COUNTIFS('Issuance Log'!$B:$B,A520,'Issuance Log'!$G:$G,$B$4),0)</f>
        <v>0</v>
      </c>
      <c r="E520" s="5" t="str">
        <f ca="1">IFERROR(INDEX('Issuance Log'!$E:$E,MATCH(MAXIFS('Issuance Log'!$D:$D,'Issuance Log'!$B:$B,A520,'Issuance Log'!$G:$G,$B$4),IF(('Issuance Log'!$B:$B=A520)*('Issuance Log'!$G:$G=$B$4),'Issuance Log'!$D:$D),0)),"-")</f>
        <v>-</v>
      </c>
    </row>
    <row r="521" spans="1:5" x14ac:dyDescent="0.25">
      <c r="A521" s="2" t="s">
        <v>1019</v>
      </c>
      <c r="B521" s="2" t="s">
        <v>1020</v>
      </c>
      <c r="C521" s="3">
        <f>IFERROR(SUMIFS('Issuance Log'!$D:$D,'Issuance Log'!$B:$B,A521,'Issuance Log'!$G:$G,$B$4),0)</f>
        <v>0</v>
      </c>
      <c r="D521" s="3">
        <f>IFERROR(COUNTIFS('Issuance Log'!$B:$B,A521,'Issuance Log'!$G:$G,$B$4),0)</f>
        <v>0</v>
      </c>
      <c r="E521" s="3" t="str">
        <f ca="1">IFERROR(INDEX('Issuance Log'!$E:$E,MATCH(MAXIFS('Issuance Log'!$D:$D,'Issuance Log'!$B:$B,A521,'Issuance Log'!$G:$G,$B$4),IF(('Issuance Log'!$B:$B=A521)*('Issuance Log'!$G:$G=$B$4),'Issuance Log'!$D:$D),0)),"-")</f>
        <v>-</v>
      </c>
    </row>
    <row r="522" spans="1:5" x14ac:dyDescent="0.25">
      <c r="A522" s="4" t="s">
        <v>1021</v>
      </c>
      <c r="B522" s="4" t="s">
        <v>1022</v>
      </c>
      <c r="C522" s="5">
        <f>IFERROR(SUMIFS('Issuance Log'!$D:$D,'Issuance Log'!$B:$B,A522,'Issuance Log'!$G:$G,$B$4),0)</f>
        <v>0</v>
      </c>
      <c r="D522" s="5">
        <f>IFERROR(COUNTIFS('Issuance Log'!$B:$B,A522,'Issuance Log'!$G:$G,$B$4),0)</f>
        <v>0</v>
      </c>
      <c r="E522" s="5" t="str">
        <f ca="1">IFERROR(INDEX('Issuance Log'!$E:$E,MATCH(MAXIFS('Issuance Log'!$D:$D,'Issuance Log'!$B:$B,A522,'Issuance Log'!$G:$G,$B$4),IF(('Issuance Log'!$B:$B=A522)*('Issuance Log'!$G:$G=$B$4),'Issuance Log'!$D:$D),0)),"-")</f>
        <v>-</v>
      </c>
    </row>
    <row r="523" spans="1:5" x14ac:dyDescent="0.25">
      <c r="A523" s="2" t="s">
        <v>1023</v>
      </c>
      <c r="B523" s="2" t="s">
        <v>1024</v>
      </c>
      <c r="C523" s="3">
        <f>IFERROR(SUMIFS('Issuance Log'!$D:$D,'Issuance Log'!$B:$B,A523,'Issuance Log'!$G:$G,$B$4),0)</f>
        <v>0</v>
      </c>
      <c r="D523" s="3">
        <f>IFERROR(COUNTIFS('Issuance Log'!$B:$B,A523,'Issuance Log'!$G:$G,$B$4),0)</f>
        <v>0</v>
      </c>
      <c r="E523" s="3" t="str">
        <f ca="1">IFERROR(INDEX('Issuance Log'!$E:$E,MATCH(MAXIFS('Issuance Log'!$D:$D,'Issuance Log'!$B:$B,A523,'Issuance Log'!$G:$G,$B$4),IF(('Issuance Log'!$B:$B=A523)*('Issuance Log'!$G:$G=$B$4),'Issuance Log'!$D:$D),0)),"-")</f>
        <v>-</v>
      </c>
    </row>
    <row r="524" spans="1:5" x14ac:dyDescent="0.25">
      <c r="A524" s="4" t="s">
        <v>1025</v>
      </c>
      <c r="B524" s="4" t="s">
        <v>1026</v>
      </c>
      <c r="C524" s="5">
        <f>IFERROR(SUMIFS('Issuance Log'!$D:$D,'Issuance Log'!$B:$B,A524,'Issuance Log'!$G:$G,$B$4),0)</f>
        <v>0</v>
      </c>
      <c r="D524" s="5">
        <f>IFERROR(COUNTIFS('Issuance Log'!$B:$B,A524,'Issuance Log'!$G:$G,$B$4),0)</f>
        <v>0</v>
      </c>
      <c r="E524" s="5" t="str">
        <f ca="1">IFERROR(INDEX('Issuance Log'!$E:$E,MATCH(MAXIFS('Issuance Log'!$D:$D,'Issuance Log'!$B:$B,A524,'Issuance Log'!$G:$G,$B$4),IF(('Issuance Log'!$B:$B=A524)*('Issuance Log'!$G:$G=$B$4),'Issuance Log'!$D:$D),0)),"-")</f>
        <v>-</v>
      </c>
    </row>
    <row r="525" spans="1:5" x14ac:dyDescent="0.25">
      <c r="A525" s="2" t="s">
        <v>1027</v>
      </c>
      <c r="B525" s="2" t="s">
        <v>233</v>
      </c>
      <c r="C525" s="3">
        <f>IFERROR(SUMIFS('Issuance Log'!$D:$D,'Issuance Log'!$B:$B,A525,'Issuance Log'!$G:$G,$B$4),0)</f>
        <v>0</v>
      </c>
      <c r="D525" s="3">
        <f>IFERROR(COUNTIFS('Issuance Log'!$B:$B,A525,'Issuance Log'!$G:$G,$B$4),0)</f>
        <v>0</v>
      </c>
      <c r="E525" s="3" t="str">
        <f ca="1">IFERROR(INDEX('Issuance Log'!$E:$E,MATCH(MAXIFS('Issuance Log'!$D:$D,'Issuance Log'!$B:$B,A525,'Issuance Log'!$G:$G,$B$4),IF(('Issuance Log'!$B:$B=A525)*('Issuance Log'!$G:$G=$B$4),'Issuance Log'!$D:$D),0)),"-")</f>
        <v>-</v>
      </c>
    </row>
    <row r="526" spans="1:5" x14ac:dyDescent="0.25">
      <c r="A526" s="4" t="s">
        <v>1028</v>
      </c>
      <c r="B526" s="4" t="s">
        <v>1029</v>
      </c>
      <c r="C526" s="5">
        <f>IFERROR(SUMIFS('Issuance Log'!$D:$D,'Issuance Log'!$B:$B,A526,'Issuance Log'!$G:$G,$B$4),0)</f>
        <v>0</v>
      </c>
      <c r="D526" s="5">
        <f>IFERROR(COUNTIFS('Issuance Log'!$B:$B,A526,'Issuance Log'!$G:$G,$B$4),0)</f>
        <v>0</v>
      </c>
      <c r="E526" s="5" t="str">
        <f ca="1">IFERROR(INDEX('Issuance Log'!$E:$E,MATCH(MAXIFS('Issuance Log'!$D:$D,'Issuance Log'!$B:$B,A526,'Issuance Log'!$G:$G,$B$4),IF(('Issuance Log'!$B:$B=A526)*('Issuance Log'!$G:$G=$B$4),'Issuance Log'!$D:$D),0)),"-")</f>
        <v>-</v>
      </c>
    </row>
    <row r="527" spans="1:5" x14ac:dyDescent="0.25">
      <c r="A527" s="2" t="s">
        <v>1030</v>
      </c>
      <c r="B527" s="2" t="s">
        <v>1031</v>
      </c>
      <c r="C527" s="3">
        <f>IFERROR(SUMIFS('Issuance Log'!$D:$D,'Issuance Log'!$B:$B,A527,'Issuance Log'!$G:$G,$B$4),0)</f>
        <v>0</v>
      </c>
      <c r="D527" s="3">
        <f>IFERROR(COUNTIFS('Issuance Log'!$B:$B,A527,'Issuance Log'!$G:$G,$B$4),0)</f>
        <v>0</v>
      </c>
      <c r="E527" s="3" t="str">
        <f ca="1">IFERROR(INDEX('Issuance Log'!$E:$E,MATCH(MAXIFS('Issuance Log'!$D:$D,'Issuance Log'!$B:$B,A527,'Issuance Log'!$G:$G,$B$4),IF(('Issuance Log'!$B:$B=A527)*('Issuance Log'!$G:$G=$B$4),'Issuance Log'!$D:$D),0)),"-")</f>
        <v>-</v>
      </c>
    </row>
    <row r="528" spans="1:5" x14ac:dyDescent="0.25">
      <c r="A528" s="4" t="s">
        <v>1032</v>
      </c>
      <c r="B528" s="4" t="s">
        <v>1033</v>
      </c>
      <c r="C528" s="5">
        <f>IFERROR(SUMIFS('Issuance Log'!$D:$D,'Issuance Log'!$B:$B,A528,'Issuance Log'!$G:$G,$B$4),0)</f>
        <v>0</v>
      </c>
      <c r="D528" s="5">
        <f>IFERROR(COUNTIFS('Issuance Log'!$B:$B,A528,'Issuance Log'!$G:$G,$B$4),0)</f>
        <v>0</v>
      </c>
      <c r="E528" s="5" t="str">
        <f ca="1">IFERROR(INDEX('Issuance Log'!$E:$E,MATCH(MAXIFS('Issuance Log'!$D:$D,'Issuance Log'!$B:$B,A528,'Issuance Log'!$G:$G,$B$4),IF(('Issuance Log'!$B:$B=A528)*('Issuance Log'!$G:$G=$B$4),'Issuance Log'!$D:$D),0)),"-")</f>
        <v>-</v>
      </c>
    </row>
    <row r="529" spans="1:5" x14ac:dyDescent="0.25">
      <c r="A529" s="2" t="s">
        <v>1034</v>
      </c>
      <c r="B529" s="2" t="s">
        <v>1035</v>
      </c>
      <c r="C529" s="3">
        <f>IFERROR(SUMIFS('Issuance Log'!$D:$D,'Issuance Log'!$B:$B,A529,'Issuance Log'!$G:$G,$B$4),0)</f>
        <v>0</v>
      </c>
      <c r="D529" s="3">
        <f>IFERROR(COUNTIFS('Issuance Log'!$B:$B,A529,'Issuance Log'!$G:$G,$B$4),0)</f>
        <v>0</v>
      </c>
      <c r="E529" s="3" t="str">
        <f ca="1">IFERROR(INDEX('Issuance Log'!$E:$E,MATCH(MAXIFS('Issuance Log'!$D:$D,'Issuance Log'!$B:$B,A529,'Issuance Log'!$G:$G,$B$4),IF(('Issuance Log'!$B:$B=A529)*('Issuance Log'!$G:$G=$B$4),'Issuance Log'!$D:$D),0)),"-")</f>
        <v>-</v>
      </c>
    </row>
    <row r="530" spans="1:5" x14ac:dyDescent="0.25">
      <c r="A530" s="4" t="s">
        <v>1036</v>
      </c>
      <c r="B530" s="4" t="s">
        <v>1037</v>
      </c>
      <c r="C530" s="5">
        <f>IFERROR(SUMIFS('Issuance Log'!$D:$D,'Issuance Log'!$B:$B,A530,'Issuance Log'!$G:$G,$B$4),0)</f>
        <v>0</v>
      </c>
      <c r="D530" s="5">
        <f>IFERROR(COUNTIFS('Issuance Log'!$B:$B,A530,'Issuance Log'!$G:$G,$B$4),0)</f>
        <v>0</v>
      </c>
      <c r="E530" s="5" t="str">
        <f ca="1">IFERROR(INDEX('Issuance Log'!$E:$E,MATCH(MAXIFS('Issuance Log'!$D:$D,'Issuance Log'!$B:$B,A530,'Issuance Log'!$G:$G,$B$4),IF(('Issuance Log'!$B:$B=A530)*('Issuance Log'!$G:$G=$B$4),'Issuance Log'!$D:$D),0)),"-")</f>
        <v>-</v>
      </c>
    </row>
    <row r="531" spans="1:5" x14ac:dyDescent="0.25">
      <c r="A531" s="2" t="s">
        <v>1038</v>
      </c>
      <c r="B531" s="2" t="s">
        <v>1039</v>
      </c>
      <c r="C531" s="3">
        <f>IFERROR(SUMIFS('Issuance Log'!$D:$D,'Issuance Log'!$B:$B,A531,'Issuance Log'!$G:$G,$B$4),0)</f>
        <v>0</v>
      </c>
      <c r="D531" s="3">
        <f>IFERROR(COUNTIFS('Issuance Log'!$B:$B,A531,'Issuance Log'!$G:$G,$B$4),0)</f>
        <v>0</v>
      </c>
      <c r="E531" s="3" t="str">
        <f ca="1">IFERROR(INDEX('Issuance Log'!$E:$E,MATCH(MAXIFS('Issuance Log'!$D:$D,'Issuance Log'!$B:$B,A531,'Issuance Log'!$G:$G,$B$4),IF(('Issuance Log'!$B:$B=A531)*('Issuance Log'!$G:$G=$B$4),'Issuance Log'!$D:$D),0)),"-")</f>
        <v>-</v>
      </c>
    </row>
    <row r="532" spans="1:5" x14ac:dyDescent="0.25">
      <c r="A532" s="4" t="s">
        <v>1040</v>
      </c>
      <c r="B532" s="4" t="s">
        <v>1041</v>
      </c>
      <c r="C532" s="5">
        <f>IFERROR(SUMIFS('Issuance Log'!$D:$D,'Issuance Log'!$B:$B,A532,'Issuance Log'!$G:$G,$B$4),0)</f>
        <v>0</v>
      </c>
      <c r="D532" s="5">
        <f>IFERROR(COUNTIFS('Issuance Log'!$B:$B,A532,'Issuance Log'!$G:$G,$B$4),0)</f>
        <v>0</v>
      </c>
      <c r="E532" s="5" t="str">
        <f ca="1">IFERROR(INDEX('Issuance Log'!$E:$E,MATCH(MAXIFS('Issuance Log'!$D:$D,'Issuance Log'!$B:$B,A532,'Issuance Log'!$G:$G,$B$4),IF(('Issuance Log'!$B:$B=A532)*('Issuance Log'!$G:$G=$B$4),'Issuance Log'!$D:$D),0)),"-")</f>
        <v>-</v>
      </c>
    </row>
    <row r="533" spans="1:5" x14ac:dyDescent="0.25">
      <c r="A533" s="2" t="s">
        <v>1042</v>
      </c>
      <c r="B533" s="2" t="s">
        <v>1043</v>
      </c>
      <c r="C533" s="3">
        <f>IFERROR(SUMIFS('Issuance Log'!$D:$D,'Issuance Log'!$B:$B,A533,'Issuance Log'!$G:$G,$B$4),0)</f>
        <v>0</v>
      </c>
      <c r="D533" s="3">
        <f>IFERROR(COUNTIFS('Issuance Log'!$B:$B,A533,'Issuance Log'!$G:$G,$B$4),0)</f>
        <v>0</v>
      </c>
      <c r="E533" s="3" t="str">
        <f ca="1">IFERROR(INDEX('Issuance Log'!$E:$E,MATCH(MAXIFS('Issuance Log'!$D:$D,'Issuance Log'!$B:$B,A533,'Issuance Log'!$G:$G,$B$4),IF(('Issuance Log'!$B:$B=A533)*('Issuance Log'!$G:$G=$B$4),'Issuance Log'!$D:$D),0)),"-")</f>
        <v>-</v>
      </c>
    </row>
    <row r="534" spans="1:5" x14ac:dyDescent="0.25">
      <c r="A534" s="4" t="s">
        <v>1044</v>
      </c>
      <c r="B534" s="4" t="s">
        <v>1045</v>
      </c>
      <c r="C534" s="5">
        <f>IFERROR(SUMIFS('Issuance Log'!$D:$D,'Issuance Log'!$B:$B,A534,'Issuance Log'!$G:$G,$B$4),0)</f>
        <v>0</v>
      </c>
      <c r="D534" s="5">
        <f>IFERROR(COUNTIFS('Issuance Log'!$B:$B,A534,'Issuance Log'!$G:$G,$B$4),0)</f>
        <v>0</v>
      </c>
      <c r="E534" s="5" t="str">
        <f ca="1">IFERROR(INDEX('Issuance Log'!$E:$E,MATCH(MAXIFS('Issuance Log'!$D:$D,'Issuance Log'!$B:$B,A534,'Issuance Log'!$G:$G,$B$4),IF(('Issuance Log'!$B:$B=A534)*('Issuance Log'!$G:$G=$B$4),'Issuance Log'!$D:$D),0)),"-")</f>
        <v>-</v>
      </c>
    </row>
    <row r="535" spans="1:5" x14ac:dyDescent="0.25">
      <c r="A535" s="2" t="s">
        <v>1046</v>
      </c>
      <c r="B535" s="2" t="s">
        <v>1047</v>
      </c>
      <c r="C535" s="3">
        <f>IFERROR(SUMIFS('Issuance Log'!$D:$D,'Issuance Log'!$B:$B,A535,'Issuance Log'!$G:$G,$B$4),0)</f>
        <v>0</v>
      </c>
      <c r="D535" s="3">
        <f>IFERROR(COUNTIFS('Issuance Log'!$B:$B,A535,'Issuance Log'!$G:$G,$B$4),0)</f>
        <v>0</v>
      </c>
      <c r="E535" s="3" t="str">
        <f ca="1">IFERROR(INDEX('Issuance Log'!$E:$E,MATCH(MAXIFS('Issuance Log'!$D:$D,'Issuance Log'!$B:$B,A535,'Issuance Log'!$G:$G,$B$4),IF(('Issuance Log'!$B:$B=A535)*('Issuance Log'!$G:$G=$B$4),'Issuance Log'!$D:$D),0)),"-")</f>
        <v>-</v>
      </c>
    </row>
    <row r="536" spans="1:5" x14ac:dyDescent="0.25">
      <c r="A536" s="4" t="s">
        <v>1048</v>
      </c>
      <c r="B536" s="4" t="s">
        <v>1049</v>
      </c>
      <c r="C536" s="5">
        <f>IFERROR(SUMIFS('Issuance Log'!$D:$D,'Issuance Log'!$B:$B,A536,'Issuance Log'!$G:$G,$B$4),0)</f>
        <v>0</v>
      </c>
      <c r="D536" s="5">
        <f>IFERROR(COUNTIFS('Issuance Log'!$B:$B,A536,'Issuance Log'!$G:$G,$B$4),0)</f>
        <v>0</v>
      </c>
      <c r="E536" s="5" t="str">
        <f ca="1">IFERROR(INDEX('Issuance Log'!$E:$E,MATCH(MAXIFS('Issuance Log'!$D:$D,'Issuance Log'!$B:$B,A536,'Issuance Log'!$G:$G,$B$4),IF(('Issuance Log'!$B:$B=A536)*('Issuance Log'!$G:$G=$B$4),'Issuance Log'!$D:$D),0)),"-")</f>
        <v>-</v>
      </c>
    </row>
    <row r="537" spans="1:5" x14ac:dyDescent="0.25">
      <c r="A537" s="2" t="s">
        <v>1050</v>
      </c>
      <c r="B537" s="2" t="s">
        <v>1051</v>
      </c>
      <c r="C537" s="3">
        <f>IFERROR(SUMIFS('Issuance Log'!$D:$D,'Issuance Log'!$B:$B,A537,'Issuance Log'!$G:$G,$B$4),0)</f>
        <v>0</v>
      </c>
      <c r="D537" s="3">
        <f>IFERROR(COUNTIFS('Issuance Log'!$B:$B,A537,'Issuance Log'!$G:$G,$B$4),0)</f>
        <v>0</v>
      </c>
      <c r="E537" s="3" t="str">
        <f ca="1">IFERROR(INDEX('Issuance Log'!$E:$E,MATCH(MAXIFS('Issuance Log'!$D:$D,'Issuance Log'!$B:$B,A537,'Issuance Log'!$G:$G,$B$4),IF(('Issuance Log'!$B:$B=A537)*('Issuance Log'!$G:$G=$B$4),'Issuance Log'!$D:$D),0)),"-")</f>
        <v>-</v>
      </c>
    </row>
    <row r="538" spans="1:5" x14ac:dyDescent="0.25">
      <c r="A538" s="4" t="s">
        <v>1052</v>
      </c>
      <c r="B538" s="4" t="s">
        <v>1053</v>
      </c>
      <c r="C538" s="5">
        <f>IFERROR(SUMIFS('Issuance Log'!$D:$D,'Issuance Log'!$B:$B,A538,'Issuance Log'!$G:$G,$B$4),0)</f>
        <v>0</v>
      </c>
      <c r="D538" s="5">
        <f>IFERROR(COUNTIFS('Issuance Log'!$B:$B,A538,'Issuance Log'!$G:$G,$B$4),0)</f>
        <v>0</v>
      </c>
      <c r="E538" s="5" t="str">
        <f ca="1">IFERROR(INDEX('Issuance Log'!$E:$E,MATCH(MAXIFS('Issuance Log'!$D:$D,'Issuance Log'!$B:$B,A538,'Issuance Log'!$G:$G,$B$4),IF(('Issuance Log'!$B:$B=A538)*('Issuance Log'!$G:$G=$B$4),'Issuance Log'!$D:$D),0)),"-")</f>
        <v>-</v>
      </c>
    </row>
    <row r="539" spans="1:5" x14ac:dyDescent="0.25">
      <c r="A539" s="2" t="s">
        <v>1054</v>
      </c>
      <c r="B539" s="2" t="s">
        <v>1055</v>
      </c>
      <c r="C539" s="3">
        <f>IFERROR(SUMIFS('Issuance Log'!$D:$D,'Issuance Log'!$B:$B,A539,'Issuance Log'!$G:$G,$B$4),0)</f>
        <v>0</v>
      </c>
      <c r="D539" s="3">
        <f>IFERROR(COUNTIFS('Issuance Log'!$B:$B,A539,'Issuance Log'!$G:$G,$B$4),0)</f>
        <v>0</v>
      </c>
      <c r="E539" s="3" t="str">
        <f ca="1">IFERROR(INDEX('Issuance Log'!$E:$E,MATCH(MAXIFS('Issuance Log'!$D:$D,'Issuance Log'!$B:$B,A539,'Issuance Log'!$G:$G,$B$4),IF(('Issuance Log'!$B:$B=A539)*('Issuance Log'!$G:$G=$B$4),'Issuance Log'!$D:$D),0)),"-")</f>
        <v>-</v>
      </c>
    </row>
    <row r="540" spans="1:5" x14ac:dyDescent="0.25">
      <c r="A540" s="4" t="s">
        <v>1056</v>
      </c>
      <c r="B540" s="4" t="s">
        <v>1057</v>
      </c>
      <c r="C540" s="5">
        <f>IFERROR(SUMIFS('Issuance Log'!$D:$D,'Issuance Log'!$B:$B,A540,'Issuance Log'!$G:$G,$B$4),0)</f>
        <v>0</v>
      </c>
      <c r="D540" s="5">
        <f>IFERROR(COUNTIFS('Issuance Log'!$B:$B,A540,'Issuance Log'!$G:$G,$B$4),0)</f>
        <v>0</v>
      </c>
      <c r="E540" s="5" t="str">
        <f ca="1">IFERROR(INDEX('Issuance Log'!$E:$E,MATCH(MAXIFS('Issuance Log'!$D:$D,'Issuance Log'!$B:$B,A540,'Issuance Log'!$G:$G,$B$4),IF(('Issuance Log'!$B:$B=A540)*('Issuance Log'!$G:$G=$B$4),'Issuance Log'!$D:$D),0)),"-")</f>
        <v>-</v>
      </c>
    </row>
    <row r="541" spans="1:5" x14ac:dyDescent="0.25">
      <c r="A541" s="2" t="s">
        <v>1058</v>
      </c>
      <c r="B541" s="2" t="s">
        <v>1059</v>
      </c>
      <c r="C541" s="3">
        <f>IFERROR(SUMIFS('Issuance Log'!$D:$D,'Issuance Log'!$B:$B,A541,'Issuance Log'!$G:$G,$B$4),0)</f>
        <v>0</v>
      </c>
      <c r="D541" s="3">
        <f>IFERROR(COUNTIFS('Issuance Log'!$B:$B,A541,'Issuance Log'!$G:$G,$B$4),0)</f>
        <v>0</v>
      </c>
      <c r="E541" s="3" t="str">
        <f ca="1">IFERROR(INDEX('Issuance Log'!$E:$E,MATCH(MAXIFS('Issuance Log'!$D:$D,'Issuance Log'!$B:$B,A541,'Issuance Log'!$G:$G,$B$4),IF(('Issuance Log'!$B:$B=A541)*('Issuance Log'!$G:$G=$B$4),'Issuance Log'!$D:$D),0)),"-")</f>
        <v>-</v>
      </c>
    </row>
    <row r="542" spans="1:5" x14ac:dyDescent="0.25">
      <c r="A542" s="4" t="s">
        <v>1060</v>
      </c>
      <c r="B542" s="4" t="s">
        <v>1061</v>
      </c>
      <c r="C542" s="5">
        <f>IFERROR(SUMIFS('Issuance Log'!$D:$D,'Issuance Log'!$B:$B,A542,'Issuance Log'!$G:$G,$B$4),0)</f>
        <v>0</v>
      </c>
      <c r="D542" s="5">
        <f>IFERROR(COUNTIFS('Issuance Log'!$B:$B,A542,'Issuance Log'!$G:$G,$B$4),0)</f>
        <v>0</v>
      </c>
      <c r="E542" s="5" t="str">
        <f ca="1">IFERROR(INDEX('Issuance Log'!$E:$E,MATCH(MAXIFS('Issuance Log'!$D:$D,'Issuance Log'!$B:$B,A542,'Issuance Log'!$G:$G,$B$4),IF(('Issuance Log'!$B:$B=A542)*('Issuance Log'!$G:$G=$B$4),'Issuance Log'!$D:$D),0)),"-")</f>
        <v>-</v>
      </c>
    </row>
    <row r="543" spans="1:5" x14ac:dyDescent="0.25">
      <c r="A543" s="2" t="s">
        <v>1062</v>
      </c>
      <c r="B543" s="2" t="s">
        <v>1063</v>
      </c>
      <c r="C543" s="3">
        <f>IFERROR(SUMIFS('Issuance Log'!$D:$D,'Issuance Log'!$B:$B,A543,'Issuance Log'!$G:$G,$B$4),0)</f>
        <v>0</v>
      </c>
      <c r="D543" s="3">
        <f>IFERROR(COUNTIFS('Issuance Log'!$B:$B,A543,'Issuance Log'!$G:$G,$B$4),0)</f>
        <v>0</v>
      </c>
      <c r="E543" s="3" t="str">
        <f ca="1">IFERROR(INDEX('Issuance Log'!$E:$E,MATCH(MAXIFS('Issuance Log'!$D:$D,'Issuance Log'!$B:$B,A543,'Issuance Log'!$G:$G,$B$4),IF(('Issuance Log'!$B:$B=A543)*('Issuance Log'!$G:$G=$B$4),'Issuance Log'!$D:$D),0)),"-")</f>
        <v>-</v>
      </c>
    </row>
    <row r="544" spans="1:5" x14ac:dyDescent="0.25">
      <c r="A544" s="4" t="s">
        <v>1064</v>
      </c>
      <c r="B544" s="4" t="s">
        <v>1065</v>
      </c>
      <c r="C544" s="5">
        <f>IFERROR(SUMIFS('Issuance Log'!$D:$D,'Issuance Log'!$B:$B,A544,'Issuance Log'!$G:$G,$B$4),0)</f>
        <v>0</v>
      </c>
      <c r="D544" s="5">
        <f>IFERROR(COUNTIFS('Issuance Log'!$B:$B,A544,'Issuance Log'!$G:$G,$B$4),0)</f>
        <v>0</v>
      </c>
      <c r="E544" s="5" t="str">
        <f ca="1">IFERROR(INDEX('Issuance Log'!$E:$E,MATCH(MAXIFS('Issuance Log'!$D:$D,'Issuance Log'!$B:$B,A544,'Issuance Log'!$G:$G,$B$4),IF(('Issuance Log'!$B:$B=A544)*('Issuance Log'!$G:$G=$B$4),'Issuance Log'!$D:$D),0)),"-")</f>
        <v>-</v>
      </c>
    </row>
    <row r="545" spans="1:5" x14ac:dyDescent="0.25">
      <c r="A545" s="2" t="s">
        <v>1066</v>
      </c>
      <c r="B545" s="2" t="s">
        <v>1067</v>
      </c>
      <c r="C545" s="3">
        <f>IFERROR(SUMIFS('Issuance Log'!$D:$D,'Issuance Log'!$B:$B,A545,'Issuance Log'!$G:$G,$B$4),0)</f>
        <v>0</v>
      </c>
      <c r="D545" s="3">
        <f>IFERROR(COUNTIFS('Issuance Log'!$B:$B,A545,'Issuance Log'!$G:$G,$B$4),0)</f>
        <v>0</v>
      </c>
      <c r="E545" s="3" t="str">
        <f ca="1">IFERROR(INDEX('Issuance Log'!$E:$E,MATCH(MAXIFS('Issuance Log'!$D:$D,'Issuance Log'!$B:$B,A545,'Issuance Log'!$G:$G,$B$4),IF(('Issuance Log'!$B:$B=A545)*('Issuance Log'!$G:$G=$B$4),'Issuance Log'!$D:$D),0)),"-")</f>
        <v>-</v>
      </c>
    </row>
    <row r="546" spans="1:5" x14ac:dyDescent="0.25">
      <c r="A546" s="4" t="s">
        <v>1068</v>
      </c>
      <c r="B546" s="4" t="s">
        <v>1069</v>
      </c>
      <c r="C546" s="5">
        <f>IFERROR(SUMIFS('Issuance Log'!$D:$D,'Issuance Log'!$B:$B,A546,'Issuance Log'!$G:$G,$B$4),0)</f>
        <v>0</v>
      </c>
      <c r="D546" s="5">
        <f>IFERROR(COUNTIFS('Issuance Log'!$B:$B,A546,'Issuance Log'!$G:$G,$B$4),0)</f>
        <v>0</v>
      </c>
      <c r="E546" s="5" t="str">
        <f ca="1">IFERROR(INDEX('Issuance Log'!$E:$E,MATCH(MAXIFS('Issuance Log'!$D:$D,'Issuance Log'!$B:$B,A546,'Issuance Log'!$G:$G,$B$4),IF(('Issuance Log'!$B:$B=A546)*('Issuance Log'!$G:$G=$B$4),'Issuance Log'!$D:$D),0)),"-")</f>
        <v>-</v>
      </c>
    </row>
    <row r="547" spans="1:5" x14ac:dyDescent="0.25">
      <c r="A547" s="2" t="s">
        <v>1070</v>
      </c>
      <c r="B547" s="2" t="s">
        <v>1071</v>
      </c>
      <c r="C547" s="3">
        <f>IFERROR(SUMIFS('Issuance Log'!$D:$D,'Issuance Log'!$B:$B,A547,'Issuance Log'!$G:$G,$B$4),0)</f>
        <v>0</v>
      </c>
      <c r="D547" s="3">
        <f>IFERROR(COUNTIFS('Issuance Log'!$B:$B,A547,'Issuance Log'!$G:$G,$B$4),0)</f>
        <v>0</v>
      </c>
      <c r="E547" s="3" t="str">
        <f ca="1">IFERROR(INDEX('Issuance Log'!$E:$E,MATCH(MAXIFS('Issuance Log'!$D:$D,'Issuance Log'!$B:$B,A547,'Issuance Log'!$G:$G,$B$4),IF(('Issuance Log'!$B:$B=A547)*('Issuance Log'!$G:$G=$B$4),'Issuance Log'!$D:$D),0)),"-")</f>
        <v>-</v>
      </c>
    </row>
    <row r="548" spans="1:5" x14ac:dyDescent="0.25">
      <c r="A548" s="4" t="s">
        <v>1072</v>
      </c>
      <c r="B548" s="4" t="s">
        <v>1073</v>
      </c>
      <c r="C548" s="5">
        <f>IFERROR(SUMIFS('Issuance Log'!$D:$D,'Issuance Log'!$B:$B,A548,'Issuance Log'!$G:$G,$B$4),0)</f>
        <v>0</v>
      </c>
      <c r="D548" s="5">
        <f>IFERROR(COUNTIFS('Issuance Log'!$B:$B,A548,'Issuance Log'!$G:$G,$B$4),0)</f>
        <v>0</v>
      </c>
      <c r="E548" s="5" t="str">
        <f ca="1">IFERROR(INDEX('Issuance Log'!$E:$E,MATCH(MAXIFS('Issuance Log'!$D:$D,'Issuance Log'!$B:$B,A548,'Issuance Log'!$G:$G,$B$4),IF(('Issuance Log'!$B:$B=A548)*('Issuance Log'!$G:$G=$B$4),'Issuance Log'!$D:$D),0)),"-")</f>
        <v>-</v>
      </c>
    </row>
    <row r="549" spans="1:5" x14ac:dyDescent="0.25">
      <c r="A549" s="2" t="s">
        <v>1074</v>
      </c>
      <c r="B549" s="2" t="s">
        <v>1075</v>
      </c>
      <c r="C549" s="3">
        <f>IFERROR(SUMIFS('Issuance Log'!$D:$D,'Issuance Log'!$B:$B,A549,'Issuance Log'!$G:$G,$B$4),0)</f>
        <v>0</v>
      </c>
      <c r="D549" s="3">
        <f>IFERROR(COUNTIFS('Issuance Log'!$B:$B,A549,'Issuance Log'!$G:$G,$B$4),0)</f>
        <v>0</v>
      </c>
      <c r="E549" s="3" t="str">
        <f ca="1">IFERROR(INDEX('Issuance Log'!$E:$E,MATCH(MAXIFS('Issuance Log'!$D:$D,'Issuance Log'!$B:$B,A549,'Issuance Log'!$G:$G,$B$4),IF(('Issuance Log'!$B:$B=A549)*('Issuance Log'!$G:$G=$B$4),'Issuance Log'!$D:$D),0)),"-")</f>
        <v>-</v>
      </c>
    </row>
    <row r="550" spans="1:5" x14ac:dyDescent="0.25">
      <c r="A550" s="4" t="s">
        <v>1076</v>
      </c>
      <c r="B550" s="4" t="s">
        <v>1077</v>
      </c>
      <c r="C550" s="5">
        <f>IFERROR(SUMIFS('Issuance Log'!$D:$D,'Issuance Log'!$B:$B,A550,'Issuance Log'!$G:$G,$B$4),0)</f>
        <v>0</v>
      </c>
      <c r="D550" s="5">
        <f>IFERROR(COUNTIFS('Issuance Log'!$B:$B,A550,'Issuance Log'!$G:$G,$B$4),0)</f>
        <v>0</v>
      </c>
      <c r="E550" s="5" t="str">
        <f ca="1">IFERROR(INDEX('Issuance Log'!$E:$E,MATCH(MAXIFS('Issuance Log'!$D:$D,'Issuance Log'!$B:$B,A550,'Issuance Log'!$G:$G,$B$4),IF(('Issuance Log'!$B:$B=A550)*('Issuance Log'!$G:$G=$B$4),'Issuance Log'!$D:$D),0)),"-")</f>
        <v>-</v>
      </c>
    </row>
    <row r="551" spans="1:5" x14ac:dyDescent="0.25">
      <c r="A551" s="2" t="s">
        <v>1078</v>
      </c>
      <c r="B551" s="2" t="s">
        <v>1079</v>
      </c>
      <c r="C551" s="3">
        <f>IFERROR(SUMIFS('Issuance Log'!$D:$D,'Issuance Log'!$B:$B,A551,'Issuance Log'!$G:$G,$B$4),0)</f>
        <v>0</v>
      </c>
      <c r="D551" s="3">
        <f>IFERROR(COUNTIFS('Issuance Log'!$B:$B,A551,'Issuance Log'!$G:$G,$B$4),0)</f>
        <v>0</v>
      </c>
      <c r="E551" s="3" t="str">
        <f ca="1">IFERROR(INDEX('Issuance Log'!$E:$E,MATCH(MAXIFS('Issuance Log'!$D:$D,'Issuance Log'!$B:$B,A551,'Issuance Log'!$G:$G,$B$4),IF(('Issuance Log'!$B:$B=A551)*('Issuance Log'!$G:$G=$B$4),'Issuance Log'!$D:$D),0)),"-")</f>
        <v>-</v>
      </c>
    </row>
    <row r="552" spans="1:5" x14ac:dyDescent="0.25">
      <c r="A552" s="4" t="s">
        <v>1080</v>
      </c>
      <c r="B552" s="4" t="s">
        <v>1081</v>
      </c>
      <c r="C552" s="5">
        <f>IFERROR(SUMIFS('Issuance Log'!$D:$D,'Issuance Log'!$B:$B,A552,'Issuance Log'!$G:$G,$B$4),0)</f>
        <v>0</v>
      </c>
      <c r="D552" s="5">
        <f>IFERROR(COUNTIFS('Issuance Log'!$B:$B,A552,'Issuance Log'!$G:$G,$B$4),0)</f>
        <v>0</v>
      </c>
      <c r="E552" s="5" t="str">
        <f ca="1">IFERROR(INDEX('Issuance Log'!$E:$E,MATCH(MAXIFS('Issuance Log'!$D:$D,'Issuance Log'!$B:$B,A552,'Issuance Log'!$G:$G,$B$4),IF(('Issuance Log'!$B:$B=A552)*('Issuance Log'!$G:$G=$B$4),'Issuance Log'!$D:$D),0)),"-")</f>
        <v>-</v>
      </c>
    </row>
    <row r="553" spans="1:5" x14ac:dyDescent="0.25">
      <c r="A553" s="2" t="s">
        <v>1082</v>
      </c>
      <c r="B553" s="2" t="s">
        <v>1083</v>
      </c>
      <c r="C553" s="3">
        <f>IFERROR(SUMIFS('Issuance Log'!$D:$D,'Issuance Log'!$B:$B,A553,'Issuance Log'!$G:$G,$B$4),0)</f>
        <v>0</v>
      </c>
      <c r="D553" s="3">
        <f>IFERROR(COUNTIFS('Issuance Log'!$B:$B,A553,'Issuance Log'!$G:$G,$B$4),0)</f>
        <v>0</v>
      </c>
      <c r="E553" s="3" t="str">
        <f ca="1">IFERROR(INDEX('Issuance Log'!$E:$E,MATCH(MAXIFS('Issuance Log'!$D:$D,'Issuance Log'!$B:$B,A553,'Issuance Log'!$G:$G,$B$4),IF(('Issuance Log'!$B:$B=A553)*('Issuance Log'!$G:$G=$B$4),'Issuance Log'!$D:$D),0)),"-")</f>
        <v>-</v>
      </c>
    </row>
    <row r="554" spans="1:5" x14ac:dyDescent="0.25">
      <c r="A554" s="4" t="s">
        <v>1084</v>
      </c>
      <c r="B554" s="4" t="s">
        <v>1085</v>
      </c>
      <c r="C554" s="5">
        <f>IFERROR(SUMIFS('Issuance Log'!$D:$D,'Issuance Log'!$B:$B,A554,'Issuance Log'!$G:$G,$B$4),0)</f>
        <v>0</v>
      </c>
      <c r="D554" s="5">
        <f>IFERROR(COUNTIFS('Issuance Log'!$B:$B,A554,'Issuance Log'!$G:$G,$B$4),0)</f>
        <v>0</v>
      </c>
      <c r="E554" s="5" t="str">
        <f ca="1">IFERROR(INDEX('Issuance Log'!$E:$E,MATCH(MAXIFS('Issuance Log'!$D:$D,'Issuance Log'!$B:$B,A554,'Issuance Log'!$G:$G,$B$4),IF(('Issuance Log'!$B:$B=A554)*('Issuance Log'!$G:$G=$B$4),'Issuance Log'!$D:$D),0)),"-")</f>
        <v>-</v>
      </c>
    </row>
    <row r="555" spans="1:5" x14ac:dyDescent="0.25">
      <c r="A555" s="2" t="s">
        <v>1086</v>
      </c>
      <c r="B555" s="2" t="s">
        <v>1087</v>
      </c>
      <c r="C555" s="3">
        <f>IFERROR(SUMIFS('Issuance Log'!$D:$D,'Issuance Log'!$B:$B,A555,'Issuance Log'!$G:$G,$B$4),0)</f>
        <v>0</v>
      </c>
      <c r="D555" s="3">
        <f>IFERROR(COUNTIFS('Issuance Log'!$B:$B,A555,'Issuance Log'!$G:$G,$B$4),0)</f>
        <v>0</v>
      </c>
      <c r="E555" s="3" t="str">
        <f ca="1">IFERROR(INDEX('Issuance Log'!$E:$E,MATCH(MAXIFS('Issuance Log'!$D:$D,'Issuance Log'!$B:$B,A555,'Issuance Log'!$G:$G,$B$4),IF(('Issuance Log'!$B:$B=A555)*('Issuance Log'!$G:$G=$B$4),'Issuance Log'!$D:$D),0)),"-")</f>
        <v>-</v>
      </c>
    </row>
    <row r="556" spans="1:5" x14ac:dyDescent="0.25">
      <c r="A556" s="4" t="s">
        <v>1088</v>
      </c>
      <c r="B556" s="4" t="s">
        <v>1089</v>
      </c>
      <c r="C556" s="5">
        <f>IFERROR(SUMIFS('Issuance Log'!$D:$D,'Issuance Log'!$B:$B,A556,'Issuance Log'!$G:$G,$B$4),0)</f>
        <v>0</v>
      </c>
      <c r="D556" s="5">
        <f>IFERROR(COUNTIFS('Issuance Log'!$B:$B,A556,'Issuance Log'!$G:$G,$B$4),0)</f>
        <v>0</v>
      </c>
      <c r="E556" s="5" t="str">
        <f ca="1">IFERROR(INDEX('Issuance Log'!$E:$E,MATCH(MAXIFS('Issuance Log'!$D:$D,'Issuance Log'!$B:$B,A556,'Issuance Log'!$G:$G,$B$4),IF(('Issuance Log'!$B:$B=A556)*('Issuance Log'!$G:$G=$B$4),'Issuance Log'!$D:$D),0)),"-")</f>
        <v>-</v>
      </c>
    </row>
    <row r="557" spans="1:5" x14ac:dyDescent="0.25">
      <c r="A557" s="2" t="s">
        <v>1090</v>
      </c>
      <c r="B557" s="2" t="s">
        <v>1091</v>
      </c>
      <c r="C557" s="3">
        <f>IFERROR(SUMIFS('Issuance Log'!$D:$D,'Issuance Log'!$B:$B,A557,'Issuance Log'!$G:$G,$B$4),0)</f>
        <v>0</v>
      </c>
      <c r="D557" s="3">
        <f>IFERROR(COUNTIFS('Issuance Log'!$B:$B,A557,'Issuance Log'!$G:$G,$B$4),0)</f>
        <v>0</v>
      </c>
      <c r="E557" s="3" t="str">
        <f ca="1">IFERROR(INDEX('Issuance Log'!$E:$E,MATCH(MAXIFS('Issuance Log'!$D:$D,'Issuance Log'!$B:$B,A557,'Issuance Log'!$G:$G,$B$4),IF(('Issuance Log'!$B:$B=A557)*('Issuance Log'!$G:$G=$B$4),'Issuance Log'!$D:$D),0)),"-")</f>
        <v>-</v>
      </c>
    </row>
    <row r="558" spans="1:5" x14ac:dyDescent="0.25">
      <c r="A558" s="4" t="s">
        <v>1092</v>
      </c>
      <c r="B558" s="4" t="s">
        <v>1093</v>
      </c>
      <c r="C558" s="5">
        <f>IFERROR(SUMIFS('Issuance Log'!$D:$D,'Issuance Log'!$B:$B,A558,'Issuance Log'!$G:$G,$B$4),0)</f>
        <v>0</v>
      </c>
      <c r="D558" s="5">
        <f>IFERROR(COUNTIFS('Issuance Log'!$B:$B,A558,'Issuance Log'!$G:$G,$B$4),0)</f>
        <v>0</v>
      </c>
      <c r="E558" s="5" t="str">
        <f ca="1">IFERROR(INDEX('Issuance Log'!$E:$E,MATCH(MAXIFS('Issuance Log'!$D:$D,'Issuance Log'!$B:$B,A558,'Issuance Log'!$G:$G,$B$4),IF(('Issuance Log'!$B:$B=A558)*('Issuance Log'!$G:$G=$B$4),'Issuance Log'!$D:$D),0)),"-")</f>
        <v>-</v>
      </c>
    </row>
    <row r="559" spans="1:5" x14ac:dyDescent="0.25">
      <c r="A559" s="2" t="s">
        <v>1094</v>
      </c>
      <c r="B559" s="2" t="s">
        <v>1095</v>
      </c>
      <c r="C559" s="3">
        <f>IFERROR(SUMIFS('Issuance Log'!$D:$D,'Issuance Log'!$B:$B,A559,'Issuance Log'!$G:$G,$B$4),0)</f>
        <v>0</v>
      </c>
      <c r="D559" s="3">
        <f>IFERROR(COUNTIFS('Issuance Log'!$B:$B,A559,'Issuance Log'!$G:$G,$B$4),0)</f>
        <v>0</v>
      </c>
      <c r="E559" s="3" t="str">
        <f ca="1">IFERROR(INDEX('Issuance Log'!$E:$E,MATCH(MAXIFS('Issuance Log'!$D:$D,'Issuance Log'!$B:$B,A559,'Issuance Log'!$G:$G,$B$4),IF(('Issuance Log'!$B:$B=A559)*('Issuance Log'!$G:$G=$B$4),'Issuance Log'!$D:$D),0)),"-")</f>
        <v>-</v>
      </c>
    </row>
    <row r="560" spans="1:5" x14ac:dyDescent="0.25">
      <c r="A560" s="4" t="s">
        <v>1096</v>
      </c>
      <c r="B560" s="4" t="s">
        <v>1097</v>
      </c>
      <c r="C560" s="5">
        <f>IFERROR(SUMIFS('Issuance Log'!$D:$D,'Issuance Log'!$B:$B,A560,'Issuance Log'!$G:$G,$B$4),0)</f>
        <v>0</v>
      </c>
      <c r="D560" s="5">
        <f>IFERROR(COUNTIFS('Issuance Log'!$B:$B,A560,'Issuance Log'!$G:$G,$B$4),0)</f>
        <v>0</v>
      </c>
      <c r="E560" s="5" t="str">
        <f ca="1">IFERROR(INDEX('Issuance Log'!$E:$E,MATCH(MAXIFS('Issuance Log'!$D:$D,'Issuance Log'!$B:$B,A560,'Issuance Log'!$G:$G,$B$4),IF(('Issuance Log'!$B:$B=A560)*('Issuance Log'!$G:$G=$B$4),'Issuance Log'!$D:$D),0)),"-")</f>
        <v>-</v>
      </c>
    </row>
    <row r="561" spans="1:5" x14ac:dyDescent="0.25">
      <c r="A561" s="2" t="s">
        <v>1098</v>
      </c>
      <c r="B561" s="2" t="s">
        <v>1099</v>
      </c>
      <c r="C561" s="3">
        <f>IFERROR(SUMIFS('Issuance Log'!$D:$D,'Issuance Log'!$B:$B,A561,'Issuance Log'!$G:$G,$B$4),0)</f>
        <v>0</v>
      </c>
      <c r="D561" s="3">
        <f>IFERROR(COUNTIFS('Issuance Log'!$B:$B,A561,'Issuance Log'!$G:$G,$B$4),0)</f>
        <v>0</v>
      </c>
      <c r="E561" s="3" t="str">
        <f ca="1">IFERROR(INDEX('Issuance Log'!$E:$E,MATCH(MAXIFS('Issuance Log'!$D:$D,'Issuance Log'!$B:$B,A561,'Issuance Log'!$G:$G,$B$4),IF(('Issuance Log'!$B:$B=A561)*('Issuance Log'!$G:$G=$B$4),'Issuance Log'!$D:$D),0)),"-")</f>
        <v>-</v>
      </c>
    </row>
    <row r="562" spans="1:5" x14ac:dyDescent="0.25">
      <c r="A562" s="4" t="s">
        <v>1100</v>
      </c>
      <c r="B562" s="4" t="s">
        <v>1101</v>
      </c>
      <c r="C562" s="5">
        <f>IFERROR(SUMIFS('Issuance Log'!$D:$D,'Issuance Log'!$B:$B,A562,'Issuance Log'!$G:$G,$B$4),0)</f>
        <v>0</v>
      </c>
      <c r="D562" s="5">
        <f>IFERROR(COUNTIFS('Issuance Log'!$B:$B,A562,'Issuance Log'!$G:$G,$B$4),0)</f>
        <v>0</v>
      </c>
      <c r="E562" s="5" t="str">
        <f ca="1">IFERROR(INDEX('Issuance Log'!$E:$E,MATCH(MAXIFS('Issuance Log'!$D:$D,'Issuance Log'!$B:$B,A562,'Issuance Log'!$G:$G,$B$4),IF(('Issuance Log'!$B:$B=A562)*('Issuance Log'!$G:$G=$B$4),'Issuance Log'!$D:$D),0)),"-")</f>
        <v>-</v>
      </c>
    </row>
    <row r="563" spans="1:5" x14ac:dyDescent="0.25">
      <c r="A563" s="2" t="s">
        <v>1102</v>
      </c>
      <c r="B563" s="2" t="s">
        <v>1103</v>
      </c>
      <c r="C563" s="3">
        <f>IFERROR(SUMIFS('Issuance Log'!$D:$D,'Issuance Log'!$B:$B,A563,'Issuance Log'!$G:$G,$B$4),0)</f>
        <v>0</v>
      </c>
      <c r="D563" s="3">
        <f>IFERROR(COUNTIFS('Issuance Log'!$B:$B,A563,'Issuance Log'!$G:$G,$B$4),0)</f>
        <v>0</v>
      </c>
      <c r="E563" s="3" t="str">
        <f ca="1">IFERROR(INDEX('Issuance Log'!$E:$E,MATCH(MAXIFS('Issuance Log'!$D:$D,'Issuance Log'!$B:$B,A563,'Issuance Log'!$G:$G,$B$4),IF(('Issuance Log'!$B:$B=A563)*('Issuance Log'!$G:$G=$B$4),'Issuance Log'!$D:$D),0)),"-")</f>
        <v>-</v>
      </c>
    </row>
    <row r="564" spans="1:5" x14ac:dyDescent="0.25">
      <c r="A564" s="4" t="s">
        <v>1104</v>
      </c>
      <c r="B564" s="4" t="s">
        <v>1105</v>
      </c>
      <c r="C564" s="5">
        <f>IFERROR(SUMIFS('Issuance Log'!$D:$D,'Issuance Log'!$B:$B,A564,'Issuance Log'!$G:$G,$B$4),0)</f>
        <v>0</v>
      </c>
      <c r="D564" s="5">
        <f>IFERROR(COUNTIFS('Issuance Log'!$B:$B,A564,'Issuance Log'!$G:$G,$B$4),0)</f>
        <v>0</v>
      </c>
      <c r="E564" s="5" t="str">
        <f ca="1">IFERROR(INDEX('Issuance Log'!$E:$E,MATCH(MAXIFS('Issuance Log'!$D:$D,'Issuance Log'!$B:$B,A564,'Issuance Log'!$G:$G,$B$4),IF(('Issuance Log'!$B:$B=A564)*('Issuance Log'!$G:$G=$B$4),'Issuance Log'!$D:$D),0)),"-")</f>
        <v>-</v>
      </c>
    </row>
    <row r="565" spans="1:5" x14ac:dyDescent="0.25">
      <c r="A565" s="2" t="s">
        <v>1106</v>
      </c>
      <c r="B565" s="2" t="s">
        <v>1107</v>
      </c>
      <c r="C565" s="3">
        <f>IFERROR(SUMIFS('Issuance Log'!$D:$D,'Issuance Log'!$B:$B,A565,'Issuance Log'!$G:$G,$B$4),0)</f>
        <v>0</v>
      </c>
      <c r="D565" s="3">
        <f>IFERROR(COUNTIFS('Issuance Log'!$B:$B,A565,'Issuance Log'!$G:$G,$B$4),0)</f>
        <v>0</v>
      </c>
      <c r="E565" s="3" t="str">
        <f ca="1">IFERROR(INDEX('Issuance Log'!$E:$E,MATCH(MAXIFS('Issuance Log'!$D:$D,'Issuance Log'!$B:$B,A565,'Issuance Log'!$G:$G,$B$4),IF(('Issuance Log'!$B:$B=A565)*('Issuance Log'!$G:$G=$B$4),'Issuance Log'!$D:$D),0)),"-")</f>
        <v>-</v>
      </c>
    </row>
    <row r="566" spans="1:5" x14ac:dyDescent="0.25">
      <c r="A566" s="4" t="s">
        <v>1108</v>
      </c>
      <c r="B566" s="4" t="s">
        <v>1109</v>
      </c>
      <c r="C566" s="5">
        <f>IFERROR(SUMIFS('Issuance Log'!$D:$D,'Issuance Log'!$B:$B,A566,'Issuance Log'!$G:$G,$B$4),0)</f>
        <v>0</v>
      </c>
      <c r="D566" s="5">
        <f>IFERROR(COUNTIFS('Issuance Log'!$B:$B,A566,'Issuance Log'!$G:$G,$B$4),0)</f>
        <v>0</v>
      </c>
      <c r="E566" s="5" t="str">
        <f ca="1">IFERROR(INDEX('Issuance Log'!$E:$E,MATCH(MAXIFS('Issuance Log'!$D:$D,'Issuance Log'!$B:$B,A566,'Issuance Log'!$G:$G,$B$4),IF(('Issuance Log'!$B:$B=A566)*('Issuance Log'!$G:$G=$B$4),'Issuance Log'!$D:$D),0)),"-")</f>
        <v>-</v>
      </c>
    </row>
    <row r="567" spans="1:5" x14ac:dyDescent="0.25">
      <c r="A567" s="2" t="s">
        <v>1110</v>
      </c>
      <c r="B567" s="2" t="s">
        <v>1111</v>
      </c>
      <c r="C567" s="3">
        <f>IFERROR(SUMIFS('Issuance Log'!$D:$D,'Issuance Log'!$B:$B,A567,'Issuance Log'!$G:$G,$B$4),0)</f>
        <v>0</v>
      </c>
      <c r="D567" s="3">
        <f>IFERROR(COUNTIFS('Issuance Log'!$B:$B,A567,'Issuance Log'!$G:$G,$B$4),0)</f>
        <v>0</v>
      </c>
      <c r="E567" s="3" t="str">
        <f ca="1">IFERROR(INDEX('Issuance Log'!$E:$E,MATCH(MAXIFS('Issuance Log'!$D:$D,'Issuance Log'!$B:$B,A567,'Issuance Log'!$G:$G,$B$4),IF(('Issuance Log'!$B:$B=A567)*('Issuance Log'!$G:$G=$B$4),'Issuance Log'!$D:$D),0)),"-")</f>
        <v>-</v>
      </c>
    </row>
    <row r="568" spans="1:5" x14ac:dyDescent="0.25">
      <c r="A568" s="4" t="s">
        <v>1112</v>
      </c>
      <c r="B568" s="4" t="s">
        <v>1113</v>
      </c>
      <c r="C568" s="5">
        <f>IFERROR(SUMIFS('Issuance Log'!$D:$D,'Issuance Log'!$B:$B,A568,'Issuance Log'!$G:$G,$B$4),0)</f>
        <v>0</v>
      </c>
      <c r="D568" s="5">
        <f>IFERROR(COUNTIFS('Issuance Log'!$B:$B,A568,'Issuance Log'!$G:$G,$B$4),0)</f>
        <v>0</v>
      </c>
      <c r="E568" s="5" t="str">
        <f ca="1">IFERROR(INDEX('Issuance Log'!$E:$E,MATCH(MAXIFS('Issuance Log'!$D:$D,'Issuance Log'!$B:$B,A568,'Issuance Log'!$G:$G,$B$4),IF(('Issuance Log'!$B:$B=A568)*('Issuance Log'!$G:$G=$B$4),'Issuance Log'!$D:$D),0)),"-")</f>
        <v>-</v>
      </c>
    </row>
    <row r="569" spans="1:5" x14ac:dyDescent="0.25">
      <c r="A569" s="2" t="s">
        <v>1114</v>
      </c>
      <c r="B569" s="2" t="s">
        <v>1115</v>
      </c>
      <c r="C569" s="3">
        <f>IFERROR(SUMIFS('Issuance Log'!$D:$D,'Issuance Log'!$B:$B,A569,'Issuance Log'!$G:$G,$B$4),0)</f>
        <v>0</v>
      </c>
      <c r="D569" s="3">
        <f>IFERROR(COUNTIFS('Issuance Log'!$B:$B,A569,'Issuance Log'!$G:$G,$B$4),0)</f>
        <v>0</v>
      </c>
      <c r="E569" s="3" t="str">
        <f ca="1">IFERROR(INDEX('Issuance Log'!$E:$E,MATCH(MAXIFS('Issuance Log'!$D:$D,'Issuance Log'!$B:$B,A569,'Issuance Log'!$G:$G,$B$4),IF(('Issuance Log'!$B:$B=A569)*('Issuance Log'!$G:$G=$B$4),'Issuance Log'!$D:$D),0)),"-")</f>
        <v>-</v>
      </c>
    </row>
    <row r="570" spans="1:5" x14ac:dyDescent="0.25">
      <c r="A570" s="4" t="s">
        <v>1116</v>
      </c>
      <c r="B570" s="4" t="s">
        <v>1117</v>
      </c>
      <c r="C570" s="5">
        <f>IFERROR(SUMIFS('Issuance Log'!$D:$D,'Issuance Log'!$B:$B,A570,'Issuance Log'!$G:$G,$B$4),0)</f>
        <v>0</v>
      </c>
      <c r="D570" s="5">
        <f>IFERROR(COUNTIFS('Issuance Log'!$B:$B,A570,'Issuance Log'!$G:$G,$B$4),0)</f>
        <v>0</v>
      </c>
      <c r="E570" s="5" t="str">
        <f ca="1">IFERROR(INDEX('Issuance Log'!$E:$E,MATCH(MAXIFS('Issuance Log'!$D:$D,'Issuance Log'!$B:$B,A570,'Issuance Log'!$G:$G,$B$4),IF(('Issuance Log'!$B:$B=A570)*('Issuance Log'!$G:$G=$B$4),'Issuance Log'!$D:$D),0)),"-")</f>
        <v>-</v>
      </c>
    </row>
    <row r="571" spans="1:5" x14ac:dyDescent="0.25">
      <c r="A571" s="2" t="s">
        <v>1118</v>
      </c>
      <c r="B571" s="2" t="s">
        <v>1119</v>
      </c>
      <c r="C571" s="3">
        <f>IFERROR(SUMIFS('Issuance Log'!$D:$D,'Issuance Log'!$B:$B,A571,'Issuance Log'!$G:$G,$B$4),0)</f>
        <v>0</v>
      </c>
      <c r="D571" s="3">
        <f>IFERROR(COUNTIFS('Issuance Log'!$B:$B,A571,'Issuance Log'!$G:$G,$B$4),0)</f>
        <v>0</v>
      </c>
      <c r="E571" s="3" t="str">
        <f ca="1">IFERROR(INDEX('Issuance Log'!$E:$E,MATCH(MAXIFS('Issuance Log'!$D:$D,'Issuance Log'!$B:$B,A571,'Issuance Log'!$G:$G,$B$4),IF(('Issuance Log'!$B:$B=A571)*('Issuance Log'!$G:$G=$B$4),'Issuance Log'!$D:$D),0)),"-")</f>
        <v>-</v>
      </c>
    </row>
    <row r="572" spans="1:5" x14ac:dyDescent="0.25">
      <c r="A572" s="4" t="s">
        <v>1120</v>
      </c>
      <c r="B572" s="4" t="s">
        <v>1121</v>
      </c>
      <c r="C572" s="5">
        <f>IFERROR(SUMIFS('Issuance Log'!$D:$D,'Issuance Log'!$B:$B,A572,'Issuance Log'!$G:$G,$B$4),0)</f>
        <v>0</v>
      </c>
      <c r="D572" s="5">
        <f>IFERROR(COUNTIFS('Issuance Log'!$B:$B,A572,'Issuance Log'!$G:$G,$B$4),0)</f>
        <v>0</v>
      </c>
      <c r="E572" s="5" t="str">
        <f ca="1">IFERROR(INDEX('Issuance Log'!$E:$E,MATCH(MAXIFS('Issuance Log'!$D:$D,'Issuance Log'!$B:$B,A572,'Issuance Log'!$G:$G,$B$4),IF(('Issuance Log'!$B:$B=A572)*('Issuance Log'!$G:$G=$B$4),'Issuance Log'!$D:$D),0)),"-")</f>
        <v>-</v>
      </c>
    </row>
    <row r="573" spans="1:5" x14ac:dyDescent="0.25">
      <c r="A573" s="2" t="s">
        <v>1122</v>
      </c>
      <c r="B573" s="2" t="s">
        <v>1123</v>
      </c>
      <c r="C573" s="3">
        <f>IFERROR(SUMIFS('Issuance Log'!$D:$D,'Issuance Log'!$B:$B,A573,'Issuance Log'!$G:$G,$B$4),0)</f>
        <v>0</v>
      </c>
      <c r="D573" s="3">
        <f>IFERROR(COUNTIFS('Issuance Log'!$B:$B,A573,'Issuance Log'!$G:$G,$B$4),0)</f>
        <v>0</v>
      </c>
      <c r="E573" s="3" t="str">
        <f ca="1">IFERROR(INDEX('Issuance Log'!$E:$E,MATCH(MAXIFS('Issuance Log'!$D:$D,'Issuance Log'!$B:$B,A573,'Issuance Log'!$G:$G,$B$4),IF(('Issuance Log'!$B:$B=A573)*('Issuance Log'!$G:$G=$B$4),'Issuance Log'!$D:$D),0)),"-")</f>
        <v>-</v>
      </c>
    </row>
    <row r="574" spans="1:5" x14ac:dyDescent="0.25">
      <c r="A574" s="4" t="s">
        <v>1124</v>
      </c>
      <c r="B574" s="4" t="s">
        <v>1125</v>
      </c>
      <c r="C574" s="5">
        <f>IFERROR(SUMIFS('Issuance Log'!$D:$D,'Issuance Log'!$B:$B,A574,'Issuance Log'!$G:$G,$B$4),0)</f>
        <v>0</v>
      </c>
      <c r="D574" s="5">
        <f>IFERROR(COUNTIFS('Issuance Log'!$B:$B,A574,'Issuance Log'!$G:$G,$B$4),0)</f>
        <v>0</v>
      </c>
      <c r="E574" s="5" t="str">
        <f ca="1">IFERROR(INDEX('Issuance Log'!$E:$E,MATCH(MAXIFS('Issuance Log'!$D:$D,'Issuance Log'!$B:$B,A574,'Issuance Log'!$G:$G,$B$4),IF(('Issuance Log'!$B:$B=A574)*('Issuance Log'!$G:$G=$B$4),'Issuance Log'!$D:$D),0)),"-")</f>
        <v>-</v>
      </c>
    </row>
    <row r="575" spans="1:5" x14ac:dyDescent="0.25">
      <c r="A575" s="2" t="s">
        <v>1126</v>
      </c>
      <c r="B575" s="2" t="s">
        <v>1127</v>
      </c>
      <c r="C575" s="3">
        <f>IFERROR(SUMIFS('Issuance Log'!$D:$D,'Issuance Log'!$B:$B,A575,'Issuance Log'!$G:$G,$B$4),0)</f>
        <v>0</v>
      </c>
      <c r="D575" s="3">
        <f>IFERROR(COUNTIFS('Issuance Log'!$B:$B,A575,'Issuance Log'!$G:$G,$B$4),0)</f>
        <v>0</v>
      </c>
      <c r="E575" s="3" t="str">
        <f ca="1">IFERROR(INDEX('Issuance Log'!$E:$E,MATCH(MAXIFS('Issuance Log'!$D:$D,'Issuance Log'!$B:$B,A575,'Issuance Log'!$G:$G,$B$4),IF(('Issuance Log'!$B:$B=A575)*('Issuance Log'!$G:$G=$B$4),'Issuance Log'!$D:$D),0)),"-")</f>
        <v>-</v>
      </c>
    </row>
    <row r="576" spans="1:5" x14ac:dyDescent="0.25">
      <c r="A576" s="4" t="s">
        <v>1128</v>
      </c>
      <c r="B576" s="4" t="s">
        <v>1129</v>
      </c>
      <c r="C576" s="5">
        <f>IFERROR(SUMIFS('Issuance Log'!$D:$D,'Issuance Log'!$B:$B,A576,'Issuance Log'!$G:$G,$B$4),0)</f>
        <v>0</v>
      </c>
      <c r="D576" s="5">
        <f>IFERROR(COUNTIFS('Issuance Log'!$B:$B,A576,'Issuance Log'!$G:$G,$B$4),0)</f>
        <v>0</v>
      </c>
      <c r="E576" s="5" t="str">
        <f ca="1">IFERROR(INDEX('Issuance Log'!$E:$E,MATCH(MAXIFS('Issuance Log'!$D:$D,'Issuance Log'!$B:$B,A576,'Issuance Log'!$G:$G,$B$4),IF(('Issuance Log'!$B:$B=A576)*('Issuance Log'!$G:$G=$B$4),'Issuance Log'!$D:$D),0)),"-")</f>
        <v>-</v>
      </c>
    </row>
    <row r="577" spans="1:5" x14ac:dyDescent="0.25">
      <c r="A577" s="2" t="s">
        <v>1130</v>
      </c>
      <c r="B577" s="2" t="s">
        <v>1131</v>
      </c>
      <c r="C577" s="3">
        <f>IFERROR(SUMIFS('Issuance Log'!$D:$D,'Issuance Log'!$B:$B,A577,'Issuance Log'!$G:$G,$B$4),0)</f>
        <v>0</v>
      </c>
      <c r="D577" s="3">
        <f>IFERROR(COUNTIFS('Issuance Log'!$B:$B,A577,'Issuance Log'!$G:$G,$B$4),0)</f>
        <v>0</v>
      </c>
      <c r="E577" s="3" t="str">
        <f ca="1">IFERROR(INDEX('Issuance Log'!$E:$E,MATCH(MAXIFS('Issuance Log'!$D:$D,'Issuance Log'!$B:$B,A577,'Issuance Log'!$G:$G,$B$4),IF(('Issuance Log'!$B:$B=A577)*('Issuance Log'!$G:$G=$B$4),'Issuance Log'!$D:$D),0)),"-")</f>
        <v>-</v>
      </c>
    </row>
    <row r="578" spans="1:5" x14ac:dyDescent="0.25">
      <c r="A578" s="4" t="s">
        <v>1132</v>
      </c>
      <c r="B578" s="4" t="s">
        <v>70</v>
      </c>
      <c r="C578" s="5">
        <f>IFERROR(SUMIFS('Issuance Log'!$D:$D,'Issuance Log'!$B:$B,A578,'Issuance Log'!$G:$G,$B$4),0)</f>
        <v>0</v>
      </c>
      <c r="D578" s="5">
        <f>IFERROR(COUNTIFS('Issuance Log'!$B:$B,A578,'Issuance Log'!$G:$G,$B$4),0)</f>
        <v>0</v>
      </c>
      <c r="E578" s="5" t="str">
        <f ca="1">IFERROR(INDEX('Issuance Log'!$E:$E,MATCH(MAXIFS('Issuance Log'!$D:$D,'Issuance Log'!$B:$B,A578,'Issuance Log'!$G:$G,$B$4),IF(('Issuance Log'!$B:$B=A578)*('Issuance Log'!$G:$G=$B$4),'Issuance Log'!$D:$D),0)),"-")</f>
        <v>-</v>
      </c>
    </row>
    <row r="579" spans="1:5" x14ac:dyDescent="0.25">
      <c r="A579" s="2" t="s">
        <v>1133</v>
      </c>
      <c r="B579" s="2" t="s">
        <v>72</v>
      </c>
      <c r="C579" s="3">
        <f>IFERROR(SUMIFS('Issuance Log'!$D:$D,'Issuance Log'!$B:$B,A579,'Issuance Log'!$G:$G,$B$4),0)</f>
        <v>0</v>
      </c>
      <c r="D579" s="3">
        <f>IFERROR(COUNTIFS('Issuance Log'!$B:$B,A579,'Issuance Log'!$G:$G,$B$4),0)</f>
        <v>0</v>
      </c>
      <c r="E579" s="3" t="str">
        <f ca="1">IFERROR(INDEX('Issuance Log'!$E:$E,MATCH(MAXIFS('Issuance Log'!$D:$D,'Issuance Log'!$B:$B,A579,'Issuance Log'!$G:$G,$B$4),IF(('Issuance Log'!$B:$B=A579)*('Issuance Log'!$G:$G=$B$4),'Issuance Log'!$D:$D),0)),"-")</f>
        <v>-</v>
      </c>
    </row>
    <row r="580" spans="1:5" x14ac:dyDescent="0.25">
      <c r="A580" s="4" t="s">
        <v>1134</v>
      </c>
      <c r="B580" s="4" t="s">
        <v>1135</v>
      </c>
      <c r="C580" s="5">
        <f>IFERROR(SUMIFS('Issuance Log'!$D:$D,'Issuance Log'!$B:$B,A580,'Issuance Log'!$G:$G,$B$4),0)</f>
        <v>0</v>
      </c>
      <c r="D580" s="5">
        <f>IFERROR(COUNTIFS('Issuance Log'!$B:$B,A580,'Issuance Log'!$G:$G,$B$4),0)</f>
        <v>0</v>
      </c>
      <c r="E580" s="5" t="str">
        <f ca="1">IFERROR(INDEX('Issuance Log'!$E:$E,MATCH(MAXIFS('Issuance Log'!$D:$D,'Issuance Log'!$B:$B,A580,'Issuance Log'!$G:$G,$B$4),IF(('Issuance Log'!$B:$B=A580)*('Issuance Log'!$G:$G=$B$4),'Issuance Log'!$D:$D),0)),"-")</f>
        <v>-</v>
      </c>
    </row>
    <row r="581" spans="1:5" x14ac:dyDescent="0.25">
      <c r="A581" s="2" t="s">
        <v>1136</v>
      </c>
      <c r="B581" s="2" t="s">
        <v>1137</v>
      </c>
      <c r="C581" s="3">
        <f>IFERROR(SUMIFS('Issuance Log'!$D:$D,'Issuance Log'!$B:$B,A581,'Issuance Log'!$G:$G,$B$4),0)</f>
        <v>0</v>
      </c>
      <c r="D581" s="3">
        <f>IFERROR(COUNTIFS('Issuance Log'!$B:$B,A581,'Issuance Log'!$G:$G,$B$4),0)</f>
        <v>0</v>
      </c>
      <c r="E581" s="3" t="str">
        <f ca="1">IFERROR(INDEX('Issuance Log'!$E:$E,MATCH(MAXIFS('Issuance Log'!$D:$D,'Issuance Log'!$B:$B,A581,'Issuance Log'!$G:$G,$B$4),IF(('Issuance Log'!$B:$B=A581)*('Issuance Log'!$G:$G=$B$4),'Issuance Log'!$D:$D),0)),"-")</f>
        <v>-</v>
      </c>
    </row>
    <row r="582" spans="1:5" x14ac:dyDescent="0.25">
      <c r="A582" s="4" t="s">
        <v>1138</v>
      </c>
      <c r="B582" s="4" t="s">
        <v>1129</v>
      </c>
      <c r="C582" s="5">
        <f>IFERROR(SUMIFS('Issuance Log'!$D:$D,'Issuance Log'!$B:$B,A582,'Issuance Log'!$G:$G,$B$4),0)</f>
        <v>0</v>
      </c>
      <c r="D582" s="5">
        <f>IFERROR(COUNTIFS('Issuance Log'!$B:$B,A582,'Issuance Log'!$G:$G,$B$4),0)</f>
        <v>0</v>
      </c>
      <c r="E582" s="5" t="str">
        <f ca="1">IFERROR(INDEX('Issuance Log'!$E:$E,MATCH(MAXIFS('Issuance Log'!$D:$D,'Issuance Log'!$B:$B,A582,'Issuance Log'!$G:$G,$B$4),IF(('Issuance Log'!$B:$B=A582)*('Issuance Log'!$G:$G=$B$4),'Issuance Log'!$D:$D),0)),"-")</f>
        <v>-</v>
      </c>
    </row>
    <row r="583" spans="1:5" x14ac:dyDescent="0.25">
      <c r="A583" s="2" t="s">
        <v>1139</v>
      </c>
      <c r="B583" s="2" t="s">
        <v>1131</v>
      </c>
      <c r="C583" s="3">
        <f>IFERROR(SUMIFS('Issuance Log'!$D:$D,'Issuance Log'!$B:$B,A583,'Issuance Log'!$G:$G,$B$4),0)</f>
        <v>0</v>
      </c>
      <c r="D583" s="3">
        <f>IFERROR(COUNTIFS('Issuance Log'!$B:$B,A583,'Issuance Log'!$G:$G,$B$4),0)</f>
        <v>0</v>
      </c>
      <c r="E583" s="3" t="str">
        <f ca="1">IFERROR(INDEX('Issuance Log'!$E:$E,MATCH(MAXIFS('Issuance Log'!$D:$D,'Issuance Log'!$B:$B,A583,'Issuance Log'!$G:$G,$B$4),IF(('Issuance Log'!$B:$B=A583)*('Issuance Log'!$G:$G=$B$4),'Issuance Log'!$D:$D),0)),"-")</f>
        <v>-</v>
      </c>
    </row>
    <row r="584" spans="1:5" x14ac:dyDescent="0.25">
      <c r="A584" s="4" t="s">
        <v>1140</v>
      </c>
      <c r="B584" s="4" t="s">
        <v>1141</v>
      </c>
      <c r="C584" s="5">
        <f>IFERROR(SUMIFS('Issuance Log'!$D:$D,'Issuance Log'!$B:$B,A584,'Issuance Log'!$G:$G,$B$4),0)</f>
        <v>0</v>
      </c>
      <c r="D584" s="5">
        <f>IFERROR(COUNTIFS('Issuance Log'!$B:$B,A584,'Issuance Log'!$G:$G,$B$4),0)</f>
        <v>0</v>
      </c>
      <c r="E584" s="5" t="str">
        <f ca="1">IFERROR(INDEX('Issuance Log'!$E:$E,MATCH(MAXIFS('Issuance Log'!$D:$D,'Issuance Log'!$B:$B,A584,'Issuance Log'!$G:$G,$B$4),IF(('Issuance Log'!$B:$B=A584)*('Issuance Log'!$G:$G=$B$4),'Issuance Log'!$D:$D),0)),"-")</f>
        <v>-</v>
      </c>
    </row>
    <row r="585" spans="1:5" x14ac:dyDescent="0.25">
      <c r="A585" s="2" t="s">
        <v>1142</v>
      </c>
      <c r="B585" s="2" t="s">
        <v>1143</v>
      </c>
      <c r="C585" s="3">
        <f>IFERROR(SUMIFS('Issuance Log'!$D:$D,'Issuance Log'!$B:$B,A585,'Issuance Log'!$G:$G,$B$4),0)</f>
        <v>0</v>
      </c>
      <c r="D585" s="3">
        <f>IFERROR(COUNTIFS('Issuance Log'!$B:$B,A585,'Issuance Log'!$G:$G,$B$4),0)</f>
        <v>0</v>
      </c>
      <c r="E585" s="3" t="str">
        <f ca="1">IFERROR(INDEX('Issuance Log'!$E:$E,MATCH(MAXIFS('Issuance Log'!$D:$D,'Issuance Log'!$B:$B,A585,'Issuance Log'!$G:$G,$B$4),IF(('Issuance Log'!$B:$B=A585)*('Issuance Log'!$G:$G=$B$4),'Issuance Log'!$D:$D),0)),"-")</f>
        <v>-</v>
      </c>
    </row>
    <row r="586" spans="1:5" x14ac:dyDescent="0.25">
      <c r="A586" s="4" t="s">
        <v>1144</v>
      </c>
      <c r="B586" s="4" t="s">
        <v>1145</v>
      </c>
      <c r="C586" s="5">
        <f>IFERROR(SUMIFS('Issuance Log'!$D:$D,'Issuance Log'!$B:$B,A586,'Issuance Log'!$G:$G,$B$4),0)</f>
        <v>0</v>
      </c>
      <c r="D586" s="5">
        <f>IFERROR(COUNTIFS('Issuance Log'!$B:$B,A586,'Issuance Log'!$G:$G,$B$4),0)</f>
        <v>0</v>
      </c>
      <c r="E586" s="5" t="str">
        <f ca="1">IFERROR(INDEX('Issuance Log'!$E:$E,MATCH(MAXIFS('Issuance Log'!$D:$D,'Issuance Log'!$B:$B,A586,'Issuance Log'!$G:$G,$B$4),IF(('Issuance Log'!$B:$B=A586)*('Issuance Log'!$G:$G=$B$4),'Issuance Log'!$D:$D),0)),"-")</f>
        <v>-</v>
      </c>
    </row>
    <row r="587" spans="1:5" x14ac:dyDescent="0.25">
      <c r="A587" s="2" t="s">
        <v>1146</v>
      </c>
      <c r="B587" s="2" t="s">
        <v>1147</v>
      </c>
      <c r="C587" s="3">
        <f>IFERROR(SUMIFS('Issuance Log'!$D:$D,'Issuance Log'!$B:$B,A587,'Issuance Log'!$G:$G,$B$4),0)</f>
        <v>0</v>
      </c>
      <c r="D587" s="3">
        <f>IFERROR(COUNTIFS('Issuance Log'!$B:$B,A587,'Issuance Log'!$G:$G,$B$4),0)</f>
        <v>0</v>
      </c>
      <c r="E587" s="3" t="str">
        <f ca="1">IFERROR(INDEX('Issuance Log'!$E:$E,MATCH(MAXIFS('Issuance Log'!$D:$D,'Issuance Log'!$B:$B,A587,'Issuance Log'!$G:$G,$B$4),IF(('Issuance Log'!$B:$B=A587)*('Issuance Log'!$G:$G=$B$4),'Issuance Log'!$D:$D),0)),"-")</f>
        <v>-</v>
      </c>
    </row>
    <row r="588" spans="1:5" x14ac:dyDescent="0.25">
      <c r="A588" s="4" t="s">
        <v>1148</v>
      </c>
      <c r="B588" s="4" t="s">
        <v>42</v>
      </c>
      <c r="C588" s="5">
        <f>IFERROR(SUMIFS('Issuance Log'!$D:$D,'Issuance Log'!$B:$B,A588,'Issuance Log'!$G:$G,$B$4),0)</f>
        <v>0</v>
      </c>
      <c r="D588" s="5">
        <f>IFERROR(COUNTIFS('Issuance Log'!$B:$B,A588,'Issuance Log'!$G:$G,$B$4),0)</f>
        <v>0</v>
      </c>
      <c r="E588" s="5" t="str">
        <f ca="1">IFERROR(INDEX('Issuance Log'!$E:$E,MATCH(MAXIFS('Issuance Log'!$D:$D,'Issuance Log'!$B:$B,A588,'Issuance Log'!$G:$G,$B$4),IF(('Issuance Log'!$B:$B=A588)*('Issuance Log'!$G:$G=$B$4),'Issuance Log'!$D:$D),0)),"-")</f>
        <v>-</v>
      </c>
    </row>
    <row r="589" spans="1:5" x14ac:dyDescent="0.25">
      <c r="A589" s="2" t="s">
        <v>1149</v>
      </c>
      <c r="B589" s="2" t="s">
        <v>1150</v>
      </c>
      <c r="C589" s="3">
        <f>IFERROR(SUMIFS('Issuance Log'!$D:$D,'Issuance Log'!$B:$B,A589,'Issuance Log'!$G:$G,$B$4),0)</f>
        <v>0</v>
      </c>
      <c r="D589" s="3">
        <f>IFERROR(COUNTIFS('Issuance Log'!$B:$B,A589,'Issuance Log'!$G:$G,$B$4),0)</f>
        <v>0</v>
      </c>
      <c r="E589" s="3" t="str">
        <f ca="1">IFERROR(INDEX('Issuance Log'!$E:$E,MATCH(MAXIFS('Issuance Log'!$D:$D,'Issuance Log'!$B:$B,A589,'Issuance Log'!$G:$G,$B$4),IF(('Issuance Log'!$B:$B=A589)*('Issuance Log'!$G:$G=$B$4),'Issuance Log'!$D:$D),0)),"-")</f>
        <v>-</v>
      </c>
    </row>
    <row r="590" spans="1:5" x14ac:dyDescent="0.25">
      <c r="A590" s="4" t="s">
        <v>1151</v>
      </c>
      <c r="B590" s="4" t="s">
        <v>58</v>
      </c>
      <c r="C590" s="5">
        <f>IFERROR(SUMIFS('Issuance Log'!$D:$D,'Issuance Log'!$B:$B,A590,'Issuance Log'!$G:$G,$B$4),0)</f>
        <v>0</v>
      </c>
      <c r="D590" s="5">
        <f>IFERROR(COUNTIFS('Issuance Log'!$B:$B,A590,'Issuance Log'!$G:$G,$B$4),0)</f>
        <v>0</v>
      </c>
      <c r="E590" s="5" t="str">
        <f ca="1">IFERROR(INDEX('Issuance Log'!$E:$E,MATCH(MAXIFS('Issuance Log'!$D:$D,'Issuance Log'!$B:$B,A590,'Issuance Log'!$G:$G,$B$4),IF(('Issuance Log'!$B:$B=A590)*('Issuance Log'!$G:$G=$B$4),'Issuance Log'!$D:$D),0)),"-")</f>
        <v>-</v>
      </c>
    </row>
    <row r="591" spans="1:5" x14ac:dyDescent="0.25">
      <c r="A591" s="2" t="s">
        <v>1152</v>
      </c>
      <c r="B591" s="2" t="s">
        <v>62</v>
      </c>
      <c r="C591" s="3">
        <f>IFERROR(SUMIFS('Issuance Log'!$D:$D,'Issuance Log'!$B:$B,A591,'Issuance Log'!$G:$G,$B$4),0)</f>
        <v>0</v>
      </c>
      <c r="D591" s="3">
        <f>IFERROR(COUNTIFS('Issuance Log'!$B:$B,A591,'Issuance Log'!$G:$G,$B$4),0)</f>
        <v>0</v>
      </c>
      <c r="E591" s="3" t="str">
        <f ca="1">IFERROR(INDEX('Issuance Log'!$E:$E,MATCH(MAXIFS('Issuance Log'!$D:$D,'Issuance Log'!$B:$B,A591,'Issuance Log'!$G:$G,$B$4),IF(('Issuance Log'!$B:$B=A591)*('Issuance Log'!$G:$G=$B$4),'Issuance Log'!$D:$D),0)),"-")</f>
        <v>-</v>
      </c>
    </row>
    <row r="592" spans="1:5" x14ac:dyDescent="0.25">
      <c r="A592" s="4" t="s">
        <v>1153</v>
      </c>
      <c r="B592" s="4" t="s">
        <v>64</v>
      </c>
      <c r="C592" s="5">
        <f>IFERROR(SUMIFS('Issuance Log'!$D:$D,'Issuance Log'!$B:$B,A592,'Issuance Log'!$G:$G,$B$4),0)</f>
        <v>0</v>
      </c>
      <c r="D592" s="5">
        <f>IFERROR(COUNTIFS('Issuance Log'!$B:$B,A592,'Issuance Log'!$G:$G,$B$4),0)</f>
        <v>0</v>
      </c>
      <c r="E592" s="5" t="str">
        <f ca="1">IFERROR(INDEX('Issuance Log'!$E:$E,MATCH(MAXIFS('Issuance Log'!$D:$D,'Issuance Log'!$B:$B,A592,'Issuance Log'!$G:$G,$B$4),IF(('Issuance Log'!$B:$B=A592)*('Issuance Log'!$G:$G=$B$4),'Issuance Log'!$D:$D),0)),"-")</f>
        <v>-</v>
      </c>
    </row>
    <row r="593" spans="1:5" x14ac:dyDescent="0.25">
      <c r="A593" s="2" t="s">
        <v>1154</v>
      </c>
      <c r="B593" s="2" t="s">
        <v>1155</v>
      </c>
      <c r="C593" s="3">
        <f>IFERROR(SUMIFS('Issuance Log'!$D:$D,'Issuance Log'!$B:$B,A593,'Issuance Log'!$G:$G,$B$4),0)</f>
        <v>0</v>
      </c>
      <c r="D593" s="3">
        <f>IFERROR(COUNTIFS('Issuance Log'!$B:$B,A593,'Issuance Log'!$G:$G,$B$4),0)</f>
        <v>0</v>
      </c>
      <c r="E593" s="3" t="str">
        <f ca="1">IFERROR(INDEX('Issuance Log'!$E:$E,MATCH(MAXIFS('Issuance Log'!$D:$D,'Issuance Log'!$B:$B,A593,'Issuance Log'!$G:$G,$B$4),IF(('Issuance Log'!$B:$B=A593)*('Issuance Log'!$G:$G=$B$4),'Issuance Log'!$D:$D),0)),"-")</f>
        <v>-</v>
      </c>
    </row>
    <row r="594" spans="1:5" x14ac:dyDescent="0.25">
      <c r="A594" s="4" t="s">
        <v>1156</v>
      </c>
      <c r="B594" s="4" t="s">
        <v>78</v>
      </c>
      <c r="C594" s="5">
        <f>IFERROR(SUMIFS('Issuance Log'!$D:$D,'Issuance Log'!$B:$B,A594,'Issuance Log'!$G:$G,$B$4),0)</f>
        <v>0</v>
      </c>
      <c r="D594" s="5">
        <f>IFERROR(COUNTIFS('Issuance Log'!$B:$B,A594,'Issuance Log'!$G:$G,$B$4),0)</f>
        <v>0</v>
      </c>
      <c r="E594" s="5" t="str">
        <f ca="1">IFERROR(INDEX('Issuance Log'!$E:$E,MATCH(MAXIFS('Issuance Log'!$D:$D,'Issuance Log'!$B:$B,A594,'Issuance Log'!$G:$G,$B$4),IF(('Issuance Log'!$B:$B=A594)*('Issuance Log'!$G:$G=$B$4),'Issuance Log'!$D:$D),0)),"-")</f>
        <v>-</v>
      </c>
    </row>
    <row r="595" spans="1:5" x14ac:dyDescent="0.25">
      <c r="A595" s="2" t="s">
        <v>1157</v>
      </c>
      <c r="B595" s="2" t="s">
        <v>1158</v>
      </c>
      <c r="C595" s="3">
        <f>IFERROR(SUMIFS('Issuance Log'!$D:$D,'Issuance Log'!$B:$B,A595,'Issuance Log'!$G:$G,$B$4),0)</f>
        <v>0</v>
      </c>
      <c r="D595" s="3">
        <f>IFERROR(COUNTIFS('Issuance Log'!$B:$B,A595,'Issuance Log'!$G:$G,$B$4),0)</f>
        <v>0</v>
      </c>
      <c r="E595" s="3" t="str">
        <f ca="1">IFERROR(INDEX('Issuance Log'!$E:$E,MATCH(MAXIFS('Issuance Log'!$D:$D,'Issuance Log'!$B:$B,A595,'Issuance Log'!$G:$G,$B$4),IF(('Issuance Log'!$B:$B=A595)*('Issuance Log'!$G:$G=$B$4),'Issuance Log'!$D:$D),0)),"-")</f>
        <v>-</v>
      </c>
    </row>
    <row r="596" spans="1:5" x14ac:dyDescent="0.25">
      <c r="A596" s="4" t="s">
        <v>1159</v>
      </c>
      <c r="B596" s="4" t="s">
        <v>1160</v>
      </c>
      <c r="C596" s="5">
        <f>IFERROR(SUMIFS('Issuance Log'!$D:$D,'Issuance Log'!$B:$B,A596,'Issuance Log'!$G:$G,$B$4),0)</f>
        <v>0</v>
      </c>
      <c r="D596" s="5">
        <f>IFERROR(COUNTIFS('Issuance Log'!$B:$B,A596,'Issuance Log'!$G:$G,$B$4),0)</f>
        <v>0</v>
      </c>
      <c r="E596" s="5" t="str">
        <f ca="1">IFERROR(INDEX('Issuance Log'!$E:$E,MATCH(MAXIFS('Issuance Log'!$D:$D,'Issuance Log'!$B:$B,A596,'Issuance Log'!$G:$G,$B$4),IF(('Issuance Log'!$B:$B=A596)*('Issuance Log'!$G:$G=$B$4),'Issuance Log'!$D:$D),0)),"-")</f>
        <v>-</v>
      </c>
    </row>
    <row r="597" spans="1:5" x14ac:dyDescent="0.25">
      <c r="A597" s="2" t="s">
        <v>1161</v>
      </c>
      <c r="B597" s="2" t="s">
        <v>1162</v>
      </c>
      <c r="C597" s="3">
        <f>IFERROR(SUMIFS('Issuance Log'!$D:$D,'Issuance Log'!$B:$B,A597,'Issuance Log'!$G:$G,$B$4),0)</f>
        <v>0</v>
      </c>
      <c r="D597" s="3">
        <f>IFERROR(COUNTIFS('Issuance Log'!$B:$B,A597,'Issuance Log'!$G:$G,$B$4),0)</f>
        <v>0</v>
      </c>
      <c r="E597" s="3" t="str">
        <f ca="1">IFERROR(INDEX('Issuance Log'!$E:$E,MATCH(MAXIFS('Issuance Log'!$D:$D,'Issuance Log'!$B:$B,A597,'Issuance Log'!$G:$G,$B$4),IF(('Issuance Log'!$B:$B=A597)*('Issuance Log'!$G:$G=$B$4),'Issuance Log'!$D:$D),0)),"-")</f>
        <v>-</v>
      </c>
    </row>
    <row r="598" spans="1:5" x14ac:dyDescent="0.25">
      <c r="A598" s="4" t="s">
        <v>1163</v>
      </c>
      <c r="B598" s="4" t="s">
        <v>1164</v>
      </c>
      <c r="C598" s="5">
        <f>IFERROR(SUMIFS('Issuance Log'!$D:$D,'Issuance Log'!$B:$B,A598,'Issuance Log'!$G:$G,$B$4),0)</f>
        <v>0</v>
      </c>
      <c r="D598" s="5">
        <f>IFERROR(COUNTIFS('Issuance Log'!$B:$B,A598,'Issuance Log'!$G:$G,$B$4),0)</f>
        <v>0</v>
      </c>
      <c r="E598" s="5" t="str">
        <f ca="1">IFERROR(INDEX('Issuance Log'!$E:$E,MATCH(MAXIFS('Issuance Log'!$D:$D,'Issuance Log'!$B:$B,A598,'Issuance Log'!$G:$G,$B$4),IF(('Issuance Log'!$B:$B=A598)*('Issuance Log'!$G:$G=$B$4),'Issuance Log'!$D:$D),0)),"-")</f>
        <v>-</v>
      </c>
    </row>
    <row r="599" spans="1:5" x14ac:dyDescent="0.25">
      <c r="A599" s="2" t="s">
        <v>1165</v>
      </c>
      <c r="B599" s="2" t="s">
        <v>1166</v>
      </c>
      <c r="C599" s="3">
        <f>IFERROR(SUMIFS('Issuance Log'!$D:$D,'Issuance Log'!$B:$B,A599,'Issuance Log'!$G:$G,$B$4),0)</f>
        <v>0</v>
      </c>
      <c r="D599" s="3">
        <f>IFERROR(COUNTIFS('Issuance Log'!$B:$B,A599,'Issuance Log'!$G:$G,$B$4),0)</f>
        <v>0</v>
      </c>
      <c r="E599" s="3" t="str">
        <f ca="1">IFERROR(INDEX('Issuance Log'!$E:$E,MATCH(MAXIFS('Issuance Log'!$D:$D,'Issuance Log'!$B:$B,A599,'Issuance Log'!$G:$G,$B$4),IF(('Issuance Log'!$B:$B=A599)*('Issuance Log'!$G:$G=$B$4),'Issuance Log'!$D:$D),0)),"-")</f>
        <v>-</v>
      </c>
    </row>
    <row r="600" spans="1:5" x14ac:dyDescent="0.25">
      <c r="A600" s="4" t="s">
        <v>1167</v>
      </c>
      <c r="B600" s="4" t="s">
        <v>1168</v>
      </c>
      <c r="C600" s="5">
        <f>IFERROR(SUMIFS('Issuance Log'!$D:$D,'Issuance Log'!$B:$B,A600,'Issuance Log'!$G:$G,$B$4),0)</f>
        <v>0</v>
      </c>
      <c r="D600" s="5">
        <f>IFERROR(COUNTIFS('Issuance Log'!$B:$B,A600,'Issuance Log'!$G:$G,$B$4),0)</f>
        <v>0</v>
      </c>
      <c r="E600" s="5" t="str">
        <f ca="1">IFERROR(INDEX('Issuance Log'!$E:$E,MATCH(MAXIFS('Issuance Log'!$D:$D,'Issuance Log'!$B:$B,A600,'Issuance Log'!$G:$G,$B$4),IF(('Issuance Log'!$B:$B=A600)*('Issuance Log'!$G:$G=$B$4),'Issuance Log'!$D:$D),0)),"-")</f>
        <v>-</v>
      </c>
    </row>
    <row r="601" spans="1:5" x14ac:dyDescent="0.25">
      <c r="A601" s="2" t="s">
        <v>1169</v>
      </c>
      <c r="B601" s="2" t="s">
        <v>1170</v>
      </c>
      <c r="C601" s="3">
        <f>IFERROR(SUMIFS('Issuance Log'!$D:$D,'Issuance Log'!$B:$B,A601,'Issuance Log'!$G:$G,$B$4),0)</f>
        <v>0</v>
      </c>
      <c r="D601" s="3">
        <f>IFERROR(COUNTIFS('Issuance Log'!$B:$B,A601,'Issuance Log'!$G:$G,$B$4),0)</f>
        <v>0</v>
      </c>
      <c r="E601" s="3" t="str">
        <f ca="1">IFERROR(INDEX('Issuance Log'!$E:$E,MATCH(MAXIFS('Issuance Log'!$D:$D,'Issuance Log'!$B:$B,A601,'Issuance Log'!$G:$G,$B$4),IF(('Issuance Log'!$B:$B=A601)*('Issuance Log'!$G:$G=$B$4),'Issuance Log'!$D:$D),0)),"-")</f>
        <v>-</v>
      </c>
    </row>
    <row r="602" spans="1:5" x14ac:dyDescent="0.25">
      <c r="A602" s="4" t="s">
        <v>1171</v>
      </c>
      <c r="B602" s="4" t="s">
        <v>1172</v>
      </c>
      <c r="C602" s="5">
        <f>IFERROR(SUMIFS('Issuance Log'!$D:$D,'Issuance Log'!$B:$B,A602,'Issuance Log'!$G:$G,$B$4),0)</f>
        <v>0</v>
      </c>
      <c r="D602" s="5">
        <f>IFERROR(COUNTIFS('Issuance Log'!$B:$B,A602,'Issuance Log'!$G:$G,$B$4),0)</f>
        <v>0</v>
      </c>
      <c r="E602" s="5" t="str">
        <f ca="1">IFERROR(INDEX('Issuance Log'!$E:$E,MATCH(MAXIFS('Issuance Log'!$D:$D,'Issuance Log'!$B:$B,A602,'Issuance Log'!$G:$G,$B$4),IF(('Issuance Log'!$B:$B=A602)*('Issuance Log'!$G:$G=$B$4),'Issuance Log'!$D:$D),0)),"-")</f>
        <v>-</v>
      </c>
    </row>
    <row r="603" spans="1:5" x14ac:dyDescent="0.25">
      <c r="A603" s="2" t="s">
        <v>1173</v>
      </c>
      <c r="B603" s="2" t="s">
        <v>1174</v>
      </c>
      <c r="C603" s="3">
        <f>IFERROR(SUMIFS('Issuance Log'!$D:$D,'Issuance Log'!$B:$B,A603,'Issuance Log'!$G:$G,$B$4),0)</f>
        <v>0</v>
      </c>
      <c r="D603" s="3">
        <f>IFERROR(COUNTIFS('Issuance Log'!$B:$B,A603,'Issuance Log'!$G:$G,$B$4),0)</f>
        <v>0</v>
      </c>
      <c r="E603" s="3" t="str">
        <f ca="1">IFERROR(INDEX('Issuance Log'!$E:$E,MATCH(MAXIFS('Issuance Log'!$D:$D,'Issuance Log'!$B:$B,A603,'Issuance Log'!$G:$G,$B$4),IF(('Issuance Log'!$B:$B=A603)*('Issuance Log'!$G:$G=$B$4),'Issuance Log'!$D:$D),0)),"-")</f>
        <v>-</v>
      </c>
    </row>
    <row r="604" spans="1:5" x14ac:dyDescent="0.25">
      <c r="A604" s="4" t="s">
        <v>1175</v>
      </c>
      <c r="B604" s="4" t="s">
        <v>1176</v>
      </c>
      <c r="C604" s="5">
        <f>IFERROR(SUMIFS('Issuance Log'!$D:$D,'Issuance Log'!$B:$B,A604,'Issuance Log'!$G:$G,$B$4),0)</f>
        <v>0</v>
      </c>
      <c r="D604" s="5">
        <f>IFERROR(COUNTIFS('Issuance Log'!$B:$B,A604,'Issuance Log'!$G:$G,$B$4),0)</f>
        <v>0</v>
      </c>
      <c r="E604" s="5" t="str">
        <f ca="1">IFERROR(INDEX('Issuance Log'!$E:$E,MATCH(MAXIFS('Issuance Log'!$D:$D,'Issuance Log'!$B:$B,A604,'Issuance Log'!$G:$G,$B$4),IF(('Issuance Log'!$B:$B=A604)*('Issuance Log'!$G:$G=$B$4),'Issuance Log'!$D:$D),0)),"-")</f>
        <v>-</v>
      </c>
    </row>
    <row r="605" spans="1:5" x14ac:dyDescent="0.25">
      <c r="A605" s="2" t="s">
        <v>1177</v>
      </c>
      <c r="B605" s="2" t="s">
        <v>1178</v>
      </c>
      <c r="C605" s="3">
        <f>IFERROR(SUMIFS('Issuance Log'!$D:$D,'Issuance Log'!$B:$B,A605,'Issuance Log'!$G:$G,$B$4),0)</f>
        <v>0</v>
      </c>
      <c r="D605" s="3">
        <f>IFERROR(COUNTIFS('Issuance Log'!$B:$B,A605,'Issuance Log'!$G:$G,$B$4),0)</f>
        <v>0</v>
      </c>
      <c r="E605" s="3" t="str">
        <f ca="1">IFERROR(INDEX('Issuance Log'!$E:$E,MATCH(MAXIFS('Issuance Log'!$D:$D,'Issuance Log'!$B:$B,A605,'Issuance Log'!$G:$G,$B$4),IF(('Issuance Log'!$B:$B=A605)*('Issuance Log'!$G:$G=$B$4),'Issuance Log'!$D:$D),0)),"-")</f>
        <v>-</v>
      </c>
    </row>
    <row r="606" spans="1:5" x14ac:dyDescent="0.25">
      <c r="A606" s="4" t="s">
        <v>1179</v>
      </c>
      <c r="B606" s="4" t="s">
        <v>1180</v>
      </c>
      <c r="C606" s="5">
        <f>IFERROR(SUMIFS('Issuance Log'!$D:$D,'Issuance Log'!$B:$B,A606,'Issuance Log'!$G:$G,$B$4),0)</f>
        <v>0</v>
      </c>
      <c r="D606" s="5">
        <f>IFERROR(COUNTIFS('Issuance Log'!$B:$B,A606,'Issuance Log'!$G:$G,$B$4),0)</f>
        <v>0</v>
      </c>
      <c r="E606" s="5" t="str">
        <f ca="1">IFERROR(INDEX('Issuance Log'!$E:$E,MATCH(MAXIFS('Issuance Log'!$D:$D,'Issuance Log'!$B:$B,A606,'Issuance Log'!$G:$G,$B$4),IF(('Issuance Log'!$B:$B=A606)*('Issuance Log'!$G:$G=$B$4),'Issuance Log'!$D:$D),0)),"-")</f>
        <v>-</v>
      </c>
    </row>
    <row r="607" spans="1:5" x14ac:dyDescent="0.25">
      <c r="A607" s="2" t="s">
        <v>1181</v>
      </c>
      <c r="B607" s="2" t="s">
        <v>1182</v>
      </c>
      <c r="C607" s="3">
        <f>IFERROR(SUMIFS('Issuance Log'!$D:$D,'Issuance Log'!$B:$B,A607,'Issuance Log'!$G:$G,$B$4),0)</f>
        <v>0</v>
      </c>
      <c r="D607" s="3">
        <f>IFERROR(COUNTIFS('Issuance Log'!$B:$B,A607,'Issuance Log'!$G:$G,$B$4),0)</f>
        <v>0</v>
      </c>
      <c r="E607" s="3" t="str">
        <f ca="1">IFERROR(INDEX('Issuance Log'!$E:$E,MATCH(MAXIFS('Issuance Log'!$D:$D,'Issuance Log'!$B:$B,A607,'Issuance Log'!$G:$G,$B$4),IF(('Issuance Log'!$B:$B=A607)*('Issuance Log'!$G:$G=$B$4),'Issuance Log'!$D:$D),0)),"-")</f>
        <v>-</v>
      </c>
    </row>
    <row r="608" spans="1:5" x14ac:dyDescent="0.25">
      <c r="A608" s="4" t="s">
        <v>1183</v>
      </c>
      <c r="B608" s="4" t="s">
        <v>1184</v>
      </c>
      <c r="C608" s="5">
        <f>IFERROR(SUMIFS('Issuance Log'!$D:$D,'Issuance Log'!$B:$B,A608,'Issuance Log'!$G:$G,$B$4),0)</f>
        <v>0</v>
      </c>
      <c r="D608" s="5">
        <f>IFERROR(COUNTIFS('Issuance Log'!$B:$B,A608,'Issuance Log'!$G:$G,$B$4),0)</f>
        <v>0</v>
      </c>
      <c r="E608" s="5" t="str">
        <f ca="1">IFERROR(INDEX('Issuance Log'!$E:$E,MATCH(MAXIFS('Issuance Log'!$D:$D,'Issuance Log'!$B:$B,A608,'Issuance Log'!$G:$G,$B$4),IF(('Issuance Log'!$B:$B=A608)*('Issuance Log'!$G:$G=$B$4),'Issuance Log'!$D:$D),0)),"-")</f>
        <v>-</v>
      </c>
    </row>
    <row r="609" spans="1:5" x14ac:dyDescent="0.25">
      <c r="A609" s="2" t="s">
        <v>1185</v>
      </c>
      <c r="B609" s="2" t="s">
        <v>1186</v>
      </c>
      <c r="C609" s="3">
        <f>IFERROR(SUMIFS('Issuance Log'!$D:$D,'Issuance Log'!$B:$B,A609,'Issuance Log'!$G:$G,$B$4),0)</f>
        <v>0</v>
      </c>
      <c r="D609" s="3">
        <f>IFERROR(COUNTIFS('Issuance Log'!$B:$B,A609,'Issuance Log'!$G:$G,$B$4),0)</f>
        <v>0</v>
      </c>
      <c r="E609" s="3" t="str">
        <f ca="1">IFERROR(INDEX('Issuance Log'!$E:$E,MATCH(MAXIFS('Issuance Log'!$D:$D,'Issuance Log'!$B:$B,A609,'Issuance Log'!$G:$G,$B$4),IF(('Issuance Log'!$B:$B=A609)*('Issuance Log'!$G:$G=$B$4),'Issuance Log'!$D:$D),0)),"-")</f>
        <v>-</v>
      </c>
    </row>
    <row r="610" spans="1:5" x14ac:dyDescent="0.25">
      <c r="A610" s="4" t="s">
        <v>1187</v>
      </c>
      <c r="B610" s="4" t="s">
        <v>1188</v>
      </c>
      <c r="C610" s="5">
        <f>IFERROR(SUMIFS('Issuance Log'!$D:$D,'Issuance Log'!$B:$B,A610,'Issuance Log'!$G:$G,$B$4),0)</f>
        <v>0</v>
      </c>
      <c r="D610" s="5">
        <f>IFERROR(COUNTIFS('Issuance Log'!$B:$B,A610,'Issuance Log'!$G:$G,$B$4),0)</f>
        <v>0</v>
      </c>
      <c r="E610" s="5" t="str">
        <f ca="1">IFERROR(INDEX('Issuance Log'!$E:$E,MATCH(MAXIFS('Issuance Log'!$D:$D,'Issuance Log'!$B:$B,A610,'Issuance Log'!$G:$G,$B$4),IF(('Issuance Log'!$B:$B=A610)*('Issuance Log'!$G:$G=$B$4),'Issuance Log'!$D:$D),0)),"-")</f>
        <v>-</v>
      </c>
    </row>
    <row r="611" spans="1:5" x14ac:dyDescent="0.25">
      <c r="A611" s="2" t="s">
        <v>1189</v>
      </c>
      <c r="B611" s="2" t="s">
        <v>1190</v>
      </c>
      <c r="C611" s="3">
        <f>IFERROR(SUMIFS('Issuance Log'!$D:$D,'Issuance Log'!$B:$B,A611,'Issuance Log'!$G:$G,$B$4),0)</f>
        <v>0</v>
      </c>
      <c r="D611" s="3">
        <f>IFERROR(COUNTIFS('Issuance Log'!$B:$B,A611,'Issuance Log'!$G:$G,$B$4),0)</f>
        <v>0</v>
      </c>
      <c r="E611" s="3" t="str">
        <f ca="1">IFERROR(INDEX('Issuance Log'!$E:$E,MATCH(MAXIFS('Issuance Log'!$D:$D,'Issuance Log'!$B:$B,A611,'Issuance Log'!$G:$G,$B$4),IF(('Issuance Log'!$B:$B=A611)*('Issuance Log'!$G:$G=$B$4),'Issuance Log'!$D:$D),0)),"-")</f>
        <v>-</v>
      </c>
    </row>
    <row r="612" spans="1:5" x14ac:dyDescent="0.25">
      <c r="A612" s="4" t="s">
        <v>1191</v>
      </c>
      <c r="B612" s="4" t="s">
        <v>1192</v>
      </c>
      <c r="C612" s="5">
        <f>IFERROR(SUMIFS('Issuance Log'!$D:$D,'Issuance Log'!$B:$B,A612,'Issuance Log'!$G:$G,$B$4),0)</f>
        <v>0</v>
      </c>
      <c r="D612" s="5">
        <f>IFERROR(COUNTIFS('Issuance Log'!$B:$B,A612,'Issuance Log'!$G:$G,$B$4),0)</f>
        <v>0</v>
      </c>
      <c r="E612" s="5" t="str">
        <f ca="1">IFERROR(INDEX('Issuance Log'!$E:$E,MATCH(MAXIFS('Issuance Log'!$D:$D,'Issuance Log'!$B:$B,A612,'Issuance Log'!$G:$G,$B$4),IF(('Issuance Log'!$B:$B=A612)*('Issuance Log'!$G:$G=$B$4),'Issuance Log'!$D:$D),0)),"-")</f>
        <v>-</v>
      </c>
    </row>
    <row r="613" spans="1:5" x14ac:dyDescent="0.25">
      <c r="A613" s="2" t="s">
        <v>1193</v>
      </c>
      <c r="B613" s="2" t="s">
        <v>1194</v>
      </c>
      <c r="C613" s="3">
        <f>IFERROR(SUMIFS('Issuance Log'!$D:$D,'Issuance Log'!$B:$B,A613,'Issuance Log'!$G:$G,$B$4),0)</f>
        <v>0</v>
      </c>
      <c r="D613" s="3">
        <f>IFERROR(COUNTIFS('Issuance Log'!$B:$B,A613,'Issuance Log'!$G:$G,$B$4),0)</f>
        <v>0</v>
      </c>
      <c r="E613" s="3" t="str">
        <f ca="1">IFERROR(INDEX('Issuance Log'!$E:$E,MATCH(MAXIFS('Issuance Log'!$D:$D,'Issuance Log'!$B:$B,A613,'Issuance Log'!$G:$G,$B$4),IF(('Issuance Log'!$B:$B=A613)*('Issuance Log'!$G:$G=$B$4),'Issuance Log'!$D:$D),0)),"-")</f>
        <v>-</v>
      </c>
    </row>
    <row r="614" spans="1:5" x14ac:dyDescent="0.25">
      <c r="A614" s="4" t="s">
        <v>1195</v>
      </c>
      <c r="B614" s="4" t="s">
        <v>1196</v>
      </c>
      <c r="C614" s="5">
        <f>IFERROR(SUMIFS('Issuance Log'!$D:$D,'Issuance Log'!$B:$B,A614,'Issuance Log'!$G:$G,$B$4),0)</f>
        <v>0</v>
      </c>
      <c r="D614" s="5">
        <f>IFERROR(COUNTIFS('Issuance Log'!$B:$B,A614,'Issuance Log'!$G:$G,$B$4),0)</f>
        <v>0</v>
      </c>
      <c r="E614" s="5" t="str">
        <f ca="1">IFERROR(INDEX('Issuance Log'!$E:$E,MATCH(MAXIFS('Issuance Log'!$D:$D,'Issuance Log'!$B:$B,A614,'Issuance Log'!$G:$G,$B$4),IF(('Issuance Log'!$B:$B=A614)*('Issuance Log'!$G:$G=$B$4),'Issuance Log'!$D:$D),0)),"-")</f>
        <v>-</v>
      </c>
    </row>
    <row r="615" spans="1:5" x14ac:dyDescent="0.25">
      <c r="A615" s="2" t="s">
        <v>1197</v>
      </c>
      <c r="B615" s="2" t="s">
        <v>1198</v>
      </c>
      <c r="C615" s="3">
        <f>IFERROR(SUMIFS('Issuance Log'!$D:$D,'Issuance Log'!$B:$B,A615,'Issuance Log'!$G:$G,$B$4),0)</f>
        <v>0</v>
      </c>
      <c r="D615" s="3">
        <f>IFERROR(COUNTIFS('Issuance Log'!$B:$B,A615,'Issuance Log'!$G:$G,$B$4),0)</f>
        <v>0</v>
      </c>
      <c r="E615" s="3" t="str">
        <f ca="1">IFERROR(INDEX('Issuance Log'!$E:$E,MATCH(MAXIFS('Issuance Log'!$D:$D,'Issuance Log'!$B:$B,A615,'Issuance Log'!$G:$G,$B$4),IF(('Issuance Log'!$B:$B=A615)*('Issuance Log'!$G:$G=$B$4),'Issuance Log'!$D:$D),0)),"-")</f>
        <v>-</v>
      </c>
    </row>
    <row r="616" spans="1:5" x14ac:dyDescent="0.25">
      <c r="A616" s="4" t="s">
        <v>1199</v>
      </c>
      <c r="B616" s="4" t="s">
        <v>1200</v>
      </c>
      <c r="C616" s="5">
        <f>IFERROR(SUMIFS('Issuance Log'!$D:$D,'Issuance Log'!$B:$B,A616,'Issuance Log'!$G:$G,$B$4),0)</f>
        <v>0</v>
      </c>
      <c r="D616" s="5">
        <f>IFERROR(COUNTIFS('Issuance Log'!$B:$B,A616,'Issuance Log'!$G:$G,$B$4),0)</f>
        <v>0</v>
      </c>
      <c r="E616" s="5" t="str">
        <f ca="1">IFERROR(INDEX('Issuance Log'!$E:$E,MATCH(MAXIFS('Issuance Log'!$D:$D,'Issuance Log'!$B:$B,A616,'Issuance Log'!$G:$G,$B$4),IF(('Issuance Log'!$B:$B=A616)*('Issuance Log'!$G:$G=$B$4),'Issuance Log'!$D:$D),0)),"-")</f>
        <v>-</v>
      </c>
    </row>
    <row r="617" spans="1:5" x14ac:dyDescent="0.25">
      <c r="A617" s="2" t="s">
        <v>1201</v>
      </c>
      <c r="B617" s="2" t="s">
        <v>1202</v>
      </c>
      <c r="C617" s="3">
        <f>IFERROR(SUMIFS('Issuance Log'!$D:$D,'Issuance Log'!$B:$B,A617,'Issuance Log'!$G:$G,$B$4),0)</f>
        <v>0</v>
      </c>
      <c r="D617" s="3">
        <f>IFERROR(COUNTIFS('Issuance Log'!$B:$B,A617,'Issuance Log'!$G:$G,$B$4),0)</f>
        <v>0</v>
      </c>
      <c r="E617" s="3" t="str">
        <f ca="1">IFERROR(INDEX('Issuance Log'!$E:$E,MATCH(MAXIFS('Issuance Log'!$D:$D,'Issuance Log'!$B:$B,A617,'Issuance Log'!$G:$G,$B$4),IF(('Issuance Log'!$B:$B=A617)*('Issuance Log'!$G:$G=$B$4),'Issuance Log'!$D:$D),0)),"-")</f>
        <v>-</v>
      </c>
    </row>
    <row r="618" spans="1:5" x14ac:dyDescent="0.25">
      <c r="A618" s="4" t="s">
        <v>1203</v>
      </c>
      <c r="B618" s="4" t="s">
        <v>173</v>
      </c>
      <c r="C618" s="5">
        <f>IFERROR(SUMIFS('Issuance Log'!$D:$D,'Issuance Log'!$B:$B,A618,'Issuance Log'!$G:$G,$B$4),0)</f>
        <v>0</v>
      </c>
      <c r="D618" s="5">
        <f>IFERROR(COUNTIFS('Issuance Log'!$B:$B,A618,'Issuance Log'!$G:$G,$B$4),0)</f>
        <v>0</v>
      </c>
      <c r="E618" s="5" t="str">
        <f ca="1">IFERROR(INDEX('Issuance Log'!$E:$E,MATCH(MAXIFS('Issuance Log'!$D:$D,'Issuance Log'!$B:$B,A618,'Issuance Log'!$G:$G,$B$4),IF(('Issuance Log'!$B:$B=A618)*('Issuance Log'!$G:$G=$B$4),'Issuance Log'!$D:$D),0)),"-")</f>
        <v>-</v>
      </c>
    </row>
    <row r="619" spans="1:5" x14ac:dyDescent="0.25">
      <c r="A619" s="2" t="s">
        <v>1204</v>
      </c>
      <c r="B619" s="2" t="s">
        <v>1205</v>
      </c>
      <c r="C619" s="3">
        <f>IFERROR(SUMIFS('Issuance Log'!$D:$D,'Issuance Log'!$B:$B,A619,'Issuance Log'!$G:$G,$B$4),0)</f>
        <v>0</v>
      </c>
      <c r="D619" s="3">
        <f>IFERROR(COUNTIFS('Issuance Log'!$B:$B,A619,'Issuance Log'!$G:$G,$B$4),0)</f>
        <v>0</v>
      </c>
      <c r="E619" s="3" t="str">
        <f ca="1">IFERROR(INDEX('Issuance Log'!$E:$E,MATCH(MAXIFS('Issuance Log'!$D:$D,'Issuance Log'!$B:$B,A619,'Issuance Log'!$G:$G,$B$4),IF(('Issuance Log'!$B:$B=A619)*('Issuance Log'!$G:$G=$B$4),'Issuance Log'!$D:$D),0)),"-")</f>
        <v>-</v>
      </c>
    </row>
    <row r="620" spans="1:5" x14ac:dyDescent="0.25">
      <c r="A620" s="4" t="s">
        <v>1206</v>
      </c>
      <c r="B620" s="4" t="s">
        <v>1207</v>
      </c>
      <c r="C620" s="5">
        <f>IFERROR(SUMIFS('Issuance Log'!$D:$D,'Issuance Log'!$B:$B,A620,'Issuance Log'!$G:$G,$B$4),0)</f>
        <v>0</v>
      </c>
      <c r="D620" s="5">
        <f>IFERROR(COUNTIFS('Issuance Log'!$B:$B,A620,'Issuance Log'!$G:$G,$B$4),0)</f>
        <v>0</v>
      </c>
      <c r="E620" s="5" t="str">
        <f ca="1">IFERROR(INDEX('Issuance Log'!$E:$E,MATCH(MAXIFS('Issuance Log'!$D:$D,'Issuance Log'!$B:$B,A620,'Issuance Log'!$G:$G,$B$4),IF(('Issuance Log'!$B:$B=A620)*('Issuance Log'!$G:$G=$B$4),'Issuance Log'!$D:$D),0)),"-")</f>
        <v>-</v>
      </c>
    </row>
    <row r="621" spans="1:5" x14ac:dyDescent="0.25">
      <c r="A621" s="2" t="s">
        <v>1208</v>
      </c>
      <c r="B621" s="2" t="s">
        <v>175</v>
      </c>
      <c r="C621" s="3">
        <f>IFERROR(SUMIFS('Issuance Log'!$D:$D,'Issuance Log'!$B:$B,A621,'Issuance Log'!$G:$G,$B$4),0)</f>
        <v>0</v>
      </c>
      <c r="D621" s="3">
        <f>IFERROR(COUNTIFS('Issuance Log'!$B:$B,A621,'Issuance Log'!$G:$G,$B$4),0)</f>
        <v>0</v>
      </c>
      <c r="E621" s="3" t="str">
        <f ca="1">IFERROR(INDEX('Issuance Log'!$E:$E,MATCH(MAXIFS('Issuance Log'!$D:$D,'Issuance Log'!$B:$B,A621,'Issuance Log'!$G:$G,$B$4),IF(('Issuance Log'!$B:$B=A621)*('Issuance Log'!$G:$G=$B$4),'Issuance Log'!$D:$D),0)),"-")</f>
        <v>-</v>
      </c>
    </row>
    <row r="622" spans="1:5" x14ac:dyDescent="0.25">
      <c r="A622" s="4" t="s">
        <v>1209</v>
      </c>
      <c r="B622" s="4" t="s">
        <v>177</v>
      </c>
      <c r="C622" s="5">
        <f>IFERROR(SUMIFS('Issuance Log'!$D:$D,'Issuance Log'!$B:$B,A622,'Issuance Log'!$G:$G,$B$4),0)</f>
        <v>0</v>
      </c>
      <c r="D622" s="5">
        <f>IFERROR(COUNTIFS('Issuance Log'!$B:$B,A622,'Issuance Log'!$G:$G,$B$4),0)</f>
        <v>0</v>
      </c>
      <c r="E622" s="5" t="str">
        <f ca="1">IFERROR(INDEX('Issuance Log'!$E:$E,MATCH(MAXIFS('Issuance Log'!$D:$D,'Issuance Log'!$B:$B,A622,'Issuance Log'!$G:$G,$B$4),IF(('Issuance Log'!$B:$B=A622)*('Issuance Log'!$G:$G=$B$4),'Issuance Log'!$D:$D),0)),"-")</f>
        <v>-</v>
      </c>
    </row>
    <row r="623" spans="1:5" x14ac:dyDescent="0.25">
      <c r="A623" s="2" t="s">
        <v>1210</v>
      </c>
      <c r="B623" s="2" t="s">
        <v>179</v>
      </c>
      <c r="C623" s="3">
        <f>IFERROR(SUMIFS('Issuance Log'!$D:$D,'Issuance Log'!$B:$B,A623,'Issuance Log'!$G:$G,$B$4),0)</f>
        <v>0</v>
      </c>
      <c r="D623" s="3">
        <f>IFERROR(COUNTIFS('Issuance Log'!$B:$B,A623,'Issuance Log'!$G:$G,$B$4),0)</f>
        <v>0</v>
      </c>
      <c r="E623" s="3" t="str">
        <f ca="1">IFERROR(INDEX('Issuance Log'!$E:$E,MATCH(MAXIFS('Issuance Log'!$D:$D,'Issuance Log'!$B:$B,A623,'Issuance Log'!$G:$G,$B$4),IF(('Issuance Log'!$B:$B=A623)*('Issuance Log'!$G:$G=$B$4),'Issuance Log'!$D:$D),0)),"-")</f>
        <v>-</v>
      </c>
    </row>
    <row r="624" spans="1:5" x14ac:dyDescent="0.25">
      <c r="A624" s="4" t="s">
        <v>1211</v>
      </c>
      <c r="B624" s="4" t="s">
        <v>181</v>
      </c>
      <c r="C624" s="5">
        <f>IFERROR(SUMIFS('Issuance Log'!$D:$D,'Issuance Log'!$B:$B,A624,'Issuance Log'!$G:$G,$B$4),0)</f>
        <v>0</v>
      </c>
      <c r="D624" s="5">
        <f>IFERROR(COUNTIFS('Issuance Log'!$B:$B,A624,'Issuance Log'!$G:$G,$B$4),0)</f>
        <v>0</v>
      </c>
      <c r="E624" s="5" t="str">
        <f ca="1">IFERROR(INDEX('Issuance Log'!$E:$E,MATCH(MAXIFS('Issuance Log'!$D:$D,'Issuance Log'!$B:$B,A624,'Issuance Log'!$G:$G,$B$4),IF(('Issuance Log'!$B:$B=A624)*('Issuance Log'!$G:$G=$B$4),'Issuance Log'!$D:$D),0)),"-")</f>
        <v>-</v>
      </c>
    </row>
    <row r="625" spans="1:5" x14ac:dyDescent="0.25">
      <c r="A625" s="2" t="s">
        <v>1212</v>
      </c>
      <c r="B625" s="2" t="s">
        <v>1213</v>
      </c>
      <c r="C625" s="3">
        <f>IFERROR(SUMIFS('Issuance Log'!$D:$D,'Issuance Log'!$B:$B,A625,'Issuance Log'!$G:$G,$B$4),0)</f>
        <v>0</v>
      </c>
      <c r="D625" s="3">
        <f>IFERROR(COUNTIFS('Issuance Log'!$B:$B,A625,'Issuance Log'!$G:$G,$B$4),0)</f>
        <v>0</v>
      </c>
      <c r="E625" s="3" t="str">
        <f ca="1">IFERROR(INDEX('Issuance Log'!$E:$E,MATCH(MAXIFS('Issuance Log'!$D:$D,'Issuance Log'!$B:$B,A625,'Issuance Log'!$G:$G,$B$4),IF(('Issuance Log'!$B:$B=A625)*('Issuance Log'!$G:$G=$B$4),'Issuance Log'!$D:$D),0)),"-")</f>
        <v>-</v>
      </c>
    </row>
    <row r="626" spans="1:5" x14ac:dyDescent="0.25">
      <c r="A626" s="4" t="s">
        <v>1214</v>
      </c>
      <c r="B626" s="4" t="s">
        <v>1215</v>
      </c>
      <c r="C626" s="5">
        <f>IFERROR(SUMIFS('Issuance Log'!$D:$D,'Issuance Log'!$B:$B,A626,'Issuance Log'!$G:$G,$B$4),0)</f>
        <v>0</v>
      </c>
      <c r="D626" s="5">
        <f>IFERROR(COUNTIFS('Issuance Log'!$B:$B,A626,'Issuance Log'!$G:$G,$B$4),0)</f>
        <v>0</v>
      </c>
      <c r="E626" s="5" t="str">
        <f ca="1">IFERROR(INDEX('Issuance Log'!$E:$E,MATCH(MAXIFS('Issuance Log'!$D:$D,'Issuance Log'!$B:$B,A626,'Issuance Log'!$G:$G,$B$4),IF(('Issuance Log'!$B:$B=A626)*('Issuance Log'!$G:$G=$B$4),'Issuance Log'!$D:$D),0)),"-")</f>
        <v>-</v>
      </c>
    </row>
    <row r="627" spans="1:5" x14ac:dyDescent="0.25">
      <c r="A627" s="2" t="s">
        <v>1216</v>
      </c>
      <c r="B627" s="2" t="s">
        <v>1217</v>
      </c>
      <c r="C627" s="3">
        <f>IFERROR(SUMIFS('Issuance Log'!$D:$D,'Issuance Log'!$B:$B,A627,'Issuance Log'!$G:$G,$B$4),0)</f>
        <v>0</v>
      </c>
      <c r="D627" s="3">
        <f>IFERROR(COUNTIFS('Issuance Log'!$B:$B,A627,'Issuance Log'!$G:$G,$B$4),0)</f>
        <v>0</v>
      </c>
      <c r="E627" s="3" t="str">
        <f ca="1">IFERROR(INDEX('Issuance Log'!$E:$E,MATCH(MAXIFS('Issuance Log'!$D:$D,'Issuance Log'!$B:$B,A627,'Issuance Log'!$G:$G,$B$4),IF(('Issuance Log'!$B:$B=A627)*('Issuance Log'!$G:$G=$B$4),'Issuance Log'!$D:$D),0)),"-")</f>
        <v>-</v>
      </c>
    </row>
    <row r="628" spans="1:5" x14ac:dyDescent="0.25">
      <c r="A628" s="4" t="s">
        <v>1218</v>
      </c>
      <c r="B628" s="4" t="s">
        <v>1219</v>
      </c>
      <c r="C628" s="5">
        <f>IFERROR(SUMIFS('Issuance Log'!$D:$D,'Issuance Log'!$B:$B,A628,'Issuance Log'!$G:$G,$B$4),0)</f>
        <v>0</v>
      </c>
      <c r="D628" s="5">
        <f>IFERROR(COUNTIFS('Issuance Log'!$B:$B,A628,'Issuance Log'!$G:$G,$B$4),0)</f>
        <v>0</v>
      </c>
      <c r="E628" s="5" t="str">
        <f ca="1">IFERROR(INDEX('Issuance Log'!$E:$E,MATCH(MAXIFS('Issuance Log'!$D:$D,'Issuance Log'!$B:$B,A628,'Issuance Log'!$G:$G,$B$4),IF(('Issuance Log'!$B:$B=A628)*('Issuance Log'!$G:$G=$B$4),'Issuance Log'!$D:$D),0)),"-")</f>
        <v>-</v>
      </c>
    </row>
    <row r="629" spans="1:5" x14ac:dyDescent="0.25">
      <c r="A629" s="2" t="s">
        <v>1220</v>
      </c>
      <c r="B629" s="2" t="s">
        <v>1221</v>
      </c>
      <c r="C629" s="3">
        <f>IFERROR(SUMIFS('Issuance Log'!$D:$D,'Issuance Log'!$B:$B,A629,'Issuance Log'!$G:$G,$B$4),0)</f>
        <v>0</v>
      </c>
      <c r="D629" s="3">
        <f>IFERROR(COUNTIFS('Issuance Log'!$B:$B,A629,'Issuance Log'!$G:$G,$B$4),0)</f>
        <v>0</v>
      </c>
      <c r="E629" s="3" t="str">
        <f ca="1">IFERROR(INDEX('Issuance Log'!$E:$E,MATCH(MAXIFS('Issuance Log'!$D:$D,'Issuance Log'!$B:$B,A629,'Issuance Log'!$G:$G,$B$4),IF(('Issuance Log'!$B:$B=A629)*('Issuance Log'!$G:$G=$B$4),'Issuance Log'!$D:$D),0)),"-")</f>
        <v>-</v>
      </c>
    </row>
    <row r="630" spans="1:5" x14ac:dyDescent="0.25">
      <c r="A630" s="4" t="s">
        <v>1222</v>
      </c>
      <c r="B630" s="4" t="s">
        <v>1223</v>
      </c>
      <c r="C630" s="5">
        <f>IFERROR(SUMIFS('Issuance Log'!$D:$D,'Issuance Log'!$B:$B,A630,'Issuance Log'!$G:$G,$B$4),0)</f>
        <v>0</v>
      </c>
      <c r="D630" s="5">
        <f>IFERROR(COUNTIFS('Issuance Log'!$B:$B,A630,'Issuance Log'!$G:$G,$B$4),0)</f>
        <v>0</v>
      </c>
      <c r="E630" s="5" t="str">
        <f ca="1">IFERROR(INDEX('Issuance Log'!$E:$E,MATCH(MAXIFS('Issuance Log'!$D:$D,'Issuance Log'!$B:$B,A630,'Issuance Log'!$G:$G,$B$4),IF(('Issuance Log'!$B:$B=A630)*('Issuance Log'!$G:$G=$B$4),'Issuance Log'!$D:$D),0)),"-")</f>
        <v>-</v>
      </c>
    </row>
    <row r="631" spans="1:5" x14ac:dyDescent="0.25">
      <c r="A631" s="2" t="s">
        <v>1224</v>
      </c>
      <c r="B631" s="2" t="s">
        <v>1225</v>
      </c>
      <c r="C631" s="3">
        <f>IFERROR(SUMIFS('Issuance Log'!$D:$D,'Issuance Log'!$B:$B,A631,'Issuance Log'!$G:$G,$B$4),0)</f>
        <v>0</v>
      </c>
      <c r="D631" s="3">
        <f>IFERROR(COUNTIFS('Issuance Log'!$B:$B,A631,'Issuance Log'!$G:$G,$B$4),0)</f>
        <v>0</v>
      </c>
      <c r="E631" s="3" t="str">
        <f ca="1">IFERROR(INDEX('Issuance Log'!$E:$E,MATCH(MAXIFS('Issuance Log'!$D:$D,'Issuance Log'!$B:$B,A631,'Issuance Log'!$G:$G,$B$4),IF(('Issuance Log'!$B:$B=A631)*('Issuance Log'!$G:$G=$B$4),'Issuance Log'!$D:$D),0)),"-")</f>
        <v>-</v>
      </c>
    </row>
    <row r="632" spans="1:5" x14ac:dyDescent="0.25">
      <c r="A632" s="4" t="s">
        <v>1226</v>
      </c>
      <c r="B632" s="4" t="s">
        <v>1227</v>
      </c>
      <c r="C632" s="5">
        <f>IFERROR(SUMIFS('Issuance Log'!$D:$D,'Issuance Log'!$B:$B,A632,'Issuance Log'!$G:$G,$B$4),0)</f>
        <v>0</v>
      </c>
      <c r="D632" s="5">
        <f>IFERROR(COUNTIFS('Issuance Log'!$B:$B,A632,'Issuance Log'!$G:$G,$B$4),0)</f>
        <v>0</v>
      </c>
      <c r="E632" s="5" t="str">
        <f ca="1">IFERROR(INDEX('Issuance Log'!$E:$E,MATCH(MAXIFS('Issuance Log'!$D:$D,'Issuance Log'!$B:$B,A632,'Issuance Log'!$G:$G,$B$4),IF(('Issuance Log'!$B:$B=A632)*('Issuance Log'!$G:$G=$B$4),'Issuance Log'!$D:$D),0)),"-")</f>
        <v>-</v>
      </c>
    </row>
    <row r="633" spans="1:5" x14ac:dyDescent="0.25">
      <c r="A633" s="2" t="s">
        <v>1228</v>
      </c>
      <c r="B633" s="2" t="s">
        <v>1229</v>
      </c>
      <c r="C633" s="3">
        <f>IFERROR(SUMIFS('Issuance Log'!$D:$D,'Issuance Log'!$B:$B,A633,'Issuance Log'!$G:$G,$B$4),0)</f>
        <v>0</v>
      </c>
      <c r="D633" s="3">
        <f>IFERROR(COUNTIFS('Issuance Log'!$B:$B,A633,'Issuance Log'!$G:$G,$B$4),0)</f>
        <v>0</v>
      </c>
      <c r="E633" s="3" t="str">
        <f ca="1">IFERROR(INDEX('Issuance Log'!$E:$E,MATCH(MAXIFS('Issuance Log'!$D:$D,'Issuance Log'!$B:$B,A633,'Issuance Log'!$G:$G,$B$4),IF(('Issuance Log'!$B:$B=A633)*('Issuance Log'!$G:$G=$B$4),'Issuance Log'!$D:$D),0)),"-")</f>
        <v>-</v>
      </c>
    </row>
    <row r="634" spans="1:5" x14ac:dyDescent="0.25">
      <c r="A634" s="4" t="s">
        <v>1230</v>
      </c>
      <c r="B634" s="4" t="s">
        <v>1231</v>
      </c>
      <c r="C634" s="5">
        <f>IFERROR(SUMIFS('Issuance Log'!$D:$D,'Issuance Log'!$B:$B,A634,'Issuance Log'!$G:$G,$B$4),0)</f>
        <v>0</v>
      </c>
      <c r="D634" s="5">
        <f>IFERROR(COUNTIFS('Issuance Log'!$B:$B,A634,'Issuance Log'!$G:$G,$B$4),0)</f>
        <v>0</v>
      </c>
      <c r="E634" s="5" t="str">
        <f ca="1">IFERROR(INDEX('Issuance Log'!$E:$E,MATCH(MAXIFS('Issuance Log'!$D:$D,'Issuance Log'!$B:$B,A634,'Issuance Log'!$G:$G,$B$4),IF(('Issuance Log'!$B:$B=A634)*('Issuance Log'!$G:$G=$B$4),'Issuance Log'!$D:$D),0)),"-")</f>
        <v>-</v>
      </c>
    </row>
    <row r="635" spans="1:5" x14ac:dyDescent="0.25">
      <c r="A635" s="2" t="s">
        <v>1232</v>
      </c>
      <c r="B635" s="2" t="s">
        <v>1233</v>
      </c>
      <c r="C635" s="3">
        <f>IFERROR(SUMIFS('Issuance Log'!$D:$D,'Issuance Log'!$B:$B,A635,'Issuance Log'!$G:$G,$B$4),0)</f>
        <v>0</v>
      </c>
      <c r="D635" s="3">
        <f>IFERROR(COUNTIFS('Issuance Log'!$B:$B,A635,'Issuance Log'!$G:$G,$B$4),0)</f>
        <v>0</v>
      </c>
      <c r="E635" s="3" t="str">
        <f ca="1">IFERROR(INDEX('Issuance Log'!$E:$E,MATCH(MAXIFS('Issuance Log'!$D:$D,'Issuance Log'!$B:$B,A635,'Issuance Log'!$G:$G,$B$4),IF(('Issuance Log'!$B:$B=A635)*('Issuance Log'!$G:$G=$B$4),'Issuance Log'!$D:$D),0)),"-")</f>
        <v>-</v>
      </c>
    </row>
    <row r="636" spans="1:5" x14ac:dyDescent="0.25">
      <c r="A636" s="4" t="s">
        <v>1234</v>
      </c>
      <c r="B636" s="4" t="s">
        <v>1235</v>
      </c>
      <c r="C636" s="5">
        <f>IFERROR(SUMIFS('Issuance Log'!$D:$D,'Issuance Log'!$B:$B,A636,'Issuance Log'!$G:$G,$B$4),0)</f>
        <v>0</v>
      </c>
      <c r="D636" s="5">
        <f>IFERROR(COUNTIFS('Issuance Log'!$B:$B,A636,'Issuance Log'!$G:$G,$B$4),0)</f>
        <v>0</v>
      </c>
      <c r="E636" s="5" t="str">
        <f ca="1">IFERROR(INDEX('Issuance Log'!$E:$E,MATCH(MAXIFS('Issuance Log'!$D:$D,'Issuance Log'!$B:$B,A636,'Issuance Log'!$G:$G,$B$4),IF(('Issuance Log'!$B:$B=A636)*('Issuance Log'!$G:$G=$B$4),'Issuance Log'!$D:$D),0)),"-")</f>
        <v>-</v>
      </c>
    </row>
    <row r="637" spans="1:5" x14ac:dyDescent="0.25">
      <c r="A637" s="2" t="s">
        <v>1236</v>
      </c>
      <c r="B637" s="2" t="s">
        <v>1237</v>
      </c>
      <c r="C637" s="3">
        <f>IFERROR(SUMIFS('Issuance Log'!$D:$D,'Issuance Log'!$B:$B,A637,'Issuance Log'!$G:$G,$B$4),0)</f>
        <v>0</v>
      </c>
      <c r="D637" s="3">
        <f>IFERROR(COUNTIFS('Issuance Log'!$B:$B,A637,'Issuance Log'!$G:$G,$B$4),0)</f>
        <v>0</v>
      </c>
      <c r="E637" s="3" t="str">
        <f ca="1">IFERROR(INDEX('Issuance Log'!$E:$E,MATCH(MAXIFS('Issuance Log'!$D:$D,'Issuance Log'!$B:$B,A637,'Issuance Log'!$G:$G,$B$4),IF(('Issuance Log'!$B:$B=A637)*('Issuance Log'!$G:$G=$B$4),'Issuance Log'!$D:$D),0)),"-")</f>
        <v>-</v>
      </c>
    </row>
    <row r="638" spans="1:5" x14ac:dyDescent="0.25">
      <c r="A638" s="4" t="s">
        <v>1238</v>
      </c>
      <c r="B638" s="4" t="s">
        <v>1239</v>
      </c>
      <c r="C638" s="5">
        <f>IFERROR(SUMIFS('Issuance Log'!$D:$D,'Issuance Log'!$B:$B,A638,'Issuance Log'!$G:$G,$B$4),0)</f>
        <v>0</v>
      </c>
      <c r="D638" s="5">
        <f>IFERROR(COUNTIFS('Issuance Log'!$B:$B,A638,'Issuance Log'!$G:$G,$B$4),0)</f>
        <v>0</v>
      </c>
      <c r="E638" s="5" t="str">
        <f ca="1">IFERROR(INDEX('Issuance Log'!$E:$E,MATCH(MAXIFS('Issuance Log'!$D:$D,'Issuance Log'!$B:$B,A638,'Issuance Log'!$G:$G,$B$4),IF(('Issuance Log'!$B:$B=A638)*('Issuance Log'!$G:$G=$B$4),'Issuance Log'!$D:$D),0)),"-")</f>
        <v>-</v>
      </c>
    </row>
    <row r="639" spans="1:5" x14ac:dyDescent="0.25">
      <c r="A639" s="2" t="s">
        <v>1240</v>
      </c>
      <c r="B639" s="2" t="s">
        <v>1241</v>
      </c>
      <c r="C639" s="3">
        <f>IFERROR(SUMIFS('Issuance Log'!$D:$D,'Issuance Log'!$B:$B,A639,'Issuance Log'!$G:$G,$B$4),0)</f>
        <v>0</v>
      </c>
      <c r="D639" s="3">
        <f>IFERROR(COUNTIFS('Issuance Log'!$B:$B,A639,'Issuance Log'!$G:$G,$B$4),0)</f>
        <v>0</v>
      </c>
      <c r="E639" s="3" t="str">
        <f ca="1">IFERROR(INDEX('Issuance Log'!$E:$E,MATCH(MAXIFS('Issuance Log'!$D:$D,'Issuance Log'!$B:$B,A639,'Issuance Log'!$G:$G,$B$4),IF(('Issuance Log'!$B:$B=A639)*('Issuance Log'!$G:$G=$B$4),'Issuance Log'!$D:$D),0)),"-")</f>
        <v>-</v>
      </c>
    </row>
    <row r="640" spans="1:5" x14ac:dyDescent="0.25">
      <c r="A640" s="4" t="s">
        <v>1242</v>
      </c>
      <c r="B640" s="4" t="s">
        <v>1243</v>
      </c>
      <c r="C640" s="5">
        <f>IFERROR(SUMIFS('Issuance Log'!$D:$D,'Issuance Log'!$B:$B,A640,'Issuance Log'!$G:$G,$B$4),0)</f>
        <v>0</v>
      </c>
      <c r="D640" s="5">
        <f>IFERROR(COUNTIFS('Issuance Log'!$B:$B,A640,'Issuance Log'!$G:$G,$B$4),0)</f>
        <v>0</v>
      </c>
      <c r="E640" s="5" t="str">
        <f ca="1">IFERROR(INDEX('Issuance Log'!$E:$E,MATCH(MAXIFS('Issuance Log'!$D:$D,'Issuance Log'!$B:$B,A640,'Issuance Log'!$G:$G,$B$4),IF(('Issuance Log'!$B:$B=A640)*('Issuance Log'!$G:$G=$B$4),'Issuance Log'!$D:$D),0)),"-")</f>
        <v>-</v>
      </c>
    </row>
    <row r="641" spans="1:5" x14ac:dyDescent="0.25">
      <c r="A641" s="2" t="s">
        <v>1244</v>
      </c>
      <c r="B641" s="2" t="s">
        <v>1245</v>
      </c>
      <c r="C641" s="3">
        <f>IFERROR(SUMIFS('Issuance Log'!$D:$D,'Issuance Log'!$B:$B,A641,'Issuance Log'!$G:$G,$B$4),0)</f>
        <v>0</v>
      </c>
      <c r="D641" s="3">
        <f>IFERROR(COUNTIFS('Issuance Log'!$B:$B,A641,'Issuance Log'!$G:$G,$B$4),0)</f>
        <v>0</v>
      </c>
      <c r="E641" s="3" t="str">
        <f ca="1">IFERROR(INDEX('Issuance Log'!$E:$E,MATCH(MAXIFS('Issuance Log'!$D:$D,'Issuance Log'!$B:$B,A641,'Issuance Log'!$G:$G,$B$4),IF(('Issuance Log'!$B:$B=A641)*('Issuance Log'!$G:$G=$B$4),'Issuance Log'!$D:$D),0)),"-")</f>
        <v>-</v>
      </c>
    </row>
    <row r="642" spans="1:5" x14ac:dyDescent="0.25">
      <c r="A642" s="4" t="s">
        <v>1246</v>
      </c>
      <c r="B642" s="4" t="s">
        <v>1247</v>
      </c>
      <c r="C642" s="5">
        <f>IFERROR(SUMIFS('Issuance Log'!$D:$D,'Issuance Log'!$B:$B,A642,'Issuance Log'!$G:$G,$B$4),0)</f>
        <v>0</v>
      </c>
      <c r="D642" s="5">
        <f>IFERROR(COUNTIFS('Issuance Log'!$B:$B,A642,'Issuance Log'!$G:$G,$B$4),0)</f>
        <v>0</v>
      </c>
      <c r="E642" s="5" t="str">
        <f ca="1">IFERROR(INDEX('Issuance Log'!$E:$E,MATCH(MAXIFS('Issuance Log'!$D:$D,'Issuance Log'!$B:$B,A642,'Issuance Log'!$G:$G,$B$4),IF(('Issuance Log'!$B:$B=A642)*('Issuance Log'!$G:$G=$B$4),'Issuance Log'!$D:$D),0)),"-")</f>
        <v>-</v>
      </c>
    </row>
    <row r="643" spans="1:5" x14ac:dyDescent="0.25">
      <c r="A643" s="2" t="s">
        <v>1248</v>
      </c>
      <c r="B643" s="2" t="s">
        <v>1249</v>
      </c>
      <c r="C643" s="3">
        <f>IFERROR(SUMIFS('Issuance Log'!$D:$D,'Issuance Log'!$B:$B,A643,'Issuance Log'!$G:$G,$B$4),0)</f>
        <v>0</v>
      </c>
      <c r="D643" s="3">
        <f>IFERROR(COUNTIFS('Issuance Log'!$B:$B,A643,'Issuance Log'!$G:$G,$B$4),0)</f>
        <v>0</v>
      </c>
      <c r="E643" s="3" t="str">
        <f ca="1">IFERROR(INDEX('Issuance Log'!$E:$E,MATCH(MAXIFS('Issuance Log'!$D:$D,'Issuance Log'!$B:$B,A643,'Issuance Log'!$G:$G,$B$4),IF(('Issuance Log'!$B:$B=A643)*('Issuance Log'!$G:$G=$B$4),'Issuance Log'!$D:$D),0)),"-")</f>
        <v>-</v>
      </c>
    </row>
    <row r="644" spans="1:5" x14ac:dyDescent="0.25">
      <c r="A644" s="4" t="s">
        <v>1250</v>
      </c>
      <c r="B644" s="4" t="s">
        <v>1251</v>
      </c>
      <c r="C644" s="5">
        <f>IFERROR(SUMIFS('Issuance Log'!$D:$D,'Issuance Log'!$B:$B,A644,'Issuance Log'!$G:$G,$B$4),0)</f>
        <v>0</v>
      </c>
      <c r="D644" s="5">
        <f>IFERROR(COUNTIFS('Issuance Log'!$B:$B,A644,'Issuance Log'!$G:$G,$B$4),0)</f>
        <v>0</v>
      </c>
      <c r="E644" s="5" t="str">
        <f ca="1">IFERROR(INDEX('Issuance Log'!$E:$E,MATCH(MAXIFS('Issuance Log'!$D:$D,'Issuance Log'!$B:$B,A644,'Issuance Log'!$G:$G,$B$4),IF(('Issuance Log'!$B:$B=A644)*('Issuance Log'!$G:$G=$B$4),'Issuance Log'!$D:$D),0)),"-")</f>
        <v>-</v>
      </c>
    </row>
    <row r="645" spans="1:5" x14ac:dyDescent="0.25">
      <c r="A645" s="2" t="s">
        <v>1252</v>
      </c>
      <c r="B645" s="2" t="s">
        <v>1253</v>
      </c>
      <c r="C645" s="3">
        <f>IFERROR(SUMIFS('Issuance Log'!$D:$D,'Issuance Log'!$B:$B,A645,'Issuance Log'!$G:$G,$B$4),0)</f>
        <v>0</v>
      </c>
      <c r="D645" s="3">
        <f>IFERROR(COUNTIFS('Issuance Log'!$B:$B,A645,'Issuance Log'!$G:$G,$B$4),0)</f>
        <v>0</v>
      </c>
      <c r="E645" s="3" t="str">
        <f ca="1">IFERROR(INDEX('Issuance Log'!$E:$E,MATCH(MAXIFS('Issuance Log'!$D:$D,'Issuance Log'!$B:$B,A645,'Issuance Log'!$G:$G,$B$4),IF(('Issuance Log'!$B:$B=A645)*('Issuance Log'!$G:$G=$B$4),'Issuance Log'!$D:$D),0)),"-")</f>
        <v>-</v>
      </c>
    </row>
    <row r="646" spans="1:5" x14ac:dyDescent="0.25">
      <c r="A646" s="4" t="s">
        <v>1254</v>
      </c>
      <c r="B646" s="4" t="s">
        <v>1255</v>
      </c>
      <c r="C646" s="5">
        <f>IFERROR(SUMIFS('Issuance Log'!$D:$D,'Issuance Log'!$B:$B,A646,'Issuance Log'!$G:$G,$B$4),0)</f>
        <v>0</v>
      </c>
      <c r="D646" s="5">
        <f>IFERROR(COUNTIFS('Issuance Log'!$B:$B,A646,'Issuance Log'!$G:$G,$B$4),0)</f>
        <v>0</v>
      </c>
      <c r="E646" s="5" t="str">
        <f ca="1">IFERROR(INDEX('Issuance Log'!$E:$E,MATCH(MAXIFS('Issuance Log'!$D:$D,'Issuance Log'!$B:$B,A646,'Issuance Log'!$G:$G,$B$4),IF(('Issuance Log'!$B:$B=A646)*('Issuance Log'!$G:$G=$B$4),'Issuance Log'!$D:$D),0)),"-")</f>
        <v>-</v>
      </c>
    </row>
    <row r="647" spans="1:5" x14ac:dyDescent="0.25">
      <c r="A647" s="2" t="s">
        <v>1256</v>
      </c>
      <c r="B647" s="2" t="s">
        <v>1257</v>
      </c>
      <c r="C647" s="3">
        <f>IFERROR(SUMIFS('Issuance Log'!$D:$D,'Issuance Log'!$B:$B,A647,'Issuance Log'!$G:$G,$B$4),0)</f>
        <v>0</v>
      </c>
      <c r="D647" s="3">
        <f>IFERROR(COUNTIFS('Issuance Log'!$B:$B,A647,'Issuance Log'!$G:$G,$B$4),0)</f>
        <v>0</v>
      </c>
      <c r="E647" s="3" t="str">
        <f ca="1">IFERROR(INDEX('Issuance Log'!$E:$E,MATCH(MAXIFS('Issuance Log'!$D:$D,'Issuance Log'!$B:$B,A647,'Issuance Log'!$G:$G,$B$4),IF(('Issuance Log'!$B:$B=A647)*('Issuance Log'!$G:$G=$B$4),'Issuance Log'!$D:$D),0)),"-")</f>
        <v>-</v>
      </c>
    </row>
    <row r="648" spans="1:5" x14ac:dyDescent="0.25">
      <c r="A648" s="4" t="s">
        <v>1258</v>
      </c>
      <c r="B648" s="4" t="s">
        <v>1259</v>
      </c>
      <c r="C648" s="5">
        <f>IFERROR(SUMIFS('Issuance Log'!$D:$D,'Issuance Log'!$B:$B,A648,'Issuance Log'!$G:$G,$B$4),0)</f>
        <v>0</v>
      </c>
      <c r="D648" s="5">
        <f>IFERROR(COUNTIFS('Issuance Log'!$B:$B,A648,'Issuance Log'!$G:$G,$B$4),0)</f>
        <v>0</v>
      </c>
      <c r="E648" s="5" t="str">
        <f ca="1">IFERROR(INDEX('Issuance Log'!$E:$E,MATCH(MAXIFS('Issuance Log'!$D:$D,'Issuance Log'!$B:$B,A648,'Issuance Log'!$G:$G,$B$4),IF(('Issuance Log'!$B:$B=A648)*('Issuance Log'!$G:$G=$B$4),'Issuance Log'!$D:$D),0)),"-")</f>
        <v>-</v>
      </c>
    </row>
    <row r="649" spans="1:5" x14ac:dyDescent="0.25">
      <c r="A649" s="2" t="s">
        <v>1260</v>
      </c>
      <c r="B649" s="2" t="s">
        <v>1261</v>
      </c>
      <c r="C649" s="3">
        <f>IFERROR(SUMIFS('Issuance Log'!$D:$D,'Issuance Log'!$B:$B,A649,'Issuance Log'!$G:$G,$B$4),0)</f>
        <v>0</v>
      </c>
      <c r="D649" s="3">
        <f>IFERROR(COUNTIFS('Issuance Log'!$B:$B,A649,'Issuance Log'!$G:$G,$B$4),0)</f>
        <v>0</v>
      </c>
      <c r="E649" s="3" t="str">
        <f ca="1">IFERROR(INDEX('Issuance Log'!$E:$E,MATCH(MAXIFS('Issuance Log'!$D:$D,'Issuance Log'!$B:$B,A649,'Issuance Log'!$G:$G,$B$4),IF(('Issuance Log'!$B:$B=A649)*('Issuance Log'!$G:$G=$B$4),'Issuance Log'!$D:$D),0)),"-")</f>
        <v>-</v>
      </c>
    </row>
    <row r="650" spans="1:5" x14ac:dyDescent="0.25">
      <c r="A650" s="4" t="s">
        <v>1262</v>
      </c>
      <c r="B650" s="4" t="s">
        <v>1263</v>
      </c>
      <c r="C650" s="5">
        <f>IFERROR(SUMIFS('Issuance Log'!$D:$D,'Issuance Log'!$B:$B,A650,'Issuance Log'!$G:$G,$B$4),0)</f>
        <v>0</v>
      </c>
      <c r="D650" s="5">
        <f>IFERROR(COUNTIFS('Issuance Log'!$B:$B,A650,'Issuance Log'!$G:$G,$B$4),0)</f>
        <v>0</v>
      </c>
      <c r="E650" s="5" t="str">
        <f ca="1">IFERROR(INDEX('Issuance Log'!$E:$E,MATCH(MAXIFS('Issuance Log'!$D:$D,'Issuance Log'!$B:$B,A650,'Issuance Log'!$G:$G,$B$4),IF(('Issuance Log'!$B:$B=A650)*('Issuance Log'!$G:$G=$B$4),'Issuance Log'!$D:$D),0)),"-")</f>
        <v>-</v>
      </c>
    </row>
    <row r="651" spans="1:5" x14ac:dyDescent="0.25">
      <c r="A651" s="2" t="s">
        <v>1264</v>
      </c>
      <c r="B651" s="2" t="s">
        <v>1265</v>
      </c>
      <c r="C651" s="3">
        <f>IFERROR(SUMIFS('Issuance Log'!$D:$D,'Issuance Log'!$B:$B,A651,'Issuance Log'!$G:$G,$B$4),0)</f>
        <v>0</v>
      </c>
      <c r="D651" s="3">
        <f>IFERROR(COUNTIFS('Issuance Log'!$B:$B,A651,'Issuance Log'!$G:$G,$B$4),0)</f>
        <v>0</v>
      </c>
      <c r="E651" s="3" t="str">
        <f ca="1">IFERROR(INDEX('Issuance Log'!$E:$E,MATCH(MAXIFS('Issuance Log'!$D:$D,'Issuance Log'!$B:$B,A651,'Issuance Log'!$G:$G,$B$4),IF(('Issuance Log'!$B:$B=A651)*('Issuance Log'!$G:$G=$B$4),'Issuance Log'!$D:$D),0)),"-")</f>
        <v>-</v>
      </c>
    </row>
    <row r="652" spans="1:5" x14ac:dyDescent="0.25">
      <c r="A652" s="4" t="s">
        <v>1266</v>
      </c>
      <c r="B652" s="4" t="s">
        <v>1267</v>
      </c>
      <c r="C652" s="5">
        <f>IFERROR(SUMIFS('Issuance Log'!$D:$D,'Issuance Log'!$B:$B,A652,'Issuance Log'!$G:$G,$B$4),0)</f>
        <v>0</v>
      </c>
      <c r="D652" s="5">
        <f>IFERROR(COUNTIFS('Issuance Log'!$B:$B,A652,'Issuance Log'!$G:$G,$B$4),0)</f>
        <v>0</v>
      </c>
      <c r="E652" s="5" t="str">
        <f ca="1">IFERROR(INDEX('Issuance Log'!$E:$E,MATCH(MAXIFS('Issuance Log'!$D:$D,'Issuance Log'!$B:$B,A652,'Issuance Log'!$G:$G,$B$4),IF(('Issuance Log'!$B:$B=A652)*('Issuance Log'!$G:$G=$B$4),'Issuance Log'!$D:$D),0)),"-")</f>
        <v>-</v>
      </c>
    </row>
    <row r="653" spans="1:5" x14ac:dyDescent="0.25">
      <c r="A653" s="2" t="s">
        <v>1268</v>
      </c>
      <c r="B653" s="2" t="s">
        <v>1269</v>
      </c>
      <c r="C653" s="3">
        <f>IFERROR(SUMIFS('Issuance Log'!$D:$D,'Issuance Log'!$B:$B,A653,'Issuance Log'!$G:$G,$B$4),0)</f>
        <v>0</v>
      </c>
      <c r="D653" s="3">
        <f>IFERROR(COUNTIFS('Issuance Log'!$B:$B,A653,'Issuance Log'!$G:$G,$B$4),0)</f>
        <v>0</v>
      </c>
      <c r="E653" s="3" t="str">
        <f ca="1">IFERROR(INDEX('Issuance Log'!$E:$E,MATCH(MAXIFS('Issuance Log'!$D:$D,'Issuance Log'!$B:$B,A653,'Issuance Log'!$G:$G,$B$4),IF(('Issuance Log'!$B:$B=A653)*('Issuance Log'!$G:$G=$B$4),'Issuance Log'!$D:$D),0)),"-")</f>
        <v>-</v>
      </c>
    </row>
    <row r="654" spans="1:5" x14ac:dyDescent="0.25">
      <c r="A654" s="4" t="s">
        <v>1270</v>
      </c>
      <c r="B654" s="4" t="s">
        <v>1271</v>
      </c>
      <c r="C654" s="5">
        <f>IFERROR(SUMIFS('Issuance Log'!$D:$D,'Issuance Log'!$B:$B,A654,'Issuance Log'!$G:$G,$B$4),0)</f>
        <v>0</v>
      </c>
      <c r="D654" s="5">
        <f>IFERROR(COUNTIFS('Issuance Log'!$B:$B,A654,'Issuance Log'!$G:$G,$B$4),0)</f>
        <v>0</v>
      </c>
      <c r="E654" s="5" t="str">
        <f ca="1">IFERROR(INDEX('Issuance Log'!$E:$E,MATCH(MAXIFS('Issuance Log'!$D:$D,'Issuance Log'!$B:$B,A654,'Issuance Log'!$G:$G,$B$4),IF(('Issuance Log'!$B:$B=A654)*('Issuance Log'!$G:$G=$B$4),'Issuance Log'!$D:$D),0)),"-")</f>
        <v>-</v>
      </c>
    </row>
    <row r="655" spans="1:5" x14ac:dyDescent="0.25">
      <c r="A655" s="2" t="s">
        <v>1272</v>
      </c>
      <c r="B655" s="2" t="s">
        <v>1273</v>
      </c>
      <c r="C655" s="3">
        <f>IFERROR(SUMIFS('Issuance Log'!$D:$D,'Issuance Log'!$B:$B,A655,'Issuance Log'!$G:$G,$B$4),0)</f>
        <v>0</v>
      </c>
      <c r="D655" s="3">
        <f>IFERROR(COUNTIFS('Issuance Log'!$B:$B,A655,'Issuance Log'!$G:$G,$B$4),0)</f>
        <v>0</v>
      </c>
      <c r="E655" s="3" t="str">
        <f ca="1">IFERROR(INDEX('Issuance Log'!$E:$E,MATCH(MAXIFS('Issuance Log'!$D:$D,'Issuance Log'!$B:$B,A655,'Issuance Log'!$G:$G,$B$4),IF(('Issuance Log'!$B:$B=A655)*('Issuance Log'!$G:$G=$B$4),'Issuance Log'!$D:$D),0)),"-")</f>
        <v>-</v>
      </c>
    </row>
    <row r="656" spans="1:5" x14ac:dyDescent="0.25">
      <c r="A656" s="4" t="s">
        <v>1274</v>
      </c>
      <c r="B656" s="4" t="s">
        <v>1275</v>
      </c>
      <c r="C656" s="5">
        <f>IFERROR(SUMIFS('Issuance Log'!$D:$D,'Issuance Log'!$B:$B,A656,'Issuance Log'!$G:$G,$B$4),0)</f>
        <v>0</v>
      </c>
      <c r="D656" s="5">
        <f>IFERROR(COUNTIFS('Issuance Log'!$B:$B,A656,'Issuance Log'!$G:$G,$B$4),0)</f>
        <v>0</v>
      </c>
      <c r="E656" s="5" t="str">
        <f ca="1">IFERROR(INDEX('Issuance Log'!$E:$E,MATCH(MAXIFS('Issuance Log'!$D:$D,'Issuance Log'!$B:$B,A656,'Issuance Log'!$G:$G,$B$4),IF(('Issuance Log'!$B:$B=A656)*('Issuance Log'!$G:$G=$B$4),'Issuance Log'!$D:$D),0)),"-")</f>
        <v>-</v>
      </c>
    </row>
    <row r="657" spans="1:5" x14ac:dyDescent="0.25">
      <c r="A657" s="2" t="s">
        <v>1276</v>
      </c>
      <c r="B657" s="2" t="s">
        <v>1277</v>
      </c>
      <c r="C657" s="3">
        <f>IFERROR(SUMIFS('Issuance Log'!$D:$D,'Issuance Log'!$B:$B,A657,'Issuance Log'!$G:$G,$B$4),0)</f>
        <v>0</v>
      </c>
      <c r="D657" s="3">
        <f>IFERROR(COUNTIFS('Issuance Log'!$B:$B,A657,'Issuance Log'!$G:$G,$B$4),0)</f>
        <v>0</v>
      </c>
      <c r="E657" s="3" t="str">
        <f ca="1">IFERROR(INDEX('Issuance Log'!$E:$E,MATCH(MAXIFS('Issuance Log'!$D:$D,'Issuance Log'!$B:$B,A657,'Issuance Log'!$G:$G,$B$4),IF(('Issuance Log'!$B:$B=A657)*('Issuance Log'!$G:$G=$B$4),'Issuance Log'!$D:$D),0)),"-")</f>
        <v>-</v>
      </c>
    </row>
    <row r="658" spans="1:5" x14ac:dyDescent="0.25">
      <c r="A658" s="4" t="s">
        <v>1278</v>
      </c>
      <c r="B658" s="4" t="s">
        <v>1279</v>
      </c>
      <c r="C658" s="5">
        <f>IFERROR(SUMIFS('Issuance Log'!$D:$D,'Issuance Log'!$B:$B,A658,'Issuance Log'!$G:$G,$B$4),0)</f>
        <v>0</v>
      </c>
      <c r="D658" s="5">
        <f>IFERROR(COUNTIFS('Issuance Log'!$B:$B,A658,'Issuance Log'!$G:$G,$B$4),0)</f>
        <v>0</v>
      </c>
      <c r="E658" s="5" t="str">
        <f ca="1">IFERROR(INDEX('Issuance Log'!$E:$E,MATCH(MAXIFS('Issuance Log'!$D:$D,'Issuance Log'!$B:$B,A658,'Issuance Log'!$G:$G,$B$4),IF(('Issuance Log'!$B:$B=A658)*('Issuance Log'!$G:$G=$B$4),'Issuance Log'!$D:$D),0)),"-")</f>
        <v>-</v>
      </c>
    </row>
    <row r="659" spans="1:5" x14ac:dyDescent="0.25">
      <c r="A659" s="2" t="s">
        <v>1280</v>
      </c>
      <c r="B659" s="2" t="s">
        <v>1281</v>
      </c>
      <c r="C659" s="3">
        <f>IFERROR(SUMIFS('Issuance Log'!$D:$D,'Issuance Log'!$B:$B,A659,'Issuance Log'!$G:$G,$B$4),0)</f>
        <v>0</v>
      </c>
      <c r="D659" s="3">
        <f>IFERROR(COUNTIFS('Issuance Log'!$B:$B,A659,'Issuance Log'!$G:$G,$B$4),0)</f>
        <v>0</v>
      </c>
      <c r="E659" s="3" t="str">
        <f ca="1">IFERROR(INDEX('Issuance Log'!$E:$E,MATCH(MAXIFS('Issuance Log'!$D:$D,'Issuance Log'!$B:$B,A659,'Issuance Log'!$G:$G,$B$4),IF(('Issuance Log'!$B:$B=A659)*('Issuance Log'!$G:$G=$B$4),'Issuance Log'!$D:$D),0)),"-")</f>
        <v>-</v>
      </c>
    </row>
    <row r="660" spans="1:5" x14ac:dyDescent="0.25">
      <c r="A660" s="4" t="s">
        <v>1282</v>
      </c>
      <c r="B660" s="4" t="s">
        <v>1283</v>
      </c>
      <c r="C660" s="5">
        <f>IFERROR(SUMIFS('Issuance Log'!$D:$D,'Issuance Log'!$B:$B,A660,'Issuance Log'!$G:$G,$B$4),0)</f>
        <v>0</v>
      </c>
      <c r="D660" s="5">
        <f>IFERROR(COUNTIFS('Issuance Log'!$B:$B,A660,'Issuance Log'!$G:$G,$B$4),0)</f>
        <v>0</v>
      </c>
      <c r="E660" s="5" t="str">
        <f ca="1">IFERROR(INDEX('Issuance Log'!$E:$E,MATCH(MAXIFS('Issuance Log'!$D:$D,'Issuance Log'!$B:$B,A660,'Issuance Log'!$G:$G,$B$4),IF(('Issuance Log'!$B:$B=A660)*('Issuance Log'!$G:$G=$B$4),'Issuance Log'!$D:$D),0)),"-")</f>
        <v>-</v>
      </c>
    </row>
    <row r="661" spans="1:5" x14ac:dyDescent="0.25">
      <c r="A661" s="2" t="s">
        <v>1284</v>
      </c>
      <c r="B661" s="2" t="s">
        <v>1285</v>
      </c>
      <c r="C661" s="3">
        <f>IFERROR(SUMIFS('Issuance Log'!$D:$D,'Issuance Log'!$B:$B,A661,'Issuance Log'!$G:$G,$B$4),0)</f>
        <v>0</v>
      </c>
      <c r="D661" s="3">
        <f>IFERROR(COUNTIFS('Issuance Log'!$B:$B,A661,'Issuance Log'!$G:$G,$B$4),0)</f>
        <v>0</v>
      </c>
      <c r="E661" s="3" t="str">
        <f ca="1">IFERROR(INDEX('Issuance Log'!$E:$E,MATCH(MAXIFS('Issuance Log'!$D:$D,'Issuance Log'!$B:$B,A661,'Issuance Log'!$G:$G,$B$4),IF(('Issuance Log'!$B:$B=A661)*('Issuance Log'!$G:$G=$B$4),'Issuance Log'!$D:$D),0)),"-")</f>
        <v>-</v>
      </c>
    </row>
    <row r="662" spans="1:5" x14ac:dyDescent="0.25">
      <c r="A662" s="4" t="s">
        <v>1286</v>
      </c>
      <c r="B662" s="4" t="s">
        <v>1287</v>
      </c>
      <c r="C662" s="5">
        <f>IFERROR(SUMIFS('Issuance Log'!$D:$D,'Issuance Log'!$B:$B,A662,'Issuance Log'!$G:$G,$B$4),0)</f>
        <v>0</v>
      </c>
      <c r="D662" s="5">
        <f>IFERROR(COUNTIFS('Issuance Log'!$B:$B,A662,'Issuance Log'!$G:$G,$B$4),0)</f>
        <v>0</v>
      </c>
      <c r="E662" s="5" t="str">
        <f ca="1">IFERROR(INDEX('Issuance Log'!$E:$E,MATCH(MAXIFS('Issuance Log'!$D:$D,'Issuance Log'!$B:$B,A662,'Issuance Log'!$G:$G,$B$4),IF(('Issuance Log'!$B:$B=A662)*('Issuance Log'!$G:$G=$B$4),'Issuance Log'!$D:$D),0)),"-")</f>
        <v>-</v>
      </c>
    </row>
    <row r="663" spans="1:5" x14ac:dyDescent="0.25">
      <c r="A663" s="2" t="s">
        <v>1288</v>
      </c>
      <c r="B663" s="2" t="s">
        <v>1289</v>
      </c>
      <c r="C663" s="3">
        <f>IFERROR(SUMIFS('Issuance Log'!$D:$D,'Issuance Log'!$B:$B,A663,'Issuance Log'!$G:$G,$B$4),0)</f>
        <v>0</v>
      </c>
      <c r="D663" s="3">
        <f>IFERROR(COUNTIFS('Issuance Log'!$B:$B,A663,'Issuance Log'!$G:$G,$B$4),0)</f>
        <v>0</v>
      </c>
      <c r="E663" s="3" t="str">
        <f ca="1">IFERROR(INDEX('Issuance Log'!$E:$E,MATCH(MAXIFS('Issuance Log'!$D:$D,'Issuance Log'!$B:$B,A663,'Issuance Log'!$G:$G,$B$4),IF(('Issuance Log'!$B:$B=A663)*('Issuance Log'!$G:$G=$B$4),'Issuance Log'!$D:$D),0)),"-")</f>
        <v>-</v>
      </c>
    </row>
    <row r="664" spans="1:5" x14ac:dyDescent="0.25">
      <c r="A664" s="4" t="s">
        <v>1290</v>
      </c>
      <c r="B664" s="4" t="s">
        <v>1291</v>
      </c>
      <c r="C664" s="5">
        <f>IFERROR(SUMIFS('Issuance Log'!$D:$D,'Issuance Log'!$B:$B,A664,'Issuance Log'!$G:$G,$B$4),0)</f>
        <v>0</v>
      </c>
      <c r="D664" s="5">
        <f>IFERROR(COUNTIFS('Issuance Log'!$B:$B,A664,'Issuance Log'!$G:$G,$B$4),0)</f>
        <v>0</v>
      </c>
      <c r="E664" s="5" t="str">
        <f ca="1">IFERROR(INDEX('Issuance Log'!$E:$E,MATCH(MAXIFS('Issuance Log'!$D:$D,'Issuance Log'!$B:$B,A664,'Issuance Log'!$G:$G,$B$4),IF(('Issuance Log'!$B:$B=A664)*('Issuance Log'!$G:$G=$B$4),'Issuance Log'!$D:$D),0)),"-")</f>
        <v>-</v>
      </c>
    </row>
    <row r="665" spans="1:5" x14ac:dyDescent="0.25">
      <c r="A665" s="2" t="s">
        <v>1292</v>
      </c>
      <c r="B665" s="2" t="s">
        <v>1293</v>
      </c>
      <c r="C665" s="3">
        <f>IFERROR(SUMIFS('Issuance Log'!$D:$D,'Issuance Log'!$B:$B,A665,'Issuance Log'!$G:$G,$B$4),0)</f>
        <v>0</v>
      </c>
      <c r="D665" s="3">
        <f>IFERROR(COUNTIFS('Issuance Log'!$B:$B,A665,'Issuance Log'!$G:$G,$B$4),0)</f>
        <v>0</v>
      </c>
      <c r="E665" s="3" t="str">
        <f ca="1">IFERROR(INDEX('Issuance Log'!$E:$E,MATCH(MAXIFS('Issuance Log'!$D:$D,'Issuance Log'!$B:$B,A665,'Issuance Log'!$G:$G,$B$4),IF(('Issuance Log'!$B:$B=A665)*('Issuance Log'!$G:$G=$B$4),'Issuance Log'!$D:$D),0)),"-")</f>
        <v>-</v>
      </c>
    </row>
    <row r="666" spans="1:5" x14ac:dyDescent="0.25">
      <c r="A666" s="4" t="s">
        <v>1294</v>
      </c>
      <c r="B666" s="4" t="s">
        <v>1295</v>
      </c>
      <c r="C666" s="5">
        <f>IFERROR(SUMIFS('Issuance Log'!$D:$D,'Issuance Log'!$B:$B,A666,'Issuance Log'!$G:$G,$B$4),0)</f>
        <v>0</v>
      </c>
      <c r="D666" s="5">
        <f>IFERROR(COUNTIFS('Issuance Log'!$B:$B,A666,'Issuance Log'!$G:$G,$B$4),0)</f>
        <v>0</v>
      </c>
      <c r="E666" s="5" t="str">
        <f ca="1">IFERROR(INDEX('Issuance Log'!$E:$E,MATCH(MAXIFS('Issuance Log'!$D:$D,'Issuance Log'!$B:$B,A666,'Issuance Log'!$G:$G,$B$4),IF(('Issuance Log'!$B:$B=A666)*('Issuance Log'!$G:$G=$B$4),'Issuance Log'!$D:$D),0)),"-")</f>
        <v>-</v>
      </c>
    </row>
    <row r="667" spans="1:5" x14ac:dyDescent="0.25">
      <c r="A667" s="2" t="s">
        <v>1296</v>
      </c>
      <c r="B667" s="2" t="s">
        <v>1297</v>
      </c>
      <c r="C667" s="3">
        <f>IFERROR(SUMIFS('Issuance Log'!$D:$D,'Issuance Log'!$B:$B,A667,'Issuance Log'!$G:$G,$B$4),0)</f>
        <v>0</v>
      </c>
      <c r="D667" s="3">
        <f>IFERROR(COUNTIFS('Issuance Log'!$B:$B,A667,'Issuance Log'!$G:$G,$B$4),0)</f>
        <v>0</v>
      </c>
      <c r="E667" s="3" t="str">
        <f ca="1">IFERROR(INDEX('Issuance Log'!$E:$E,MATCH(MAXIFS('Issuance Log'!$D:$D,'Issuance Log'!$B:$B,A667,'Issuance Log'!$G:$G,$B$4),IF(('Issuance Log'!$B:$B=A667)*('Issuance Log'!$G:$G=$B$4),'Issuance Log'!$D:$D),0)),"-")</f>
        <v>-</v>
      </c>
    </row>
    <row r="668" spans="1:5" x14ac:dyDescent="0.25">
      <c r="A668" s="4" t="s">
        <v>1298</v>
      </c>
      <c r="B668" s="4" t="s">
        <v>1299</v>
      </c>
      <c r="C668" s="5">
        <f>IFERROR(SUMIFS('Issuance Log'!$D:$D,'Issuance Log'!$B:$B,A668,'Issuance Log'!$G:$G,$B$4),0)</f>
        <v>0</v>
      </c>
      <c r="D668" s="5">
        <f>IFERROR(COUNTIFS('Issuance Log'!$B:$B,A668,'Issuance Log'!$G:$G,$B$4),0)</f>
        <v>0</v>
      </c>
      <c r="E668" s="5" t="str">
        <f ca="1">IFERROR(INDEX('Issuance Log'!$E:$E,MATCH(MAXIFS('Issuance Log'!$D:$D,'Issuance Log'!$B:$B,A668,'Issuance Log'!$G:$G,$B$4),IF(('Issuance Log'!$B:$B=A668)*('Issuance Log'!$G:$G=$B$4),'Issuance Log'!$D:$D),0)),"-")</f>
        <v>-</v>
      </c>
    </row>
    <row r="669" spans="1:5" x14ac:dyDescent="0.25">
      <c r="A669" s="2" t="s">
        <v>1300</v>
      </c>
      <c r="B669" s="2" t="s">
        <v>1301</v>
      </c>
      <c r="C669" s="3">
        <f>IFERROR(SUMIFS('Issuance Log'!$D:$D,'Issuance Log'!$B:$B,A669,'Issuance Log'!$G:$G,$B$4),0)</f>
        <v>0</v>
      </c>
      <c r="D669" s="3">
        <f>IFERROR(COUNTIFS('Issuance Log'!$B:$B,A669,'Issuance Log'!$G:$G,$B$4),0)</f>
        <v>0</v>
      </c>
      <c r="E669" s="3" t="str">
        <f ca="1">IFERROR(INDEX('Issuance Log'!$E:$E,MATCH(MAXIFS('Issuance Log'!$D:$D,'Issuance Log'!$B:$B,A669,'Issuance Log'!$G:$G,$B$4),IF(('Issuance Log'!$B:$B=A669)*('Issuance Log'!$G:$G=$B$4),'Issuance Log'!$D:$D),0)),"-")</f>
        <v>-</v>
      </c>
    </row>
    <row r="670" spans="1:5" x14ac:dyDescent="0.25">
      <c r="A670" s="4" t="s">
        <v>1302</v>
      </c>
      <c r="B670" s="4" t="s">
        <v>1303</v>
      </c>
      <c r="C670" s="5">
        <f>IFERROR(SUMIFS('Issuance Log'!$D:$D,'Issuance Log'!$B:$B,A670,'Issuance Log'!$G:$G,$B$4),0)</f>
        <v>0</v>
      </c>
      <c r="D670" s="5">
        <f>IFERROR(COUNTIFS('Issuance Log'!$B:$B,A670,'Issuance Log'!$G:$G,$B$4),0)</f>
        <v>0</v>
      </c>
      <c r="E670" s="5" t="str">
        <f ca="1">IFERROR(INDEX('Issuance Log'!$E:$E,MATCH(MAXIFS('Issuance Log'!$D:$D,'Issuance Log'!$B:$B,A670,'Issuance Log'!$G:$G,$B$4),IF(('Issuance Log'!$B:$B=A670)*('Issuance Log'!$G:$G=$B$4),'Issuance Log'!$D:$D),0)),"-")</f>
        <v>-</v>
      </c>
    </row>
    <row r="671" spans="1:5" x14ac:dyDescent="0.25">
      <c r="A671" s="2" t="s">
        <v>1304</v>
      </c>
      <c r="B671" s="2" t="s">
        <v>1305</v>
      </c>
      <c r="C671" s="3">
        <f>IFERROR(SUMIFS('Issuance Log'!$D:$D,'Issuance Log'!$B:$B,A671,'Issuance Log'!$G:$G,$B$4),0)</f>
        <v>0</v>
      </c>
      <c r="D671" s="3">
        <f>IFERROR(COUNTIFS('Issuance Log'!$B:$B,A671,'Issuance Log'!$G:$G,$B$4),0)</f>
        <v>0</v>
      </c>
      <c r="E671" s="3" t="str">
        <f ca="1">IFERROR(INDEX('Issuance Log'!$E:$E,MATCH(MAXIFS('Issuance Log'!$D:$D,'Issuance Log'!$B:$B,A671,'Issuance Log'!$G:$G,$B$4),IF(('Issuance Log'!$B:$B=A671)*('Issuance Log'!$G:$G=$B$4),'Issuance Log'!$D:$D),0)),"-")</f>
        <v>-</v>
      </c>
    </row>
    <row r="672" spans="1:5" x14ac:dyDescent="0.25">
      <c r="A672" s="4" t="s">
        <v>1306</v>
      </c>
      <c r="B672" s="4" t="s">
        <v>1307</v>
      </c>
      <c r="C672" s="5">
        <f>IFERROR(SUMIFS('Issuance Log'!$D:$D,'Issuance Log'!$B:$B,A672,'Issuance Log'!$G:$G,$B$4),0)</f>
        <v>0</v>
      </c>
      <c r="D672" s="5">
        <f>IFERROR(COUNTIFS('Issuance Log'!$B:$B,A672,'Issuance Log'!$G:$G,$B$4),0)</f>
        <v>0</v>
      </c>
      <c r="E672" s="5" t="str">
        <f ca="1">IFERROR(INDEX('Issuance Log'!$E:$E,MATCH(MAXIFS('Issuance Log'!$D:$D,'Issuance Log'!$B:$B,A672,'Issuance Log'!$G:$G,$B$4),IF(('Issuance Log'!$B:$B=A672)*('Issuance Log'!$G:$G=$B$4),'Issuance Log'!$D:$D),0)),"-")</f>
        <v>-</v>
      </c>
    </row>
    <row r="673" spans="1:5" x14ac:dyDescent="0.25">
      <c r="A673" s="2" t="s">
        <v>1308</v>
      </c>
      <c r="B673" s="2" t="s">
        <v>1309</v>
      </c>
      <c r="C673" s="3">
        <f>IFERROR(SUMIFS('Issuance Log'!$D:$D,'Issuance Log'!$B:$B,A673,'Issuance Log'!$G:$G,$B$4),0)</f>
        <v>0</v>
      </c>
      <c r="D673" s="3">
        <f>IFERROR(COUNTIFS('Issuance Log'!$B:$B,A673,'Issuance Log'!$G:$G,$B$4),0)</f>
        <v>0</v>
      </c>
      <c r="E673" s="3" t="str">
        <f ca="1">IFERROR(INDEX('Issuance Log'!$E:$E,MATCH(MAXIFS('Issuance Log'!$D:$D,'Issuance Log'!$B:$B,A673,'Issuance Log'!$G:$G,$B$4),IF(('Issuance Log'!$B:$B=A673)*('Issuance Log'!$G:$G=$B$4),'Issuance Log'!$D:$D),0)),"-")</f>
        <v>-</v>
      </c>
    </row>
    <row r="674" spans="1:5" x14ac:dyDescent="0.25">
      <c r="A674" s="4" t="s">
        <v>1310</v>
      </c>
      <c r="B674" s="4" t="s">
        <v>1311</v>
      </c>
      <c r="C674" s="5">
        <f>IFERROR(SUMIFS('Issuance Log'!$D:$D,'Issuance Log'!$B:$B,A674,'Issuance Log'!$G:$G,$B$4),0)</f>
        <v>0</v>
      </c>
      <c r="D674" s="5">
        <f>IFERROR(COUNTIFS('Issuance Log'!$B:$B,A674,'Issuance Log'!$G:$G,$B$4),0)</f>
        <v>0</v>
      </c>
      <c r="E674" s="5" t="str">
        <f ca="1">IFERROR(INDEX('Issuance Log'!$E:$E,MATCH(MAXIFS('Issuance Log'!$D:$D,'Issuance Log'!$B:$B,A674,'Issuance Log'!$G:$G,$B$4),IF(('Issuance Log'!$B:$B=A674)*('Issuance Log'!$G:$G=$B$4),'Issuance Log'!$D:$D),0)),"-")</f>
        <v>-</v>
      </c>
    </row>
    <row r="675" spans="1:5" x14ac:dyDescent="0.25">
      <c r="A675" s="2" t="s">
        <v>1312</v>
      </c>
      <c r="B675" s="2" t="s">
        <v>1313</v>
      </c>
      <c r="C675" s="3">
        <f>IFERROR(SUMIFS('Issuance Log'!$D:$D,'Issuance Log'!$B:$B,A675,'Issuance Log'!$G:$G,$B$4),0)</f>
        <v>0</v>
      </c>
      <c r="D675" s="3">
        <f>IFERROR(COUNTIFS('Issuance Log'!$B:$B,A675,'Issuance Log'!$G:$G,$B$4),0)</f>
        <v>0</v>
      </c>
      <c r="E675" s="3" t="str">
        <f ca="1">IFERROR(INDEX('Issuance Log'!$E:$E,MATCH(MAXIFS('Issuance Log'!$D:$D,'Issuance Log'!$B:$B,A675,'Issuance Log'!$G:$G,$B$4),IF(('Issuance Log'!$B:$B=A675)*('Issuance Log'!$G:$G=$B$4),'Issuance Log'!$D:$D),0)),"-")</f>
        <v>-</v>
      </c>
    </row>
    <row r="676" spans="1:5" x14ac:dyDescent="0.25">
      <c r="A676" s="4" t="s">
        <v>1314</v>
      </c>
      <c r="B676" s="4" t="s">
        <v>1315</v>
      </c>
      <c r="C676" s="5">
        <f>IFERROR(SUMIFS('Issuance Log'!$D:$D,'Issuance Log'!$B:$B,A676,'Issuance Log'!$G:$G,$B$4),0)</f>
        <v>0</v>
      </c>
      <c r="D676" s="5">
        <f>IFERROR(COUNTIFS('Issuance Log'!$B:$B,A676,'Issuance Log'!$G:$G,$B$4),0)</f>
        <v>0</v>
      </c>
      <c r="E676" s="5" t="str">
        <f ca="1">IFERROR(INDEX('Issuance Log'!$E:$E,MATCH(MAXIFS('Issuance Log'!$D:$D,'Issuance Log'!$B:$B,A676,'Issuance Log'!$G:$G,$B$4),IF(('Issuance Log'!$B:$B=A676)*('Issuance Log'!$G:$G=$B$4),'Issuance Log'!$D:$D),0)),"-")</f>
        <v>-</v>
      </c>
    </row>
    <row r="677" spans="1:5" x14ac:dyDescent="0.25">
      <c r="A677" s="2" t="s">
        <v>1316</v>
      </c>
      <c r="B677" s="2" t="s">
        <v>1317</v>
      </c>
      <c r="C677" s="3">
        <f>IFERROR(SUMIFS('Issuance Log'!$D:$D,'Issuance Log'!$B:$B,A677,'Issuance Log'!$G:$G,$B$4),0)</f>
        <v>0</v>
      </c>
      <c r="D677" s="3">
        <f>IFERROR(COUNTIFS('Issuance Log'!$B:$B,A677,'Issuance Log'!$G:$G,$B$4),0)</f>
        <v>0</v>
      </c>
      <c r="E677" s="3" t="str">
        <f ca="1">IFERROR(INDEX('Issuance Log'!$E:$E,MATCH(MAXIFS('Issuance Log'!$D:$D,'Issuance Log'!$B:$B,A677,'Issuance Log'!$G:$G,$B$4),IF(('Issuance Log'!$B:$B=A677)*('Issuance Log'!$G:$G=$B$4),'Issuance Log'!$D:$D),0)),"-")</f>
        <v>-</v>
      </c>
    </row>
    <row r="678" spans="1:5" x14ac:dyDescent="0.25">
      <c r="A678" s="4" t="s">
        <v>1318</v>
      </c>
      <c r="B678" s="4" t="s">
        <v>1319</v>
      </c>
      <c r="C678" s="5">
        <f>IFERROR(SUMIFS('Issuance Log'!$D:$D,'Issuance Log'!$B:$B,A678,'Issuance Log'!$G:$G,$B$4),0)</f>
        <v>0</v>
      </c>
      <c r="D678" s="5">
        <f>IFERROR(COUNTIFS('Issuance Log'!$B:$B,A678,'Issuance Log'!$G:$G,$B$4),0)</f>
        <v>0</v>
      </c>
      <c r="E678" s="5" t="str">
        <f ca="1">IFERROR(INDEX('Issuance Log'!$E:$E,MATCH(MAXIFS('Issuance Log'!$D:$D,'Issuance Log'!$B:$B,A678,'Issuance Log'!$G:$G,$B$4),IF(('Issuance Log'!$B:$B=A678)*('Issuance Log'!$G:$G=$B$4),'Issuance Log'!$D:$D),0)),"-")</f>
        <v>-</v>
      </c>
    </row>
    <row r="679" spans="1:5" x14ac:dyDescent="0.25">
      <c r="A679" s="2" t="s">
        <v>1320</v>
      </c>
      <c r="B679" s="2" t="s">
        <v>1321</v>
      </c>
      <c r="C679" s="3">
        <f>IFERROR(SUMIFS('Issuance Log'!$D:$D,'Issuance Log'!$B:$B,A679,'Issuance Log'!$G:$G,$B$4),0)</f>
        <v>0</v>
      </c>
      <c r="D679" s="3">
        <f>IFERROR(COUNTIFS('Issuance Log'!$B:$B,A679,'Issuance Log'!$G:$G,$B$4),0)</f>
        <v>0</v>
      </c>
      <c r="E679" s="3" t="str">
        <f ca="1">IFERROR(INDEX('Issuance Log'!$E:$E,MATCH(MAXIFS('Issuance Log'!$D:$D,'Issuance Log'!$B:$B,A679,'Issuance Log'!$G:$G,$B$4),IF(('Issuance Log'!$B:$B=A679)*('Issuance Log'!$G:$G=$B$4),'Issuance Log'!$D:$D),0)),"-")</f>
        <v>-</v>
      </c>
    </row>
    <row r="680" spans="1:5" x14ac:dyDescent="0.25">
      <c r="A680" s="4" t="s">
        <v>1322</v>
      </c>
      <c r="B680" s="4" t="s">
        <v>826</v>
      </c>
      <c r="C680" s="5">
        <f>IFERROR(SUMIFS('Issuance Log'!$D:$D,'Issuance Log'!$B:$B,A680,'Issuance Log'!$G:$G,$B$4),0)</f>
        <v>0</v>
      </c>
      <c r="D680" s="5">
        <f>IFERROR(COUNTIFS('Issuance Log'!$B:$B,A680,'Issuance Log'!$G:$G,$B$4),0)</f>
        <v>0</v>
      </c>
      <c r="E680" s="5" t="str">
        <f ca="1">IFERROR(INDEX('Issuance Log'!$E:$E,MATCH(MAXIFS('Issuance Log'!$D:$D,'Issuance Log'!$B:$B,A680,'Issuance Log'!$G:$G,$B$4),IF(('Issuance Log'!$B:$B=A680)*('Issuance Log'!$G:$G=$B$4),'Issuance Log'!$D:$D),0)),"-")</f>
        <v>-</v>
      </c>
    </row>
    <row r="681" spans="1:5" x14ac:dyDescent="0.25">
      <c r="A681" s="2" t="s">
        <v>1323</v>
      </c>
      <c r="B681" s="2" t="s">
        <v>1324</v>
      </c>
      <c r="C681" s="3">
        <f>IFERROR(SUMIFS('Issuance Log'!$D:$D,'Issuance Log'!$B:$B,A681,'Issuance Log'!$G:$G,$B$4),0)</f>
        <v>0</v>
      </c>
      <c r="D681" s="3">
        <f>IFERROR(COUNTIFS('Issuance Log'!$B:$B,A681,'Issuance Log'!$G:$G,$B$4),0)</f>
        <v>0</v>
      </c>
      <c r="E681" s="3" t="str">
        <f ca="1">IFERROR(INDEX('Issuance Log'!$E:$E,MATCH(MAXIFS('Issuance Log'!$D:$D,'Issuance Log'!$B:$B,A681,'Issuance Log'!$G:$G,$B$4),IF(('Issuance Log'!$B:$B=A681)*('Issuance Log'!$G:$G=$B$4),'Issuance Log'!$D:$D),0)),"-")</f>
        <v>-</v>
      </c>
    </row>
    <row r="682" spans="1:5" x14ac:dyDescent="0.25">
      <c r="A682" s="4" t="s">
        <v>1325</v>
      </c>
      <c r="B682" s="4" t="s">
        <v>1326</v>
      </c>
      <c r="C682" s="5">
        <f>IFERROR(SUMIFS('Issuance Log'!$D:$D,'Issuance Log'!$B:$B,A682,'Issuance Log'!$G:$G,$B$4),0)</f>
        <v>0</v>
      </c>
      <c r="D682" s="5">
        <f>IFERROR(COUNTIFS('Issuance Log'!$B:$B,A682,'Issuance Log'!$G:$G,$B$4),0)</f>
        <v>0</v>
      </c>
      <c r="E682" s="5" t="str">
        <f ca="1">IFERROR(INDEX('Issuance Log'!$E:$E,MATCH(MAXIFS('Issuance Log'!$D:$D,'Issuance Log'!$B:$B,A682,'Issuance Log'!$G:$G,$B$4),IF(('Issuance Log'!$B:$B=A682)*('Issuance Log'!$G:$G=$B$4),'Issuance Log'!$D:$D),0)),"-")</f>
        <v>-</v>
      </c>
    </row>
    <row r="683" spans="1:5" x14ac:dyDescent="0.25">
      <c r="A683" s="2" t="s">
        <v>1327</v>
      </c>
      <c r="B683" s="2" t="s">
        <v>846</v>
      </c>
      <c r="C683" s="3">
        <f>IFERROR(SUMIFS('Issuance Log'!$D:$D,'Issuance Log'!$B:$B,A683,'Issuance Log'!$G:$G,$B$4),0)</f>
        <v>0</v>
      </c>
      <c r="D683" s="3">
        <f>IFERROR(COUNTIFS('Issuance Log'!$B:$B,A683,'Issuance Log'!$G:$G,$B$4),0)</f>
        <v>0</v>
      </c>
      <c r="E683" s="3" t="str">
        <f ca="1">IFERROR(INDEX('Issuance Log'!$E:$E,MATCH(MAXIFS('Issuance Log'!$D:$D,'Issuance Log'!$B:$B,A683,'Issuance Log'!$G:$G,$B$4),IF(('Issuance Log'!$B:$B=A683)*('Issuance Log'!$G:$G=$B$4),'Issuance Log'!$D:$D),0)),"-")</f>
        <v>-</v>
      </c>
    </row>
    <row r="684" spans="1:5" x14ac:dyDescent="0.25">
      <c r="A684" s="4" t="s">
        <v>1328</v>
      </c>
      <c r="B684" s="4" t="s">
        <v>641</v>
      </c>
      <c r="C684" s="5">
        <f>IFERROR(SUMIFS('Issuance Log'!$D:$D,'Issuance Log'!$B:$B,A684,'Issuance Log'!$G:$G,$B$4),0)</f>
        <v>0</v>
      </c>
      <c r="D684" s="5">
        <f>IFERROR(COUNTIFS('Issuance Log'!$B:$B,A684,'Issuance Log'!$G:$G,$B$4),0)</f>
        <v>0</v>
      </c>
      <c r="E684" s="5" t="str">
        <f ca="1">IFERROR(INDEX('Issuance Log'!$E:$E,MATCH(MAXIFS('Issuance Log'!$D:$D,'Issuance Log'!$B:$B,A684,'Issuance Log'!$G:$G,$B$4),IF(('Issuance Log'!$B:$B=A684)*('Issuance Log'!$G:$G=$B$4),'Issuance Log'!$D:$D),0)),"-")</f>
        <v>-</v>
      </c>
    </row>
    <row r="685" spans="1:5" x14ac:dyDescent="0.25">
      <c r="A685" s="2" t="s">
        <v>1329</v>
      </c>
      <c r="B685" s="2" t="s">
        <v>1330</v>
      </c>
      <c r="C685" s="3">
        <f>IFERROR(SUMIFS('Issuance Log'!$D:$D,'Issuance Log'!$B:$B,A685,'Issuance Log'!$G:$G,$B$4),0)</f>
        <v>0</v>
      </c>
      <c r="D685" s="3">
        <f>IFERROR(COUNTIFS('Issuance Log'!$B:$B,A685,'Issuance Log'!$G:$G,$B$4),0)</f>
        <v>0</v>
      </c>
      <c r="E685" s="3" t="str">
        <f ca="1">IFERROR(INDEX('Issuance Log'!$E:$E,MATCH(MAXIFS('Issuance Log'!$D:$D,'Issuance Log'!$B:$B,A685,'Issuance Log'!$G:$G,$B$4),IF(('Issuance Log'!$B:$B=A685)*('Issuance Log'!$G:$G=$B$4),'Issuance Log'!$D:$D),0)),"-")</f>
        <v>-</v>
      </c>
    </row>
    <row r="686" spans="1:5" x14ac:dyDescent="0.25">
      <c r="A686" s="4" t="s">
        <v>1331</v>
      </c>
      <c r="B686" s="4" t="s">
        <v>1332</v>
      </c>
      <c r="C686" s="5">
        <f>IFERROR(SUMIFS('Issuance Log'!$D:$D,'Issuance Log'!$B:$B,A686,'Issuance Log'!$G:$G,$B$4),0)</f>
        <v>0</v>
      </c>
      <c r="D686" s="5">
        <f>IFERROR(COUNTIFS('Issuance Log'!$B:$B,A686,'Issuance Log'!$G:$G,$B$4),0)</f>
        <v>0</v>
      </c>
      <c r="E686" s="5" t="str">
        <f ca="1">IFERROR(INDEX('Issuance Log'!$E:$E,MATCH(MAXIFS('Issuance Log'!$D:$D,'Issuance Log'!$B:$B,A686,'Issuance Log'!$G:$G,$B$4),IF(('Issuance Log'!$B:$B=A686)*('Issuance Log'!$G:$G=$B$4),'Issuance Log'!$D:$D),0)),"-")</f>
        <v>-</v>
      </c>
    </row>
    <row r="687" spans="1:5" x14ac:dyDescent="0.25">
      <c r="A687" s="2" t="s">
        <v>1333</v>
      </c>
      <c r="B687" s="2" t="s">
        <v>1334</v>
      </c>
      <c r="C687" s="3">
        <f>IFERROR(SUMIFS('Issuance Log'!$D:$D,'Issuance Log'!$B:$B,A687,'Issuance Log'!$G:$G,$B$4),0)</f>
        <v>0</v>
      </c>
      <c r="D687" s="3">
        <f>IFERROR(COUNTIFS('Issuance Log'!$B:$B,A687,'Issuance Log'!$G:$G,$B$4),0)</f>
        <v>0</v>
      </c>
      <c r="E687" s="3" t="str">
        <f ca="1">IFERROR(INDEX('Issuance Log'!$E:$E,MATCH(MAXIFS('Issuance Log'!$D:$D,'Issuance Log'!$B:$B,A687,'Issuance Log'!$G:$G,$B$4),IF(('Issuance Log'!$B:$B=A687)*('Issuance Log'!$G:$G=$B$4),'Issuance Log'!$D:$D),0)),"-")</f>
        <v>-</v>
      </c>
    </row>
    <row r="688" spans="1:5" x14ac:dyDescent="0.25">
      <c r="A688" s="4" t="s">
        <v>1335</v>
      </c>
      <c r="B688" s="4" t="s">
        <v>1336</v>
      </c>
      <c r="C688" s="5">
        <f>IFERROR(SUMIFS('Issuance Log'!$D:$D,'Issuance Log'!$B:$B,A688,'Issuance Log'!$G:$G,$B$4),0)</f>
        <v>0</v>
      </c>
      <c r="D688" s="5">
        <f>IFERROR(COUNTIFS('Issuance Log'!$B:$B,A688,'Issuance Log'!$G:$G,$B$4),0)</f>
        <v>0</v>
      </c>
      <c r="E688" s="5" t="str">
        <f ca="1">IFERROR(INDEX('Issuance Log'!$E:$E,MATCH(MAXIFS('Issuance Log'!$D:$D,'Issuance Log'!$B:$B,A688,'Issuance Log'!$G:$G,$B$4),IF(('Issuance Log'!$B:$B=A688)*('Issuance Log'!$G:$G=$B$4),'Issuance Log'!$D:$D),0)),"-")</f>
        <v>-</v>
      </c>
    </row>
    <row r="689" spans="1:5" x14ac:dyDescent="0.25">
      <c r="A689" s="2" t="s">
        <v>1337</v>
      </c>
      <c r="B689" s="2" t="s">
        <v>888</v>
      </c>
      <c r="C689" s="3">
        <f>IFERROR(SUMIFS('Issuance Log'!$D:$D,'Issuance Log'!$B:$B,A689,'Issuance Log'!$G:$G,$B$4),0)</f>
        <v>0</v>
      </c>
      <c r="D689" s="3">
        <f>IFERROR(COUNTIFS('Issuance Log'!$B:$B,A689,'Issuance Log'!$G:$G,$B$4),0)</f>
        <v>0</v>
      </c>
      <c r="E689" s="3" t="str">
        <f ca="1">IFERROR(INDEX('Issuance Log'!$E:$E,MATCH(MAXIFS('Issuance Log'!$D:$D,'Issuance Log'!$B:$B,A689,'Issuance Log'!$G:$G,$B$4),IF(('Issuance Log'!$B:$B=A689)*('Issuance Log'!$G:$G=$B$4),'Issuance Log'!$D:$D),0)),"-")</f>
        <v>-</v>
      </c>
    </row>
    <row r="690" spans="1:5" x14ac:dyDescent="0.25">
      <c r="A690" s="4" t="s">
        <v>1338</v>
      </c>
      <c r="B690" s="4" t="s">
        <v>1339</v>
      </c>
      <c r="C690" s="5">
        <f>IFERROR(SUMIFS('Issuance Log'!$D:$D,'Issuance Log'!$B:$B,A690,'Issuance Log'!$G:$G,$B$4),0)</f>
        <v>0</v>
      </c>
      <c r="D690" s="5">
        <f>IFERROR(COUNTIFS('Issuance Log'!$B:$B,A690,'Issuance Log'!$G:$G,$B$4),0)</f>
        <v>0</v>
      </c>
      <c r="E690" s="5" t="str">
        <f ca="1">IFERROR(INDEX('Issuance Log'!$E:$E,MATCH(MAXIFS('Issuance Log'!$D:$D,'Issuance Log'!$B:$B,A690,'Issuance Log'!$G:$G,$B$4),IF(('Issuance Log'!$B:$B=A690)*('Issuance Log'!$G:$G=$B$4),'Issuance Log'!$D:$D),0)),"-")</f>
        <v>-</v>
      </c>
    </row>
    <row r="691" spans="1:5" x14ac:dyDescent="0.25">
      <c r="A691" s="2" t="s">
        <v>1340</v>
      </c>
      <c r="B691" s="2" t="s">
        <v>1341</v>
      </c>
      <c r="C691" s="3">
        <f>IFERROR(SUMIFS('Issuance Log'!$D:$D,'Issuance Log'!$B:$B,A691,'Issuance Log'!$G:$G,$B$4),0)</f>
        <v>0</v>
      </c>
      <c r="D691" s="3">
        <f>IFERROR(COUNTIFS('Issuance Log'!$B:$B,A691,'Issuance Log'!$G:$G,$B$4),0)</f>
        <v>0</v>
      </c>
      <c r="E691" s="3" t="str">
        <f ca="1">IFERROR(INDEX('Issuance Log'!$E:$E,MATCH(MAXIFS('Issuance Log'!$D:$D,'Issuance Log'!$B:$B,A691,'Issuance Log'!$G:$G,$B$4),IF(('Issuance Log'!$B:$B=A691)*('Issuance Log'!$G:$G=$B$4),'Issuance Log'!$D:$D),0)),"-")</f>
        <v>-</v>
      </c>
    </row>
    <row r="692" spans="1:5" x14ac:dyDescent="0.25">
      <c r="A692" s="4" t="s">
        <v>1342</v>
      </c>
      <c r="B692" s="4" t="s">
        <v>719</v>
      </c>
      <c r="C692" s="5">
        <f>IFERROR(SUMIFS('Issuance Log'!$D:$D,'Issuance Log'!$B:$B,A692,'Issuance Log'!$G:$G,$B$4),0)</f>
        <v>0</v>
      </c>
      <c r="D692" s="5">
        <f>IFERROR(COUNTIFS('Issuance Log'!$B:$B,A692,'Issuance Log'!$G:$G,$B$4),0)</f>
        <v>0</v>
      </c>
      <c r="E692" s="5" t="str">
        <f ca="1">IFERROR(INDEX('Issuance Log'!$E:$E,MATCH(MAXIFS('Issuance Log'!$D:$D,'Issuance Log'!$B:$B,A692,'Issuance Log'!$G:$G,$B$4),IF(('Issuance Log'!$B:$B=A692)*('Issuance Log'!$G:$G=$B$4),'Issuance Log'!$D:$D),0)),"-")</f>
        <v>-</v>
      </c>
    </row>
    <row r="693" spans="1:5" x14ac:dyDescent="0.25">
      <c r="A693" s="2" t="s">
        <v>1343</v>
      </c>
      <c r="B693" s="2" t="s">
        <v>1344</v>
      </c>
      <c r="C693" s="3">
        <f>IFERROR(SUMIFS('Issuance Log'!$D:$D,'Issuance Log'!$B:$B,A693,'Issuance Log'!$G:$G,$B$4),0)</f>
        <v>0</v>
      </c>
      <c r="D693" s="3">
        <f>IFERROR(COUNTIFS('Issuance Log'!$B:$B,A693,'Issuance Log'!$G:$G,$B$4),0)</f>
        <v>0</v>
      </c>
      <c r="E693" s="3" t="str">
        <f ca="1">IFERROR(INDEX('Issuance Log'!$E:$E,MATCH(MAXIFS('Issuance Log'!$D:$D,'Issuance Log'!$B:$B,A693,'Issuance Log'!$G:$G,$B$4),IF(('Issuance Log'!$B:$B=A693)*('Issuance Log'!$G:$G=$B$4),'Issuance Log'!$D:$D),0)),"-")</f>
        <v>-</v>
      </c>
    </row>
    <row r="694" spans="1:5" x14ac:dyDescent="0.25">
      <c r="A694" s="4" t="s">
        <v>1345</v>
      </c>
      <c r="B694" s="4" t="s">
        <v>1346</v>
      </c>
      <c r="C694" s="5">
        <f>IFERROR(SUMIFS('Issuance Log'!$D:$D,'Issuance Log'!$B:$B,A694,'Issuance Log'!$G:$G,$B$4),0)</f>
        <v>0</v>
      </c>
      <c r="D694" s="5">
        <f>IFERROR(COUNTIFS('Issuance Log'!$B:$B,A694,'Issuance Log'!$G:$G,$B$4),0)</f>
        <v>0</v>
      </c>
      <c r="E694" s="5" t="str">
        <f ca="1">IFERROR(INDEX('Issuance Log'!$E:$E,MATCH(MAXIFS('Issuance Log'!$D:$D,'Issuance Log'!$B:$B,A694,'Issuance Log'!$G:$G,$B$4),IF(('Issuance Log'!$B:$B=A694)*('Issuance Log'!$G:$G=$B$4),'Issuance Log'!$D:$D),0)),"-")</f>
        <v>-</v>
      </c>
    </row>
    <row r="695" spans="1:5" x14ac:dyDescent="0.25">
      <c r="A695" s="2" t="s">
        <v>1347</v>
      </c>
      <c r="B695" s="2" t="s">
        <v>1348</v>
      </c>
      <c r="C695" s="3">
        <f>IFERROR(SUMIFS('Issuance Log'!$D:$D,'Issuance Log'!$B:$B,A695,'Issuance Log'!$G:$G,$B$4),0)</f>
        <v>0</v>
      </c>
      <c r="D695" s="3">
        <f>IFERROR(COUNTIFS('Issuance Log'!$B:$B,A695,'Issuance Log'!$G:$G,$B$4),0)</f>
        <v>0</v>
      </c>
      <c r="E695" s="3" t="str">
        <f ca="1">IFERROR(INDEX('Issuance Log'!$E:$E,MATCH(MAXIFS('Issuance Log'!$D:$D,'Issuance Log'!$B:$B,A695,'Issuance Log'!$G:$G,$B$4),IF(('Issuance Log'!$B:$B=A695)*('Issuance Log'!$G:$G=$B$4),'Issuance Log'!$D:$D),0)),"-")</f>
        <v>-</v>
      </c>
    </row>
    <row r="696" spans="1:5" x14ac:dyDescent="0.25">
      <c r="A696" s="4" t="s">
        <v>1349</v>
      </c>
      <c r="B696" s="4" t="s">
        <v>1350</v>
      </c>
      <c r="C696" s="5">
        <f>IFERROR(SUMIFS('Issuance Log'!$D:$D,'Issuance Log'!$B:$B,A696,'Issuance Log'!$G:$G,$B$4),0)</f>
        <v>0</v>
      </c>
      <c r="D696" s="5">
        <f>IFERROR(COUNTIFS('Issuance Log'!$B:$B,A696,'Issuance Log'!$G:$G,$B$4),0)</f>
        <v>0</v>
      </c>
      <c r="E696" s="5" t="str">
        <f ca="1">IFERROR(INDEX('Issuance Log'!$E:$E,MATCH(MAXIFS('Issuance Log'!$D:$D,'Issuance Log'!$B:$B,A696,'Issuance Log'!$G:$G,$B$4),IF(('Issuance Log'!$B:$B=A696)*('Issuance Log'!$G:$G=$B$4),'Issuance Log'!$D:$D),0)),"-")</f>
        <v>-</v>
      </c>
    </row>
    <row r="697" spans="1:5" x14ac:dyDescent="0.25">
      <c r="A697" s="2" t="s">
        <v>1351</v>
      </c>
      <c r="B697" s="2" t="s">
        <v>1352</v>
      </c>
      <c r="C697" s="3">
        <f>IFERROR(SUMIFS('Issuance Log'!$D:$D,'Issuance Log'!$B:$B,A697,'Issuance Log'!$G:$G,$B$4),0)</f>
        <v>0</v>
      </c>
      <c r="D697" s="3">
        <f>IFERROR(COUNTIFS('Issuance Log'!$B:$B,A697,'Issuance Log'!$G:$G,$B$4),0)</f>
        <v>0</v>
      </c>
      <c r="E697" s="3" t="str">
        <f ca="1">IFERROR(INDEX('Issuance Log'!$E:$E,MATCH(MAXIFS('Issuance Log'!$D:$D,'Issuance Log'!$B:$B,A697,'Issuance Log'!$G:$G,$B$4),IF(('Issuance Log'!$B:$B=A697)*('Issuance Log'!$G:$G=$B$4),'Issuance Log'!$D:$D),0)),"-")</f>
        <v>-</v>
      </c>
    </row>
    <row r="698" spans="1:5" x14ac:dyDescent="0.25">
      <c r="A698" s="4" t="s">
        <v>1353</v>
      </c>
      <c r="B698" s="4" t="s">
        <v>1354</v>
      </c>
      <c r="C698" s="5">
        <f>IFERROR(SUMIFS('Issuance Log'!$D:$D,'Issuance Log'!$B:$B,A698,'Issuance Log'!$G:$G,$B$4),0)</f>
        <v>0</v>
      </c>
      <c r="D698" s="5">
        <f>IFERROR(COUNTIFS('Issuance Log'!$B:$B,A698,'Issuance Log'!$G:$G,$B$4),0)</f>
        <v>0</v>
      </c>
      <c r="E698" s="5" t="str">
        <f ca="1">IFERROR(INDEX('Issuance Log'!$E:$E,MATCH(MAXIFS('Issuance Log'!$D:$D,'Issuance Log'!$B:$B,A698,'Issuance Log'!$G:$G,$B$4),IF(('Issuance Log'!$B:$B=A698)*('Issuance Log'!$G:$G=$B$4),'Issuance Log'!$D:$D),0)),"-")</f>
        <v>-</v>
      </c>
    </row>
    <row r="699" spans="1:5" x14ac:dyDescent="0.25">
      <c r="A699" s="2" t="s">
        <v>1355</v>
      </c>
      <c r="B699" s="2" t="s">
        <v>1356</v>
      </c>
      <c r="C699" s="3">
        <f>IFERROR(SUMIFS('Issuance Log'!$D:$D,'Issuance Log'!$B:$B,A699,'Issuance Log'!$G:$G,$B$4),0)</f>
        <v>0</v>
      </c>
      <c r="D699" s="3">
        <f>IFERROR(COUNTIFS('Issuance Log'!$B:$B,A699,'Issuance Log'!$G:$G,$B$4),0)</f>
        <v>0</v>
      </c>
      <c r="E699" s="3" t="str">
        <f ca="1">IFERROR(INDEX('Issuance Log'!$E:$E,MATCH(MAXIFS('Issuance Log'!$D:$D,'Issuance Log'!$B:$B,A699,'Issuance Log'!$G:$G,$B$4),IF(('Issuance Log'!$B:$B=A699)*('Issuance Log'!$G:$G=$B$4),'Issuance Log'!$D:$D),0)),"-")</f>
        <v>-</v>
      </c>
    </row>
    <row r="700" spans="1:5" x14ac:dyDescent="0.25">
      <c r="A700" s="4" t="s">
        <v>1357</v>
      </c>
      <c r="B700" s="4" t="s">
        <v>1358</v>
      </c>
      <c r="C700" s="5">
        <f>IFERROR(SUMIFS('Issuance Log'!$D:$D,'Issuance Log'!$B:$B,A700,'Issuance Log'!$G:$G,$B$4),0)</f>
        <v>0</v>
      </c>
      <c r="D700" s="5">
        <f>IFERROR(COUNTIFS('Issuance Log'!$B:$B,A700,'Issuance Log'!$G:$G,$B$4),0)</f>
        <v>0</v>
      </c>
      <c r="E700" s="5" t="str">
        <f ca="1">IFERROR(INDEX('Issuance Log'!$E:$E,MATCH(MAXIFS('Issuance Log'!$D:$D,'Issuance Log'!$B:$B,A700,'Issuance Log'!$G:$G,$B$4),IF(('Issuance Log'!$B:$B=A700)*('Issuance Log'!$G:$G=$B$4),'Issuance Log'!$D:$D),0)),"-")</f>
        <v>-</v>
      </c>
    </row>
    <row r="701" spans="1:5" x14ac:dyDescent="0.25">
      <c r="A701" s="2" t="s">
        <v>1359</v>
      </c>
      <c r="B701" s="2" t="s">
        <v>1360</v>
      </c>
      <c r="C701" s="3">
        <f>IFERROR(SUMIFS('Issuance Log'!$D:$D,'Issuance Log'!$B:$B,A701,'Issuance Log'!$G:$G,$B$4),0)</f>
        <v>0</v>
      </c>
      <c r="D701" s="3">
        <f>IFERROR(COUNTIFS('Issuance Log'!$B:$B,A701,'Issuance Log'!$G:$G,$B$4),0)</f>
        <v>0</v>
      </c>
      <c r="E701" s="3" t="str">
        <f ca="1">IFERROR(INDEX('Issuance Log'!$E:$E,MATCH(MAXIFS('Issuance Log'!$D:$D,'Issuance Log'!$B:$B,A701,'Issuance Log'!$G:$G,$B$4),IF(('Issuance Log'!$B:$B=A701)*('Issuance Log'!$G:$G=$B$4),'Issuance Log'!$D:$D),0)),"-")</f>
        <v>-</v>
      </c>
    </row>
    <row r="702" spans="1:5" x14ac:dyDescent="0.25">
      <c r="A702" s="4" t="s">
        <v>1361</v>
      </c>
      <c r="B702" s="4" t="s">
        <v>1362</v>
      </c>
      <c r="C702" s="5">
        <f>IFERROR(SUMIFS('Issuance Log'!$D:$D,'Issuance Log'!$B:$B,A702,'Issuance Log'!$G:$G,$B$4),0)</f>
        <v>0</v>
      </c>
      <c r="D702" s="5">
        <f>IFERROR(COUNTIFS('Issuance Log'!$B:$B,A702,'Issuance Log'!$G:$G,$B$4),0)</f>
        <v>0</v>
      </c>
      <c r="E702" s="5" t="str">
        <f ca="1">IFERROR(INDEX('Issuance Log'!$E:$E,MATCH(MAXIFS('Issuance Log'!$D:$D,'Issuance Log'!$B:$B,A702,'Issuance Log'!$G:$G,$B$4),IF(('Issuance Log'!$B:$B=A702)*('Issuance Log'!$G:$G=$B$4),'Issuance Log'!$D:$D),0)),"-")</f>
        <v>-</v>
      </c>
    </row>
    <row r="703" spans="1:5" x14ac:dyDescent="0.25">
      <c r="A703" s="2" t="s">
        <v>1363</v>
      </c>
      <c r="B703" s="2" t="s">
        <v>1364</v>
      </c>
      <c r="C703" s="3">
        <f>IFERROR(SUMIFS('Issuance Log'!$D:$D,'Issuance Log'!$B:$B,A703,'Issuance Log'!$G:$G,$B$4),0)</f>
        <v>0</v>
      </c>
      <c r="D703" s="3">
        <f>IFERROR(COUNTIFS('Issuance Log'!$B:$B,A703,'Issuance Log'!$G:$G,$B$4),0)</f>
        <v>0</v>
      </c>
      <c r="E703" s="3" t="str">
        <f ca="1">IFERROR(INDEX('Issuance Log'!$E:$E,MATCH(MAXIFS('Issuance Log'!$D:$D,'Issuance Log'!$B:$B,A703,'Issuance Log'!$G:$G,$B$4),IF(('Issuance Log'!$B:$B=A703)*('Issuance Log'!$G:$G=$B$4),'Issuance Log'!$D:$D),0)),"-")</f>
        <v>-</v>
      </c>
    </row>
    <row r="704" spans="1:5" x14ac:dyDescent="0.25">
      <c r="A704" s="4" t="s">
        <v>1365</v>
      </c>
      <c r="B704" s="4" t="s">
        <v>1366</v>
      </c>
      <c r="C704" s="5">
        <f>IFERROR(SUMIFS('Issuance Log'!$D:$D,'Issuance Log'!$B:$B,A704,'Issuance Log'!$G:$G,$B$4),0)</f>
        <v>0</v>
      </c>
      <c r="D704" s="5">
        <f>IFERROR(COUNTIFS('Issuance Log'!$B:$B,A704,'Issuance Log'!$G:$G,$B$4),0)</f>
        <v>0</v>
      </c>
      <c r="E704" s="5" t="str">
        <f ca="1">IFERROR(INDEX('Issuance Log'!$E:$E,MATCH(MAXIFS('Issuance Log'!$D:$D,'Issuance Log'!$B:$B,A704,'Issuance Log'!$G:$G,$B$4),IF(('Issuance Log'!$B:$B=A704)*('Issuance Log'!$G:$G=$B$4),'Issuance Log'!$D:$D),0)),"-")</f>
        <v>-</v>
      </c>
    </row>
    <row r="705" spans="1:5" x14ac:dyDescent="0.25">
      <c r="A705" s="2" t="s">
        <v>1367</v>
      </c>
      <c r="B705" s="2" t="s">
        <v>1368</v>
      </c>
      <c r="C705" s="3">
        <f>IFERROR(SUMIFS('Issuance Log'!$D:$D,'Issuance Log'!$B:$B,A705,'Issuance Log'!$G:$G,$B$4),0)</f>
        <v>0</v>
      </c>
      <c r="D705" s="3">
        <f>IFERROR(COUNTIFS('Issuance Log'!$B:$B,A705,'Issuance Log'!$G:$G,$B$4),0)</f>
        <v>0</v>
      </c>
      <c r="E705" s="3" t="str">
        <f ca="1">IFERROR(INDEX('Issuance Log'!$E:$E,MATCH(MAXIFS('Issuance Log'!$D:$D,'Issuance Log'!$B:$B,A705,'Issuance Log'!$G:$G,$B$4),IF(('Issuance Log'!$B:$B=A705)*('Issuance Log'!$G:$G=$B$4),'Issuance Log'!$D:$D),0)),"-")</f>
        <v>-</v>
      </c>
    </row>
    <row r="706" spans="1:5" x14ac:dyDescent="0.25">
      <c r="A706" s="4" t="s">
        <v>1369</v>
      </c>
      <c r="B706" s="4" t="s">
        <v>1370</v>
      </c>
      <c r="C706" s="5">
        <f>IFERROR(SUMIFS('Issuance Log'!$D:$D,'Issuance Log'!$B:$B,A706,'Issuance Log'!$G:$G,$B$4),0)</f>
        <v>0</v>
      </c>
      <c r="D706" s="5">
        <f>IFERROR(COUNTIFS('Issuance Log'!$B:$B,A706,'Issuance Log'!$G:$G,$B$4),0)</f>
        <v>0</v>
      </c>
      <c r="E706" s="5" t="str">
        <f ca="1">IFERROR(INDEX('Issuance Log'!$E:$E,MATCH(MAXIFS('Issuance Log'!$D:$D,'Issuance Log'!$B:$B,A706,'Issuance Log'!$G:$G,$B$4),IF(('Issuance Log'!$B:$B=A706)*('Issuance Log'!$G:$G=$B$4),'Issuance Log'!$D:$D),0)),"-")</f>
        <v>-</v>
      </c>
    </row>
    <row r="707" spans="1:5" x14ac:dyDescent="0.25">
      <c r="A707" s="2" t="s">
        <v>1371</v>
      </c>
      <c r="B707" s="2" t="s">
        <v>1372</v>
      </c>
      <c r="C707" s="3">
        <f>IFERROR(SUMIFS('Issuance Log'!$D:$D,'Issuance Log'!$B:$B,A707,'Issuance Log'!$G:$G,$B$4),0)</f>
        <v>0</v>
      </c>
      <c r="D707" s="3">
        <f>IFERROR(COUNTIFS('Issuance Log'!$B:$B,A707,'Issuance Log'!$G:$G,$B$4),0)</f>
        <v>0</v>
      </c>
      <c r="E707" s="3" t="str">
        <f ca="1">IFERROR(INDEX('Issuance Log'!$E:$E,MATCH(MAXIFS('Issuance Log'!$D:$D,'Issuance Log'!$B:$B,A707,'Issuance Log'!$G:$G,$B$4),IF(('Issuance Log'!$B:$B=A707)*('Issuance Log'!$G:$G=$B$4),'Issuance Log'!$D:$D),0)),"-")</f>
        <v>-</v>
      </c>
    </row>
    <row r="708" spans="1:5" x14ac:dyDescent="0.25">
      <c r="A708" s="4" t="s">
        <v>1373</v>
      </c>
      <c r="B708" s="4" t="s">
        <v>1374</v>
      </c>
      <c r="C708" s="5">
        <f>IFERROR(SUMIFS('Issuance Log'!$D:$D,'Issuance Log'!$B:$B,A708,'Issuance Log'!$G:$G,$B$4),0)</f>
        <v>0</v>
      </c>
      <c r="D708" s="5">
        <f>IFERROR(COUNTIFS('Issuance Log'!$B:$B,A708,'Issuance Log'!$G:$G,$B$4),0)</f>
        <v>0</v>
      </c>
      <c r="E708" s="5" t="str">
        <f ca="1">IFERROR(INDEX('Issuance Log'!$E:$E,MATCH(MAXIFS('Issuance Log'!$D:$D,'Issuance Log'!$B:$B,A708,'Issuance Log'!$G:$G,$B$4),IF(('Issuance Log'!$B:$B=A708)*('Issuance Log'!$G:$G=$B$4),'Issuance Log'!$D:$D),0)),"-")</f>
        <v>-</v>
      </c>
    </row>
    <row r="709" spans="1:5" x14ac:dyDescent="0.25">
      <c r="A709" s="2" t="s">
        <v>1375</v>
      </c>
      <c r="B709" s="2" t="s">
        <v>1376</v>
      </c>
      <c r="C709" s="3">
        <f>IFERROR(SUMIFS('Issuance Log'!$D:$D,'Issuance Log'!$B:$B,A709,'Issuance Log'!$G:$G,$B$4),0)</f>
        <v>0</v>
      </c>
      <c r="D709" s="3">
        <f>IFERROR(COUNTIFS('Issuance Log'!$B:$B,A709,'Issuance Log'!$G:$G,$B$4),0)</f>
        <v>0</v>
      </c>
      <c r="E709" s="3" t="str">
        <f ca="1">IFERROR(INDEX('Issuance Log'!$E:$E,MATCH(MAXIFS('Issuance Log'!$D:$D,'Issuance Log'!$B:$B,A709,'Issuance Log'!$G:$G,$B$4),IF(('Issuance Log'!$B:$B=A709)*('Issuance Log'!$G:$G=$B$4),'Issuance Log'!$D:$D),0)),"-")</f>
        <v>-</v>
      </c>
    </row>
    <row r="710" spans="1:5" x14ac:dyDescent="0.25">
      <c r="A710" s="4" t="s">
        <v>1377</v>
      </c>
      <c r="B710" s="4" t="s">
        <v>1378</v>
      </c>
      <c r="C710" s="5">
        <f>IFERROR(SUMIFS('Issuance Log'!$D:$D,'Issuance Log'!$B:$B,A710,'Issuance Log'!$G:$G,$B$4),0)</f>
        <v>0</v>
      </c>
      <c r="D710" s="5">
        <f>IFERROR(COUNTIFS('Issuance Log'!$B:$B,A710,'Issuance Log'!$G:$G,$B$4),0)</f>
        <v>0</v>
      </c>
      <c r="E710" s="5" t="str">
        <f ca="1">IFERROR(INDEX('Issuance Log'!$E:$E,MATCH(MAXIFS('Issuance Log'!$D:$D,'Issuance Log'!$B:$B,A710,'Issuance Log'!$G:$G,$B$4),IF(('Issuance Log'!$B:$B=A710)*('Issuance Log'!$G:$G=$B$4),'Issuance Log'!$D:$D),0)),"-")</f>
        <v>-</v>
      </c>
    </row>
    <row r="711" spans="1:5" x14ac:dyDescent="0.25">
      <c r="A711" s="2" t="s">
        <v>1379</v>
      </c>
      <c r="B711" s="2" t="s">
        <v>1380</v>
      </c>
      <c r="C711" s="3">
        <f>IFERROR(SUMIFS('Issuance Log'!$D:$D,'Issuance Log'!$B:$B,A711,'Issuance Log'!$G:$G,$B$4),0)</f>
        <v>0</v>
      </c>
      <c r="D711" s="3">
        <f>IFERROR(COUNTIFS('Issuance Log'!$B:$B,A711,'Issuance Log'!$G:$G,$B$4),0)</f>
        <v>0</v>
      </c>
      <c r="E711" s="3" t="str">
        <f ca="1">IFERROR(INDEX('Issuance Log'!$E:$E,MATCH(MAXIFS('Issuance Log'!$D:$D,'Issuance Log'!$B:$B,A711,'Issuance Log'!$G:$G,$B$4),IF(('Issuance Log'!$B:$B=A711)*('Issuance Log'!$G:$G=$B$4),'Issuance Log'!$D:$D),0)),"-")</f>
        <v>-</v>
      </c>
    </row>
    <row r="712" spans="1:5" x14ac:dyDescent="0.25">
      <c r="A712" s="4" t="s">
        <v>1381</v>
      </c>
      <c r="B712" s="4" t="s">
        <v>1382</v>
      </c>
      <c r="C712" s="5">
        <f>IFERROR(SUMIFS('Issuance Log'!$D:$D,'Issuance Log'!$B:$B,A712,'Issuance Log'!$G:$G,$B$4),0)</f>
        <v>0</v>
      </c>
      <c r="D712" s="5">
        <f>IFERROR(COUNTIFS('Issuance Log'!$B:$B,A712,'Issuance Log'!$G:$G,$B$4),0)</f>
        <v>0</v>
      </c>
      <c r="E712" s="5" t="str">
        <f ca="1">IFERROR(INDEX('Issuance Log'!$E:$E,MATCH(MAXIFS('Issuance Log'!$D:$D,'Issuance Log'!$B:$B,A712,'Issuance Log'!$G:$G,$B$4),IF(('Issuance Log'!$B:$B=A712)*('Issuance Log'!$G:$G=$B$4),'Issuance Log'!$D:$D),0)),"-")</f>
        <v>-</v>
      </c>
    </row>
    <row r="713" spans="1:5" x14ac:dyDescent="0.25">
      <c r="A713" s="2" t="s">
        <v>1383</v>
      </c>
      <c r="B713" s="2" t="s">
        <v>1384</v>
      </c>
      <c r="C713" s="3">
        <f>IFERROR(SUMIFS('Issuance Log'!$D:$D,'Issuance Log'!$B:$B,A713,'Issuance Log'!$G:$G,$B$4),0)</f>
        <v>0</v>
      </c>
      <c r="D713" s="3">
        <f>IFERROR(COUNTIFS('Issuance Log'!$B:$B,A713,'Issuance Log'!$G:$G,$B$4),0)</f>
        <v>0</v>
      </c>
      <c r="E713" s="3" t="str">
        <f ca="1">IFERROR(INDEX('Issuance Log'!$E:$E,MATCH(MAXIFS('Issuance Log'!$D:$D,'Issuance Log'!$B:$B,A713,'Issuance Log'!$G:$G,$B$4),IF(('Issuance Log'!$B:$B=A713)*('Issuance Log'!$G:$G=$B$4),'Issuance Log'!$D:$D),0)),"-")</f>
        <v>-</v>
      </c>
    </row>
    <row r="714" spans="1:5" x14ac:dyDescent="0.25">
      <c r="A714" s="4" t="s">
        <v>1385</v>
      </c>
      <c r="B714" s="4" t="s">
        <v>1386</v>
      </c>
      <c r="C714" s="5">
        <f>IFERROR(SUMIFS('Issuance Log'!$D:$D,'Issuance Log'!$B:$B,A714,'Issuance Log'!$G:$G,$B$4),0)</f>
        <v>0</v>
      </c>
      <c r="D714" s="5">
        <f>IFERROR(COUNTIFS('Issuance Log'!$B:$B,A714,'Issuance Log'!$G:$G,$B$4),0)</f>
        <v>0</v>
      </c>
      <c r="E714" s="5" t="str">
        <f ca="1">IFERROR(INDEX('Issuance Log'!$E:$E,MATCH(MAXIFS('Issuance Log'!$D:$D,'Issuance Log'!$B:$B,A714,'Issuance Log'!$G:$G,$B$4),IF(('Issuance Log'!$B:$B=A714)*('Issuance Log'!$G:$G=$B$4),'Issuance Log'!$D:$D),0)),"-")</f>
        <v>-</v>
      </c>
    </row>
    <row r="715" spans="1:5" x14ac:dyDescent="0.25">
      <c r="A715" s="2" t="s">
        <v>1387</v>
      </c>
      <c r="B715" s="2" t="s">
        <v>1388</v>
      </c>
      <c r="C715" s="3">
        <f>IFERROR(SUMIFS('Issuance Log'!$D:$D,'Issuance Log'!$B:$B,A715,'Issuance Log'!$G:$G,$B$4),0)</f>
        <v>0</v>
      </c>
      <c r="D715" s="3">
        <f>IFERROR(COUNTIFS('Issuance Log'!$B:$B,A715,'Issuance Log'!$G:$G,$B$4),0)</f>
        <v>0</v>
      </c>
      <c r="E715" s="3" t="str">
        <f ca="1">IFERROR(INDEX('Issuance Log'!$E:$E,MATCH(MAXIFS('Issuance Log'!$D:$D,'Issuance Log'!$B:$B,A715,'Issuance Log'!$G:$G,$B$4),IF(('Issuance Log'!$B:$B=A715)*('Issuance Log'!$G:$G=$B$4),'Issuance Log'!$D:$D),0)),"-")</f>
        <v>-</v>
      </c>
    </row>
    <row r="716" spans="1:5" x14ac:dyDescent="0.25">
      <c r="A716" s="4" t="s">
        <v>1389</v>
      </c>
      <c r="B716" s="4" t="s">
        <v>1390</v>
      </c>
      <c r="C716" s="5">
        <f>IFERROR(SUMIFS('Issuance Log'!$D:$D,'Issuance Log'!$B:$B,A716,'Issuance Log'!$G:$G,$B$4),0)</f>
        <v>0</v>
      </c>
      <c r="D716" s="5">
        <f>IFERROR(COUNTIFS('Issuance Log'!$B:$B,A716,'Issuance Log'!$G:$G,$B$4),0)</f>
        <v>0</v>
      </c>
      <c r="E716" s="5" t="str">
        <f ca="1">IFERROR(INDEX('Issuance Log'!$E:$E,MATCH(MAXIFS('Issuance Log'!$D:$D,'Issuance Log'!$B:$B,A716,'Issuance Log'!$G:$G,$B$4),IF(('Issuance Log'!$B:$B=A716)*('Issuance Log'!$G:$G=$B$4),'Issuance Log'!$D:$D),0)),"-")</f>
        <v>-</v>
      </c>
    </row>
    <row r="717" spans="1:5" x14ac:dyDescent="0.25">
      <c r="A717" s="2" t="s">
        <v>1391</v>
      </c>
      <c r="B717" s="2" t="s">
        <v>1392</v>
      </c>
      <c r="C717" s="3">
        <f>IFERROR(SUMIFS('Issuance Log'!$D:$D,'Issuance Log'!$B:$B,A717,'Issuance Log'!$G:$G,$B$4),0)</f>
        <v>0</v>
      </c>
      <c r="D717" s="3">
        <f>IFERROR(COUNTIFS('Issuance Log'!$B:$B,A717,'Issuance Log'!$G:$G,$B$4),0)</f>
        <v>0</v>
      </c>
      <c r="E717" s="3" t="str">
        <f ca="1">IFERROR(INDEX('Issuance Log'!$E:$E,MATCH(MAXIFS('Issuance Log'!$D:$D,'Issuance Log'!$B:$B,A717,'Issuance Log'!$G:$G,$B$4),IF(('Issuance Log'!$B:$B=A717)*('Issuance Log'!$G:$G=$B$4),'Issuance Log'!$D:$D),0)),"-")</f>
        <v>-</v>
      </c>
    </row>
    <row r="718" spans="1:5" x14ac:dyDescent="0.25">
      <c r="A718" s="4" t="s">
        <v>1393</v>
      </c>
      <c r="B718" s="4" t="s">
        <v>1394</v>
      </c>
      <c r="C718" s="5">
        <f>IFERROR(SUMIFS('Issuance Log'!$D:$D,'Issuance Log'!$B:$B,A718,'Issuance Log'!$G:$G,$B$4),0)</f>
        <v>0</v>
      </c>
      <c r="D718" s="5">
        <f>IFERROR(COUNTIFS('Issuance Log'!$B:$B,A718,'Issuance Log'!$G:$G,$B$4),0)</f>
        <v>0</v>
      </c>
      <c r="E718" s="5" t="str">
        <f ca="1">IFERROR(INDEX('Issuance Log'!$E:$E,MATCH(MAXIFS('Issuance Log'!$D:$D,'Issuance Log'!$B:$B,A718,'Issuance Log'!$G:$G,$B$4),IF(('Issuance Log'!$B:$B=A718)*('Issuance Log'!$G:$G=$B$4),'Issuance Log'!$D:$D),0)),"-")</f>
        <v>-</v>
      </c>
    </row>
    <row r="719" spans="1:5" x14ac:dyDescent="0.25">
      <c r="A719" s="2" t="s">
        <v>1395</v>
      </c>
      <c r="B719" s="2" t="s">
        <v>1396</v>
      </c>
      <c r="C719" s="3">
        <f>IFERROR(SUMIFS('Issuance Log'!$D:$D,'Issuance Log'!$B:$B,A719,'Issuance Log'!$G:$G,$B$4),0)</f>
        <v>0</v>
      </c>
      <c r="D719" s="3">
        <f>IFERROR(COUNTIFS('Issuance Log'!$B:$B,A719,'Issuance Log'!$G:$G,$B$4),0)</f>
        <v>0</v>
      </c>
      <c r="E719" s="3" t="str">
        <f ca="1">IFERROR(INDEX('Issuance Log'!$E:$E,MATCH(MAXIFS('Issuance Log'!$D:$D,'Issuance Log'!$B:$B,A719,'Issuance Log'!$G:$G,$B$4),IF(('Issuance Log'!$B:$B=A719)*('Issuance Log'!$G:$G=$B$4),'Issuance Log'!$D:$D),0)),"-")</f>
        <v>-</v>
      </c>
    </row>
    <row r="720" spans="1:5" x14ac:dyDescent="0.25">
      <c r="A720" s="4" t="s">
        <v>1397</v>
      </c>
      <c r="B720" s="4" t="s">
        <v>1398</v>
      </c>
      <c r="C720" s="5">
        <f>IFERROR(SUMIFS('Issuance Log'!$D:$D,'Issuance Log'!$B:$B,A720,'Issuance Log'!$G:$G,$B$4),0)</f>
        <v>0</v>
      </c>
      <c r="D720" s="5">
        <f>IFERROR(COUNTIFS('Issuance Log'!$B:$B,A720,'Issuance Log'!$G:$G,$B$4),0)</f>
        <v>0</v>
      </c>
      <c r="E720" s="5" t="str">
        <f ca="1">IFERROR(INDEX('Issuance Log'!$E:$E,MATCH(MAXIFS('Issuance Log'!$D:$D,'Issuance Log'!$B:$B,A720,'Issuance Log'!$G:$G,$B$4),IF(('Issuance Log'!$B:$B=A720)*('Issuance Log'!$G:$G=$B$4),'Issuance Log'!$D:$D),0)),"-")</f>
        <v>-</v>
      </c>
    </row>
    <row r="721" spans="1:5" x14ac:dyDescent="0.25">
      <c r="A721" s="2" t="s">
        <v>1399</v>
      </c>
      <c r="B721" s="2" t="s">
        <v>1400</v>
      </c>
      <c r="C721" s="3">
        <f>IFERROR(SUMIFS('Issuance Log'!$D:$D,'Issuance Log'!$B:$B,A721,'Issuance Log'!$G:$G,$B$4),0)</f>
        <v>0</v>
      </c>
      <c r="D721" s="3">
        <f>IFERROR(COUNTIFS('Issuance Log'!$B:$B,A721,'Issuance Log'!$G:$G,$B$4),0)</f>
        <v>0</v>
      </c>
      <c r="E721" s="3" t="str">
        <f ca="1">IFERROR(INDEX('Issuance Log'!$E:$E,MATCH(MAXIFS('Issuance Log'!$D:$D,'Issuance Log'!$B:$B,A721,'Issuance Log'!$G:$G,$B$4),IF(('Issuance Log'!$B:$B=A721)*('Issuance Log'!$G:$G=$B$4),'Issuance Log'!$D:$D),0)),"-")</f>
        <v>-</v>
      </c>
    </row>
    <row r="722" spans="1:5" x14ac:dyDescent="0.25">
      <c r="A722" s="4" t="s">
        <v>1401</v>
      </c>
      <c r="B722" s="4" t="s">
        <v>1402</v>
      </c>
      <c r="C722" s="5">
        <f>IFERROR(SUMIFS('Issuance Log'!$D:$D,'Issuance Log'!$B:$B,A722,'Issuance Log'!$G:$G,$B$4),0)</f>
        <v>0</v>
      </c>
      <c r="D722" s="5">
        <f>IFERROR(COUNTIFS('Issuance Log'!$B:$B,A722,'Issuance Log'!$G:$G,$B$4),0)</f>
        <v>0</v>
      </c>
      <c r="E722" s="5" t="str">
        <f ca="1">IFERROR(INDEX('Issuance Log'!$E:$E,MATCH(MAXIFS('Issuance Log'!$D:$D,'Issuance Log'!$B:$B,A722,'Issuance Log'!$G:$G,$B$4),IF(('Issuance Log'!$B:$B=A722)*('Issuance Log'!$G:$G=$B$4),'Issuance Log'!$D:$D),0)),"-")</f>
        <v>-</v>
      </c>
    </row>
    <row r="723" spans="1:5" x14ac:dyDescent="0.25">
      <c r="A723" s="2" t="s">
        <v>1403</v>
      </c>
      <c r="B723" s="2" t="s">
        <v>1404</v>
      </c>
      <c r="C723" s="3">
        <f>IFERROR(SUMIFS('Issuance Log'!$D:$D,'Issuance Log'!$B:$B,A723,'Issuance Log'!$G:$G,$B$4),0)</f>
        <v>0</v>
      </c>
      <c r="D723" s="3">
        <f>IFERROR(COUNTIFS('Issuance Log'!$B:$B,A723,'Issuance Log'!$G:$G,$B$4),0)</f>
        <v>0</v>
      </c>
      <c r="E723" s="3" t="str">
        <f ca="1">IFERROR(INDEX('Issuance Log'!$E:$E,MATCH(MAXIFS('Issuance Log'!$D:$D,'Issuance Log'!$B:$B,A723,'Issuance Log'!$G:$G,$B$4),IF(('Issuance Log'!$B:$B=A723)*('Issuance Log'!$G:$G=$B$4),'Issuance Log'!$D:$D),0)),"-")</f>
        <v>-</v>
      </c>
    </row>
    <row r="724" spans="1:5" x14ac:dyDescent="0.25">
      <c r="A724" s="4" t="s">
        <v>1405</v>
      </c>
      <c r="B724" s="4" t="s">
        <v>1406</v>
      </c>
      <c r="C724" s="5">
        <f>IFERROR(SUMIFS('Issuance Log'!$D:$D,'Issuance Log'!$B:$B,A724,'Issuance Log'!$G:$G,$B$4),0)</f>
        <v>0</v>
      </c>
      <c r="D724" s="5">
        <f>IFERROR(COUNTIFS('Issuance Log'!$B:$B,A724,'Issuance Log'!$G:$G,$B$4),0)</f>
        <v>0</v>
      </c>
      <c r="E724" s="5" t="str">
        <f ca="1">IFERROR(INDEX('Issuance Log'!$E:$E,MATCH(MAXIFS('Issuance Log'!$D:$D,'Issuance Log'!$B:$B,A724,'Issuance Log'!$G:$G,$B$4),IF(('Issuance Log'!$B:$B=A724)*('Issuance Log'!$G:$G=$B$4),'Issuance Log'!$D:$D),0)),"-")</f>
        <v>-</v>
      </c>
    </row>
    <row r="725" spans="1:5" x14ac:dyDescent="0.25">
      <c r="A725" s="2" t="s">
        <v>1407</v>
      </c>
      <c r="B725" s="2" t="s">
        <v>1408</v>
      </c>
      <c r="C725" s="3">
        <f>IFERROR(SUMIFS('Issuance Log'!$D:$D,'Issuance Log'!$B:$B,A725,'Issuance Log'!$G:$G,$B$4),0)</f>
        <v>0</v>
      </c>
      <c r="D725" s="3">
        <f>IFERROR(COUNTIFS('Issuance Log'!$B:$B,A725,'Issuance Log'!$G:$G,$B$4),0)</f>
        <v>0</v>
      </c>
      <c r="E725" s="3" t="str">
        <f ca="1">IFERROR(INDEX('Issuance Log'!$E:$E,MATCH(MAXIFS('Issuance Log'!$D:$D,'Issuance Log'!$B:$B,A725,'Issuance Log'!$G:$G,$B$4),IF(('Issuance Log'!$B:$B=A725)*('Issuance Log'!$G:$G=$B$4),'Issuance Log'!$D:$D),0)),"-")</f>
        <v>-</v>
      </c>
    </row>
    <row r="726" spans="1:5" x14ac:dyDescent="0.25">
      <c r="A726" s="4" t="s">
        <v>1409</v>
      </c>
      <c r="B726" s="4" t="s">
        <v>1410</v>
      </c>
      <c r="C726" s="5">
        <f>IFERROR(SUMIFS('Issuance Log'!$D:$D,'Issuance Log'!$B:$B,A726,'Issuance Log'!$G:$G,$B$4),0)</f>
        <v>0</v>
      </c>
      <c r="D726" s="5">
        <f>IFERROR(COUNTIFS('Issuance Log'!$B:$B,A726,'Issuance Log'!$G:$G,$B$4),0)</f>
        <v>0</v>
      </c>
      <c r="E726" s="5" t="str">
        <f ca="1">IFERROR(INDEX('Issuance Log'!$E:$E,MATCH(MAXIFS('Issuance Log'!$D:$D,'Issuance Log'!$B:$B,A726,'Issuance Log'!$G:$G,$B$4),IF(('Issuance Log'!$B:$B=A726)*('Issuance Log'!$G:$G=$B$4),'Issuance Log'!$D:$D),0)),"-")</f>
        <v>-</v>
      </c>
    </row>
    <row r="727" spans="1:5" x14ac:dyDescent="0.25">
      <c r="A727" s="2" t="s">
        <v>1411</v>
      </c>
      <c r="B727" s="2" t="s">
        <v>1412</v>
      </c>
      <c r="C727" s="3">
        <f>IFERROR(SUMIFS('Issuance Log'!$D:$D,'Issuance Log'!$B:$B,A727,'Issuance Log'!$G:$G,$B$4),0)</f>
        <v>0</v>
      </c>
      <c r="D727" s="3">
        <f>IFERROR(COUNTIFS('Issuance Log'!$B:$B,A727,'Issuance Log'!$G:$G,$B$4),0)</f>
        <v>0</v>
      </c>
      <c r="E727" s="3" t="str">
        <f ca="1">IFERROR(INDEX('Issuance Log'!$E:$E,MATCH(MAXIFS('Issuance Log'!$D:$D,'Issuance Log'!$B:$B,A727,'Issuance Log'!$G:$G,$B$4),IF(('Issuance Log'!$B:$B=A727)*('Issuance Log'!$G:$G=$B$4),'Issuance Log'!$D:$D),0)),"-")</f>
        <v>-</v>
      </c>
    </row>
    <row r="728" spans="1:5" x14ac:dyDescent="0.25">
      <c r="A728" s="4" t="s">
        <v>1413</v>
      </c>
      <c r="B728" s="4" t="s">
        <v>1414</v>
      </c>
      <c r="C728" s="5">
        <f>IFERROR(SUMIFS('Issuance Log'!$D:$D,'Issuance Log'!$B:$B,A728,'Issuance Log'!$G:$G,$B$4),0)</f>
        <v>0</v>
      </c>
      <c r="D728" s="5">
        <f>IFERROR(COUNTIFS('Issuance Log'!$B:$B,A728,'Issuance Log'!$G:$G,$B$4),0)</f>
        <v>0</v>
      </c>
      <c r="E728" s="5" t="str">
        <f ca="1">IFERROR(INDEX('Issuance Log'!$E:$E,MATCH(MAXIFS('Issuance Log'!$D:$D,'Issuance Log'!$B:$B,A728,'Issuance Log'!$G:$G,$B$4),IF(('Issuance Log'!$B:$B=A728)*('Issuance Log'!$G:$G=$B$4),'Issuance Log'!$D:$D),0)),"-")</f>
        <v>-</v>
      </c>
    </row>
    <row r="729" spans="1:5" x14ac:dyDescent="0.25">
      <c r="A729" s="2" t="s">
        <v>1415</v>
      </c>
      <c r="B729" s="2" t="s">
        <v>1416</v>
      </c>
      <c r="C729" s="3">
        <f>IFERROR(SUMIFS('Issuance Log'!$D:$D,'Issuance Log'!$B:$B,A729,'Issuance Log'!$G:$G,$B$4),0)</f>
        <v>0</v>
      </c>
      <c r="D729" s="3">
        <f>IFERROR(COUNTIFS('Issuance Log'!$B:$B,A729,'Issuance Log'!$G:$G,$B$4),0)</f>
        <v>0</v>
      </c>
      <c r="E729" s="3" t="str">
        <f ca="1">IFERROR(INDEX('Issuance Log'!$E:$E,MATCH(MAXIFS('Issuance Log'!$D:$D,'Issuance Log'!$B:$B,A729,'Issuance Log'!$G:$G,$B$4),IF(('Issuance Log'!$B:$B=A729)*('Issuance Log'!$G:$G=$B$4),'Issuance Log'!$D:$D),0)),"-")</f>
        <v>-</v>
      </c>
    </row>
    <row r="730" spans="1:5" x14ac:dyDescent="0.25">
      <c r="A730" s="4" t="s">
        <v>1417</v>
      </c>
      <c r="B730" s="4" t="s">
        <v>1418</v>
      </c>
      <c r="C730" s="5">
        <f>IFERROR(SUMIFS('Issuance Log'!$D:$D,'Issuance Log'!$B:$B,A730,'Issuance Log'!$G:$G,$B$4),0)</f>
        <v>0</v>
      </c>
      <c r="D730" s="5">
        <f>IFERROR(COUNTIFS('Issuance Log'!$B:$B,A730,'Issuance Log'!$G:$G,$B$4),0)</f>
        <v>0</v>
      </c>
      <c r="E730" s="5" t="str">
        <f ca="1">IFERROR(INDEX('Issuance Log'!$E:$E,MATCH(MAXIFS('Issuance Log'!$D:$D,'Issuance Log'!$B:$B,A730,'Issuance Log'!$G:$G,$B$4),IF(('Issuance Log'!$B:$B=A730)*('Issuance Log'!$G:$G=$B$4),'Issuance Log'!$D:$D),0)),"-")</f>
        <v>-</v>
      </c>
    </row>
    <row r="731" spans="1:5" x14ac:dyDescent="0.25">
      <c r="A731" s="2" t="s">
        <v>1419</v>
      </c>
      <c r="B731" s="2" t="s">
        <v>1420</v>
      </c>
      <c r="C731" s="3">
        <f>IFERROR(SUMIFS('Issuance Log'!$D:$D,'Issuance Log'!$B:$B,A731,'Issuance Log'!$G:$G,$B$4),0)</f>
        <v>0</v>
      </c>
      <c r="D731" s="3">
        <f>IFERROR(COUNTIFS('Issuance Log'!$B:$B,A731,'Issuance Log'!$G:$G,$B$4),0)</f>
        <v>0</v>
      </c>
      <c r="E731" s="3" t="str">
        <f ca="1">IFERROR(INDEX('Issuance Log'!$E:$E,MATCH(MAXIFS('Issuance Log'!$D:$D,'Issuance Log'!$B:$B,A731,'Issuance Log'!$G:$G,$B$4),IF(('Issuance Log'!$B:$B=A731)*('Issuance Log'!$G:$G=$B$4),'Issuance Log'!$D:$D),0)),"-")</f>
        <v>-</v>
      </c>
    </row>
    <row r="732" spans="1:5" x14ac:dyDescent="0.25">
      <c r="A732" s="4" t="s">
        <v>1421</v>
      </c>
      <c r="B732" s="4" t="s">
        <v>1422</v>
      </c>
      <c r="C732" s="5">
        <f>IFERROR(SUMIFS('Issuance Log'!$D:$D,'Issuance Log'!$B:$B,A732,'Issuance Log'!$G:$G,$B$4),0)</f>
        <v>0</v>
      </c>
      <c r="D732" s="5">
        <f>IFERROR(COUNTIFS('Issuance Log'!$B:$B,A732,'Issuance Log'!$G:$G,$B$4),0)</f>
        <v>0</v>
      </c>
      <c r="E732" s="5" t="str">
        <f ca="1">IFERROR(INDEX('Issuance Log'!$E:$E,MATCH(MAXIFS('Issuance Log'!$D:$D,'Issuance Log'!$B:$B,A732,'Issuance Log'!$G:$G,$B$4),IF(('Issuance Log'!$B:$B=A732)*('Issuance Log'!$G:$G=$B$4),'Issuance Log'!$D:$D),0)),"-")</f>
        <v>-</v>
      </c>
    </row>
    <row r="733" spans="1:5" x14ac:dyDescent="0.25">
      <c r="A733" s="2" t="s">
        <v>1423</v>
      </c>
      <c r="B733" s="2" t="s">
        <v>1424</v>
      </c>
      <c r="C733" s="3">
        <f>IFERROR(SUMIFS('Issuance Log'!$D:$D,'Issuance Log'!$B:$B,A733,'Issuance Log'!$G:$G,$B$4),0)</f>
        <v>0</v>
      </c>
      <c r="D733" s="3">
        <f>IFERROR(COUNTIFS('Issuance Log'!$B:$B,A733,'Issuance Log'!$G:$G,$B$4),0)</f>
        <v>0</v>
      </c>
      <c r="E733" s="3" t="str">
        <f ca="1">IFERROR(INDEX('Issuance Log'!$E:$E,MATCH(MAXIFS('Issuance Log'!$D:$D,'Issuance Log'!$B:$B,A733,'Issuance Log'!$G:$G,$B$4),IF(('Issuance Log'!$B:$B=A733)*('Issuance Log'!$G:$G=$B$4),'Issuance Log'!$D:$D),0)),"-")</f>
        <v>-</v>
      </c>
    </row>
    <row r="734" spans="1:5" x14ac:dyDescent="0.25">
      <c r="A734" s="4" t="s">
        <v>1425</v>
      </c>
      <c r="B734" s="4" t="s">
        <v>1426</v>
      </c>
      <c r="C734" s="5">
        <f>IFERROR(SUMIFS('Issuance Log'!$D:$D,'Issuance Log'!$B:$B,A734,'Issuance Log'!$G:$G,$B$4),0)</f>
        <v>0</v>
      </c>
      <c r="D734" s="5">
        <f>IFERROR(COUNTIFS('Issuance Log'!$B:$B,A734,'Issuance Log'!$G:$G,$B$4),0)</f>
        <v>0</v>
      </c>
      <c r="E734" s="5" t="str">
        <f ca="1">IFERROR(INDEX('Issuance Log'!$E:$E,MATCH(MAXIFS('Issuance Log'!$D:$D,'Issuance Log'!$B:$B,A734,'Issuance Log'!$G:$G,$B$4),IF(('Issuance Log'!$B:$B=A734)*('Issuance Log'!$G:$G=$B$4),'Issuance Log'!$D:$D),0)),"-")</f>
        <v>-</v>
      </c>
    </row>
    <row r="735" spans="1:5" x14ac:dyDescent="0.25">
      <c r="A735" s="2" t="s">
        <v>1427</v>
      </c>
      <c r="B735" s="2" t="s">
        <v>1428</v>
      </c>
      <c r="C735" s="3">
        <f>IFERROR(SUMIFS('Issuance Log'!$D:$D,'Issuance Log'!$B:$B,A735,'Issuance Log'!$G:$G,$B$4),0)</f>
        <v>0</v>
      </c>
      <c r="D735" s="3">
        <f>IFERROR(COUNTIFS('Issuance Log'!$B:$B,A735,'Issuance Log'!$G:$G,$B$4),0)</f>
        <v>0</v>
      </c>
      <c r="E735" s="3" t="str">
        <f ca="1">IFERROR(INDEX('Issuance Log'!$E:$E,MATCH(MAXIFS('Issuance Log'!$D:$D,'Issuance Log'!$B:$B,A735,'Issuance Log'!$G:$G,$B$4),IF(('Issuance Log'!$B:$B=A735)*('Issuance Log'!$G:$G=$B$4),'Issuance Log'!$D:$D),0)),"-")</f>
        <v>-</v>
      </c>
    </row>
    <row r="736" spans="1:5" x14ac:dyDescent="0.25">
      <c r="A736" s="4" t="s">
        <v>1429</v>
      </c>
      <c r="B736" s="4" t="s">
        <v>1430</v>
      </c>
      <c r="C736" s="5">
        <f>IFERROR(SUMIFS('Issuance Log'!$D:$D,'Issuance Log'!$B:$B,A736,'Issuance Log'!$G:$G,$B$4),0)</f>
        <v>0</v>
      </c>
      <c r="D736" s="5">
        <f>IFERROR(COUNTIFS('Issuance Log'!$B:$B,A736,'Issuance Log'!$G:$G,$B$4),0)</f>
        <v>0</v>
      </c>
      <c r="E736" s="5" t="str">
        <f ca="1">IFERROR(INDEX('Issuance Log'!$E:$E,MATCH(MAXIFS('Issuance Log'!$D:$D,'Issuance Log'!$B:$B,A736,'Issuance Log'!$G:$G,$B$4),IF(('Issuance Log'!$B:$B=A736)*('Issuance Log'!$G:$G=$B$4),'Issuance Log'!$D:$D),0)),"-")</f>
        <v>-</v>
      </c>
    </row>
    <row r="737" spans="1:5" x14ac:dyDescent="0.25">
      <c r="A737" s="2" t="s">
        <v>1431</v>
      </c>
      <c r="B737" s="2" t="s">
        <v>1432</v>
      </c>
      <c r="C737" s="3">
        <f>IFERROR(SUMIFS('Issuance Log'!$D:$D,'Issuance Log'!$B:$B,A737,'Issuance Log'!$G:$G,$B$4),0)</f>
        <v>0</v>
      </c>
      <c r="D737" s="3">
        <f>IFERROR(COUNTIFS('Issuance Log'!$B:$B,A737,'Issuance Log'!$G:$G,$B$4),0)</f>
        <v>0</v>
      </c>
      <c r="E737" s="3" t="str">
        <f ca="1">IFERROR(INDEX('Issuance Log'!$E:$E,MATCH(MAXIFS('Issuance Log'!$D:$D,'Issuance Log'!$B:$B,A737,'Issuance Log'!$G:$G,$B$4),IF(('Issuance Log'!$B:$B=A737)*('Issuance Log'!$G:$G=$B$4),'Issuance Log'!$D:$D),0)),"-")</f>
        <v>-</v>
      </c>
    </row>
    <row r="738" spans="1:5" x14ac:dyDescent="0.25">
      <c r="A738" s="4" t="s">
        <v>1433</v>
      </c>
      <c r="B738" s="4" t="s">
        <v>1434</v>
      </c>
      <c r="C738" s="5">
        <f>IFERROR(SUMIFS('Issuance Log'!$D:$D,'Issuance Log'!$B:$B,A738,'Issuance Log'!$G:$G,$B$4),0)</f>
        <v>0</v>
      </c>
      <c r="D738" s="5">
        <f>IFERROR(COUNTIFS('Issuance Log'!$B:$B,A738,'Issuance Log'!$G:$G,$B$4),0)</f>
        <v>0</v>
      </c>
      <c r="E738" s="5" t="str">
        <f ca="1">IFERROR(INDEX('Issuance Log'!$E:$E,MATCH(MAXIFS('Issuance Log'!$D:$D,'Issuance Log'!$B:$B,A738,'Issuance Log'!$G:$G,$B$4),IF(('Issuance Log'!$B:$B=A738)*('Issuance Log'!$G:$G=$B$4),'Issuance Log'!$D:$D),0)),"-")</f>
        <v>-</v>
      </c>
    </row>
    <row r="739" spans="1:5" x14ac:dyDescent="0.25">
      <c r="A739" s="2" t="s">
        <v>1435</v>
      </c>
      <c r="B739" s="2" t="s">
        <v>1436</v>
      </c>
      <c r="C739" s="3">
        <f>IFERROR(SUMIFS('Issuance Log'!$D:$D,'Issuance Log'!$B:$B,A739,'Issuance Log'!$G:$G,$B$4),0)</f>
        <v>0</v>
      </c>
      <c r="D739" s="3">
        <f>IFERROR(COUNTIFS('Issuance Log'!$B:$B,A739,'Issuance Log'!$G:$G,$B$4),0)</f>
        <v>0</v>
      </c>
      <c r="E739" s="3" t="str">
        <f ca="1">IFERROR(INDEX('Issuance Log'!$E:$E,MATCH(MAXIFS('Issuance Log'!$D:$D,'Issuance Log'!$B:$B,A739,'Issuance Log'!$G:$G,$B$4),IF(('Issuance Log'!$B:$B=A739)*('Issuance Log'!$G:$G=$B$4),'Issuance Log'!$D:$D),0)),"-")</f>
        <v>-</v>
      </c>
    </row>
    <row r="740" spans="1:5" x14ac:dyDescent="0.25">
      <c r="A740" s="4" t="s">
        <v>1437</v>
      </c>
      <c r="B740" s="4" t="s">
        <v>1438</v>
      </c>
      <c r="C740" s="5">
        <f>IFERROR(SUMIFS('Issuance Log'!$D:$D,'Issuance Log'!$B:$B,A740,'Issuance Log'!$G:$G,$B$4),0)</f>
        <v>0</v>
      </c>
      <c r="D740" s="5">
        <f>IFERROR(COUNTIFS('Issuance Log'!$B:$B,A740,'Issuance Log'!$G:$G,$B$4),0)</f>
        <v>0</v>
      </c>
      <c r="E740" s="5" t="str">
        <f ca="1">IFERROR(INDEX('Issuance Log'!$E:$E,MATCH(MAXIFS('Issuance Log'!$D:$D,'Issuance Log'!$B:$B,A740,'Issuance Log'!$G:$G,$B$4),IF(('Issuance Log'!$B:$B=A740)*('Issuance Log'!$G:$G=$B$4),'Issuance Log'!$D:$D),0)),"-")</f>
        <v>-</v>
      </c>
    </row>
    <row r="741" spans="1:5" x14ac:dyDescent="0.25">
      <c r="A741" s="2" t="s">
        <v>1439</v>
      </c>
      <c r="B741" s="2" t="s">
        <v>1440</v>
      </c>
      <c r="C741" s="3">
        <f>IFERROR(SUMIFS('Issuance Log'!$D:$D,'Issuance Log'!$B:$B,A741,'Issuance Log'!$G:$G,$B$4),0)</f>
        <v>0</v>
      </c>
      <c r="D741" s="3">
        <f>IFERROR(COUNTIFS('Issuance Log'!$B:$B,A741,'Issuance Log'!$G:$G,$B$4),0)</f>
        <v>0</v>
      </c>
      <c r="E741" s="3" t="str">
        <f ca="1">IFERROR(INDEX('Issuance Log'!$E:$E,MATCH(MAXIFS('Issuance Log'!$D:$D,'Issuance Log'!$B:$B,A741,'Issuance Log'!$G:$G,$B$4),IF(('Issuance Log'!$B:$B=A741)*('Issuance Log'!$G:$G=$B$4),'Issuance Log'!$D:$D),0)),"-")</f>
        <v>-</v>
      </c>
    </row>
    <row r="742" spans="1:5" x14ac:dyDescent="0.25">
      <c r="A742" s="4" t="s">
        <v>1441</v>
      </c>
      <c r="B742" s="4" t="s">
        <v>1442</v>
      </c>
      <c r="C742" s="5">
        <f>IFERROR(SUMIFS('Issuance Log'!$D:$D,'Issuance Log'!$B:$B,A742,'Issuance Log'!$G:$G,$B$4),0)</f>
        <v>0</v>
      </c>
      <c r="D742" s="5">
        <f>IFERROR(COUNTIFS('Issuance Log'!$B:$B,A742,'Issuance Log'!$G:$G,$B$4),0)</f>
        <v>0</v>
      </c>
      <c r="E742" s="5" t="str">
        <f ca="1">IFERROR(INDEX('Issuance Log'!$E:$E,MATCH(MAXIFS('Issuance Log'!$D:$D,'Issuance Log'!$B:$B,A742,'Issuance Log'!$G:$G,$B$4),IF(('Issuance Log'!$B:$B=A742)*('Issuance Log'!$G:$G=$B$4),'Issuance Log'!$D:$D),0)),"-")</f>
        <v>-</v>
      </c>
    </row>
    <row r="743" spans="1:5" x14ac:dyDescent="0.25">
      <c r="A743" s="2" t="s">
        <v>1443</v>
      </c>
      <c r="B743" s="2" t="s">
        <v>1444</v>
      </c>
      <c r="C743" s="3">
        <f>IFERROR(SUMIFS('Issuance Log'!$D:$D,'Issuance Log'!$B:$B,A743,'Issuance Log'!$G:$G,$B$4),0)</f>
        <v>0</v>
      </c>
      <c r="D743" s="3">
        <f>IFERROR(COUNTIFS('Issuance Log'!$B:$B,A743,'Issuance Log'!$G:$G,$B$4),0)</f>
        <v>0</v>
      </c>
      <c r="E743" s="3" t="str">
        <f ca="1">IFERROR(INDEX('Issuance Log'!$E:$E,MATCH(MAXIFS('Issuance Log'!$D:$D,'Issuance Log'!$B:$B,A743,'Issuance Log'!$G:$G,$B$4),IF(('Issuance Log'!$B:$B=A743)*('Issuance Log'!$G:$G=$B$4),'Issuance Log'!$D:$D),0)),"-")</f>
        <v>-</v>
      </c>
    </row>
    <row r="744" spans="1:5" x14ac:dyDescent="0.25">
      <c r="A744" s="4" t="s">
        <v>1445</v>
      </c>
      <c r="B744" s="4" t="s">
        <v>1446</v>
      </c>
      <c r="C744" s="5">
        <f>IFERROR(SUMIFS('Issuance Log'!$D:$D,'Issuance Log'!$B:$B,A744,'Issuance Log'!$G:$G,$B$4),0)</f>
        <v>0</v>
      </c>
      <c r="D744" s="5">
        <f>IFERROR(COUNTIFS('Issuance Log'!$B:$B,A744,'Issuance Log'!$G:$G,$B$4),0)</f>
        <v>0</v>
      </c>
      <c r="E744" s="5" t="str">
        <f ca="1">IFERROR(INDEX('Issuance Log'!$E:$E,MATCH(MAXIFS('Issuance Log'!$D:$D,'Issuance Log'!$B:$B,A744,'Issuance Log'!$G:$G,$B$4),IF(('Issuance Log'!$B:$B=A744)*('Issuance Log'!$G:$G=$B$4),'Issuance Log'!$D:$D),0)),"-")</f>
        <v>-</v>
      </c>
    </row>
    <row r="745" spans="1:5" x14ac:dyDescent="0.25">
      <c r="A745" s="2" t="s">
        <v>1447</v>
      </c>
      <c r="B745" s="2" t="s">
        <v>1448</v>
      </c>
      <c r="C745" s="3">
        <f>IFERROR(SUMIFS('Issuance Log'!$D:$D,'Issuance Log'!$B:$B,A745,'Issuance Log'!$G:$G,$B$4),0)</f>
        <v>0</v>
      </c>
      <c r="D745" s="3">
        <f>IFERROR(COUNTIFS('Issuance Log'!$B:$B,A745,'Issuance Log'!$G:$G,$B$4),0)</f>
        <v>0</v>
      </c>
      <c r="E745" s="3" t="str">
        <f ca="1">IFERROR(INDEX('Issuance Log'!$E:$E,MATCH(MAXIFS('Issuance Log'!$D:$D,'Issuance Log'!$B:$B,A745,'Issuance Log'!$G:$G,$B$4),IF(('Issuance Log'!$B:$B=A745)*('Issuance Log'!$G:$G=$B$4),'Issuance Log'!$D:$D),0)),"-")</f>
        <v>-</v>
      </c>
    </row>
    <row r="746" spans="1:5" x14ac:dyDescent="0.25">
      <c r="A746" s="4" t="s">
        <v>1449</v>
      </c>
      <c r="B746" s="4" t="s">
        <v>1450</v>
      </c>
      <c r="C746" s="5">
        <f>IFERROR(SUMIFS('Issuance Log'!$D:$D,'Issuance Log'!$B:$B,A746,'Issuance Log'!$G:$G,$B$4),0)</f>
        <v>0</v>
      </c>
      <c r="D746" s="5">
        <f>IFERROR(COUNTIFS('Issuance Log'!$B:$B,A746,'Issuance Log'!$G:$G,$B$4),0)</f>
        <v>0</v>
      </c>
      <c r="E746" s="5" t="str">
        <f ca="1">IFERROR(INDEX('Issuance Log'!$E:$E,MATCH(MAXIFS('Issuance Log'!$D:$D,'Issuance Log'!$B:$B,A746,'Issuance Log'!$G:$G,$B$4),IF(('Issuance Log'!$B:$B=A746)*('Issuance Log'!$G:$G=$B$4),'Issuance Log'!$D:$D),0)),"-")</f>
        <v>-</v>
      </c>
    </row>
    <row r="747" spans="1:5" x14ac:dyDescent="0.25">
      <c r="A747" s="2" t="s">
        <v>1451</v>
      </c>
      <c r="B747" s="2" t="s">
        <v>1452</v>
      </c>
      <c r="C747" s="3">
        <f>IFERROR(SUMIFS('Issuance Log'!$D:$D,'Issuance Log'!$B:$B,A747,'Issuance Log'!$G:$G,$B$4),0)</f>
        <v>0</v>
      </c>
      <c r="D747" s="3">
        <f>IFERROR(COUNTIFS('Issuance Log'!$B:$B,A747,'Issuance Log'!$G:$G,$B$4),0)</f>
        <v>0</v>
      </c>
      <c r="E747" s="3" t="str">
        <f ca="1">IFERROR(INDEX('Issuance Log'!$E:$E,MATCH(MAXIFS('Issuance Log'!$D:$D,'Issuance Log'!$B:$B,A747,'Issuance Log'!$G:$G,$B$4),IF(('Issuance Log'!$B:$B=A747)*('Issuance Log'!$G:$G=$B$4),'Issuance Log'!$D:$D),0)),"-")</f>
        <v>-</v>
      </c>
    </row>
    <row r="748" spans="1:5" x14ac:dyDescent="0.25">
      <c r="A748" s="4" t="s">
        <v>1453</v>
      </c>
      <c r="B748" s="4" t="s">
        <v>1454</v>
      </c>
      <c r="C748" s="5">
        <f>IFERROR(SUMIFS('Issuance Log'!$D:$D,'Issuance Log'!$B:$B,A748,'Issuance Log'!$G:$G,$B$4),0)</f>
        <v>0</v>
      </c>
      <c r="D748" s="5">
        <f>IFERROR(COUNTIFS('Issuance Log'!$B:$B,A748,'Issuance Log'!$G:$G,$B$4),0)</f>
        <v>0</v>
      </c>
      <c r="E748" s="5" t="str">
        <f ca="1">IFERROR(INDEX('Issuance Log'!$E:$E,MATCH(MAXIFS('Issuance Log'!$D:$D,'Issuance Log'!$B:$B,A748,'Issuance Log'!$G:$G,$B$4),IF(('Issuance Log'!$B:$B=A748)*('Issuance Log'!$G:$G=$B$4),'Issuance Log'!$D:$D),0)),"-")</f>
        <v>-</v>
      </c>
    </row>
    <row r="749" spans="1:5" x14ac:dyDescent="0.25">
      <c r="A749" s="2" t="s">
        <v>1455</v>
      </c>
      <c r="B749" s="2" t="s">
        <v>1456</v>
      </c>
      <c r="C749" s="3">
        <f>IFERROR(SUMIFS('Issuance Log'!$D:$D,'Issuance Log'!$B:$B,A749,'Issuance Log'!$G:$G,$B$4),0)</f>
        <v>0</v>
      </c>
      <c r="D749" s="3">
        <f>IFERROR(COUNTIFS('Issuance Log'!$B:$B,A749,'Issuance Log'!$G:$G,$B$4),0)</f>
        <v>0</v>
      </c>
      <c r="E749" s="3" t="str">
        <f ca="1">IFERROR(INDEX('Issuance Log'!$E:$E,MATCH(MAXIFS('Issuance Log'!$D:$D,'Issuance Log'!$B:$B,A749,'Issuance Log'!$G:$G,$B$4),IF(('Issuance Log'!$B:$B=A749)*('Issuance Log'!$G:$G=$B$4),'Issuance Log'!$D:$D),0)),"-")</f>
        <v>-</v>
      </c>
    </row>
    <row r="750" spans="1:5" x14ac:dyDescent="0.25">
      <c r="A750" s="4" t="s">
        <v>1457</v>
      </c>
      <c r="B750" s="4" t="s">
        <v>1458</v>
      </c>
      <c r="C750" s="5">
        <f>IFERROR(SUMIFS('Issuance Log'!$D:$D,'Issuance Log'!$B:$B,A750,'Issuance Log'!$G:$G,$B$4),0)</f>
        <v>0</v>
      </c>
      <c r="D750" s="5">
        <f>IFERROR(COUNTIFS('Issuance Log'!$B:$B,A750,'Issuance Log'!$G:$G,$B$4),0)</f>
        <v>0</v>
      </c>
      <c r="E750" s="5" t="str">
        <f ca="1">IFERROR(INDEX('Issuance Log'!$E:$E,MATCH(MAXIFS('Issuance Log'!$D:$D,'Issuance Log'!$B:$B,A750,'Issuance Log'!$G:$G,$B$4),IF(('Issuance Log'!$B:$B=A750)*('Issuance Log'!$G:$G=$B$4),'Issuance Log'!$D:$D),0)),"-")</f>
        <v>-</v>
      </c>
    </row>
    <row r="751" spans="1:5" x14ac:dyDescent="0.25">
      <c r="A751" s="2" t="s">
        <v>1459</v>
      </c>
      <c r="B751" s="2" t="s">
        <v>1460</v>
      </c>
      <c r="C751" s="3">
        <f>IFERROR(SUMIFS('Issuance Log'!$D:$D,'Issuance Log'!$B:$B,A751,'Issuance Log'!$G:$G,$B$4),0)</f>
        <v>0</v>
      </c>
      <c r="D751" s="3">
        <f>IFERROR(COUNTIFS('Issuance Log'!$B:$B,A751,'Issuance Log'!$G:$G,$B$4),0)</f>
        <v>0</v>
      </c>
      <c r="E751" s="3" t="str">
        <f ca="1">IFERROR(INDEX('Issuance Log'!$E:$E,MATCH(MAXIFS('Issuance Log'!$D:$D,'Issuance Log'!$B:$B,A751,'Issuance Log'!$G:$G,$B$4),IF(('Issuance Log'!$B:$B=A751)*('Issuance Log'!$G:$G=$B$4),'Issuance Log'!$D:$D),0)),"-")</f>
        <v>-</v>
      </c>
    </row>
    <row r="752" spans="1:5" x14ac:dyDescent="0.25">
      <c r="A752" s="4" t="s">
        <v>1461</v>
      </c>
      <c r="B752" s="4" t="s">
        <v>1462</v>
      </c>
      <c r="C752" s="5">
        <f>IFERROR(SUMIFS('Issuance Log'!$D:$D,'Issuance Log'!$B:$B,A752,'Issuance Log'!$G:$G,$B$4),0)</f>
        <v>0</v>
      </c>
      <c r="D752" s="5">
        <f>IFERROR(COUNTIFS('Issuance Log'!$B:$B,A752,'Issuance Log'!$G:$G,$B$4),0)</f>
        <v>0</v>
      </c>
      <c r="E752" s="5" t="str">
        <f ca="1">IFERROR(INDEX('Issuance Log'!$E:$E,MATCH(MAXIFS('Issuance Log'!$D:$D,'Issuance Log'!$B:$B,A752,'Issuance Log'!$G:$G,$B$4),IF(('Issuance Log'!$B:$B=A752)*('Issuance Log'!$G:$G=$B$4),'Issuance Log'!$D:$D),0)),"-")</f>
        <v>-</v>
      </c>
    </row>
    <row r="753" spans="1:5" x14ac:dyDescent="0.25">
      <c r="A753" s="2" t="s">
        <v>1463</v>
      </c>
      <c r="B753" s="2" t="s">
        <v>1464</v>
      </c>
      <c r="C753" s="3">
        <f>IFERROR(SUMIFS('Issuance Log'!$D:$D,'Issuance Log'!$B:$B,A753,'Issuance Log'!$G:$G,$B$4),0)</f>
        <v>0</v>
      </c>
      <c r="D753" s="3">
        <f>IFERROR(COUNTIFS('Issuance Log'!$B:$B,A753,'Issuance Log'!$G:$G,$B$4),0)</f>
        <v>0</v>
      </c>
      <c r="E753" s="3" t="str">
        <f ca="1">IFERROR(INDEX('Issuance Log'!$E:$E,MATCH(MAXIFS('Issuance Log'!$D:$D,'Issuance Log'!$B:$B,A753,'Issuance Log'!$G:$G,$B$4),IF(('Issuance Log'!$B:$B=A753)*('Issuance Log'!$G:$G=$B$4),'Issuance Log'!$D:$D),0)),"-")</f>
        <v>-</v>
      </c>
    </row>
    <row r="754" spans="1:5" x14ac:dyDescent="0.25">
      <c r="A754" s="4" t="s">
        <v>1465</v>
      </c>
      <c r="B754" s="4" t="s">
        <v>21</v>
      </c>
      <c r="C754" s="5">
        <f>IFERROR(SUMIFS('Issuance Log'!$D:$D,'Issuance Log'!$B:$B,A754,'Issuance Log'!$G:$G,$B$4),0)</f>
        <v>0</v>
      </c>
      <c r="D754" s="5">
        <f>IFERROR(COUNTIFS('Issuance Log'!$B:$B,A754,'Issuance Log'!$G:$G,$B$4),0)</f>
        <v>0</v>
      </c>
      <c r="E754" s="5" t="str">
        <f ca="1">IFERROR(INDEX('Issuance Log'!$E:$E,MATCH(MAXIFS('Issuance Log'!$D:$D,'Issuance Log'!$B:$B,A754,'Issuance Log'!$G:$G,$B$4),IF(('Issuance Log'!$B:$B=A754)*('Issuance Log'!$G:$G=$B$4),'Issuance Log'!$D:$D),0)),"-")</f>
        <v>-</v>
      </c>
    </row>
    <row r="755" spans="1:5" x14ac:dyDescent="0.25">
      <c r="A755" s="2" t="s">
        <v>1466</v>
      </c>
      <c r="B755" s="2" t="s">
        <v>19</v>
      </c>
      <c r="C755" s="3">
        <f>IFERROR(SUMIFS('Issuance Log'!$D:$D,'Issuance Log'!$B:$B,A755,'Issuance Log'!$G:$G,$B$4),0)</f>
        <v>0</v>
      </c>
      <c r="D755" s="3">
        <f>IFERROR(COUNTIFS('Issuance Log'!$B:$B,A755,'Issuance Log'!$G:$G,$B$4),0)</f>
        <v>0</v>
      </c>
      <c r="E755" s="3" t="str">
        <f ca="1">IFERROR(INDEX('Issuance Log'!$E:$E,MATCH(MAXIFS('Issuance Log'!$D:$D,'Issuance Log'!$B:$B,A755,'Issuance Log'!$G:$G,$B$4),IF(('Issuance Log'!$B:$B=A755)*('Issuance Log'!$G:$G=$B$4),'Issuance Log'!$D:$D),0)),"-")</f>
        <v>-</v>
      </c>
    </row>
    <row r="756" spans="1:5" x14ac:dyDescent="0.25">
      <c r="A756" s="4" t="s">
        <v>1467</v>
      </c>
      <c r="B756" s="4" t="s">
        <v>1468</v>
      </c>
      <c r="C756" s="5">
        <f>IFERROR(SUMIFS('Issuance Log'!$D:$D,'Issuance Log'!$B:$B,A756,'Issuance Log'!$G:$G,$B$4),0)</f>
        <v>0</v>
      </c>
      <c r="D756" s="5">
        <f>IFERROR(COUNTIFS('Issuance Log'!$B:$B,A756,'Issuance Log'!$G:$G,$B$4),0)</f>
        <v>0</v>
      </c>
      <c r="E756" s="5" t="str">
        <f ca="1">IFERROR(INDEX('Issuance Log'!$E:$E,MATCH(MAXIFS('Issuance Log'!$D:$D,'Issuance Log'!$B:$B,A756,'Issuance Log'!$G:$G,$B$4),IF(('Issuance Log'!$B:$B=A756)*('Issuance Log'!$G:$G=$B$4),'Issuance Log'!$D:$D),0)),"-")</f>
        <v>-</v>
      </c>
    </row>
    <row r="757" spans="1:5" x14ac:dyDescent="0.25">
      <c r="A757" s="2" t="s">
        <v>1469</v>
      </c>
      <c r="B757" s="2" t="s">
        <v>1470</v>
      </c>
      <c r="C757" s="3">
        <f>IFERROR(SUMIFS('Issuance Log'!$D:$D,'Issuance Log'!$B:$B,A757,'Issuance Log'!$G:$G,$B$4),0)</f>
        <v>0</v>
      </c>
      <c r="D757" s="3">
        <f>IFERROR(COUNTIFS('Issuance Log'!$B:$B,A757,'Issuance Log'!$G:$G,$B$4),0)</f>
        <v>0</v>
      </c>
      <c r="E757" s="3" t="str">
        <f ca="1">IFERROR(INDEX('Issuance Log'!$E:$E,MATCH(MAXIFS('Issuance Log'!$D:$D,'Issuance Log'!$B:$B,A757,'Issuance Log'!$G:$G,$B$4),IF(('Issuance Log'!$B:$B=A757)*('Issuance Log'!$G:$G=$B$4),'Issuance Log'!$D:$D),0)),"-")</f>
        <v>-</v>
      </c>
    </row>
    <row r="758" spans="1:5" x14ac:dyDescent="0.25">
      <c r="A758" s="4" t="s">
        <v>1471</v>
      </c>
      <c r="B758" s="4" t="s">
        <v>1472</v>
      </c>
      <c r="C758" s="5">
        <f>IFERROR(SUMIFS('Issuance Log'!$D:$D,'Issuance Log'!$B:$B,A758,'Issuance Log'!$G:$G,$B$4),0)</f>
        <v>0</v>
      </c>
      <c r="D758" s="5">
        <f>IFERROR(COUNTIFS('Issuance Log'!$B:$B,A758,'Issuance Log'!$G:$G,$B$4),0)</f>
        <v>0</v>
      </c>
      <c r="E758" s="5" t="str">
        <f ca="1">IFERROR(INDEX('Issuance Log'!$E:$E,MATCH(MAXIFS('Issuance Log'!$D:$D,'Issuance Log'!$B:$B,A758,'Issuance Log'!$G:$G,$B$4),IF(('Issuance Log'!$B:$B=A758)*('Issuance Log'!$G:$G=$B$4),'Issuance Log'!$D:$D),0)),"-")</f>
        <v>-</v>
      </c>
    </row>
    <row r="759" spans="1:5" x14ac:dyDescent="0.25">
      <c r="A759" s="2" t="s">
        <v>1473</v>
      </c>
      <c r="B759" s="2" t="s">
        <v>457</v>
      </c>
      <c r="C759" s="3">
        <f>IFERROR(SUMIFS('Issuance Log'!$D:$D,'Issuance Log'!$B:$B,A759,'Issuance Log'!$G:$G,$B$4),0)</f>
        <v>0</v>
      </c>
      <c r="D759" s="3">
        <f>IFERROR(COUNTIFS('Issuance Log'!$B:$B,A759,'Issuance Log'!$G:$G,$B$4),0)</f>
        <v>0</v>
      </c>
      <c r="E759" s="3" t="str">
        <f ca="1">IFERROR(INDEX('Issuance Log'!$E:$E,MATCH(MAXIFS('Issuance Log'!$D:$D,'Issuance Log'!$B:$B,A759,'Issuance Log'!$G:$G,$B$4),IF(('Issuance Log'!$B:$B=A759)*('Issuance Log'!$G:$G=$B$4),'Issuance Log'!$D:$D),0)),"-")</f>
        <v>-</v>
      </c>
    </row>
    <row r="760" spans="1:5" x14ac:dyDescent="0.25">
      <c r="A760" s="4" t="s">
        <v>1474</v>
      </c>
      <c r="B760" s="4" t="s">
        <v>1475</v>
      </c>
      <c r="C760" s="5">
        <f>IFERROR(SUMIFS('Issuance Log'!$D:$D,'Issuance Log'!$B:$B,A760,'Issuance Log'!$G:$G,$B$4),0)</f>
        <v>0</v>
      </c>
      <c r="D760" s="5">
        <f>IFERROR(COUNTIFS('Issuance Log'!$B:$B,A760,'Issuance Log'!$G:$G,$B$4),0)</f>
        <v>0</v>
      </c>
      <c r="E760" s="5" t="str">
        <f ca="1">IFERROR(INDEX('Issuance Log'!$E:$E,MATCH(MAXIFS('Issuance Log'!$D:$D,'Issuance Log'!$B:$B,A760,'Issuance Log'!$G:$G,$B$4),IF(('Issuance Log'!$B:$B=A760)*('Issuance Log'!$G:$G=$B$4),'Issuance Log'!$D:$D),0)),"-")</f>
        <v>-</v>
      </c>
    </row>
    <row r="761" spans="1:5" x14ac:dyDescent="0.25">
      <c r="A761" s="2" t="s">
        <v>1476</v>
      </c>
      <c r="B761" s="2" t="s">
        <v>1477</v>
      </c>
      <c r="C761" s="3">
        <f>IFERROR(SUMIFS('Issuance Log'!$D:$D,'Issuance Log'!$B:$B,A761,'Issuance Log'!$G:$G,$B$4),0)</f>
        <v>0</v>
      </c>
      <c r="D761" s="3">
        <f>IFERROR(COUNTIFS('Issuance Log'!$B:$B,A761,'Issuance Log'!$G:$G,$B$4),0)</f>
        <v>0</v>
      </c>
      <c r="E761" s="3" t="str">
        <f ca="1">IFERROR(INDEX('Issuance Log'!$E:$E,MATCH(MAXIFS('Issuance Log'!$D:$D,'Issuance Log'!$B:$B,A761,'Issuance Log'!$G:$G,$B$4),IF(('Issuance Log'!$B:$B=A761)*('Issuance Log'!$G:$G=$B$4),'Issuance Log'!$D:$D),0)),"-")</f>
        <v>-</v>
      </c>
    </row>
    <row r="762" spans="1:5" x14ac:dyDescent="0.25">
      <c r="A762" s="4" t="s">
        <v>1478</v>
      </c>
      <c r="B762" s="4" t="s">
        <v>1479</v>
      </c>
      <c r="C762" s="5">
        <f>IFERROR(SUMIFS('Issuance Log'!$D:$D,'Issuance Log'!$B:$B,A762,'Issuance Log'!$G:$G,$B$4),0)</f>
        <v>0</v>
      </c>
      <c r="D762" s="5">
        <f>IFERROR(COUNTIFS('Issuance Log'!$B:$B,A762,'Issuance Log'!$G:$G,$B$4),0)</f>
        <v>0</v>
      </c>
      <c r="E762" s="5" t="str">
        <f ca="1">IFERROR(INDEX('Issuance Log'!$E:$E,MATCH(MAXIFS('Issuance Log'!$D:$D,'Issuance Log'!$B:$B,A762,'Issuance Log'!$G:$G,$B$4),IF(('Issuance Log'!$B:$B=A762)*('Issuance Log'!$G:$G=$B$4),'Issuance Log'!$D:$D),0)),"-")</f>
        <v>-</v>
      </c>
    </row>
    <row r="763" spans="1:5" x14ac:dyDescent="0.25">
      <c r="A763" s="2" t="s">
        <v>1480</v>
      </c>
      <c r="B763" s="2" t="s">
        <v>1481</v>
      </c>
      <c r="C763" s="3">
        <f>IFERROR(SUMIFS('Issuance Log'!$D:$D,'Issuance Log'!$B:$B,A763,'Issuance Log'!$G:$G,$B$4),0)</f>
        <v>0</v>
      </c>
      <c r="D763" s="3">
        <f>IFERROR(COUNTIFS('Issuance Log'!$B:$B,A763,'Issuance Log'!$G:$G,$B$4),0)</f>
        <v>0</v>
      </c>
      <c r="E763" s="3" t="str">
        <f ca="1">IFERROR(INDEX('Issuance Log'!$E:$E,MATCH(MAXIFS('Issuance Log'!$D:$D,'Issuance Log'!$B:$B,A763,'Issuance Log'!$G:$G,$B$4),IF(('Issuance Log'!$B:$B=A763)*('Issuance Log'!$G:$G=$B$4),'Issuance Log'!$D:$D),0)),"-")</f>
        <v>-</v>
      </c>
    </row>
    <row r="764" spans="1:5" x14ac:dyDescent="0.25">
      <c r="A764" s="4" t="s">
        <v>1482</v>
      </c>
      <c r="B764" s="4" t="s">
        <v>1483</v>
      </c>
      <c r="C764" s="5">
        <f>IFERROR(SUMIFS('Issuance Log'!$D:$D,'Issuance Log'!$B:$B,A764,'Issuance Log'!$G:$G,$B$4),0)</f>
        <v>0</v>
      </c>
      <c r="D764" s="5">
        <f>IFERROR(COUNTIFS('Issuance Log'!$B:$B,A764,'Issuance Log'!$G:$G,$B$4),0)</f>
        <v>0</v>
      </c>
      <c r="E764" s="5" t="str">
        <f ca="1">IFERROR(INDEX('Issuance Log'!$E:$E,MATCH(MAXIFS('Issuance Log'!$D:$D,'Issuance Log'!$B:$B,A764,'Issuance Log'!$G:$G,$B$4),IF(('Issuance Log'!$B:$B=A764)*('Issuance Log'!$G:$G=$B$4),'Issuance Log'!$D:$D),0)),"-")</f>
        <v>-</v>
      </c>
    </row>
    <row r="765" spans="1:5" x14ac:dyDescent="0.25">
      <c r="A765" s="2" t="s">
        <v>1484</v>
      </c>
      <c r="B765" s="2" t="s">
        <v>1485</v>
      </c>
      <c r="C765" s="3">
        <f>IFERROR(SUMIFS('Issuance Log'!$D:$D,'Issuance Log'!$B:$B,A765,'Issuance Log'!$G:$G,$B$4),0)</f>
        <v>0</v>
      </c>
      <c r="D765" s="3">
        <f>IFERROR(COUNTIFS('Issuance Log'!$B:$B,A765,'Issuance Log'!$G:$G,$B$4),0)</f>
        <v>0</v>
      </c>
      <c r="E765" s="3" t="str">
        <f ca="1">IFERROR(INDEX('Issuance Log'!$E:$E,MATCH(MAXIFS('Issuance Log'!$D:$D,'Issuance Log'!$B:$B,A765,'Issuance Log'!$G:$G,$B$4),IF(('Issuance Log'!$B:$B=A765)*('Issuance Log'!$G:$G=$B$4),'Issuance Log'!$D:$D),0)),"-")</f>
        <v>-</v>
      </c>
    </row>
    <row r="766" spans="1:5" x14ac:dyDescent="0.25">
      <c r="A766" s="4" t="s">
        <v>1486</v>
      </c>
      <c r="B766" s="4" t="s">
        <v>1487</v>
      </c>
      <c r="C766" s="5">
        <f>IFERROR(SUMIFS('Issuance Log'!$D:$D,'Issuance Log'!$B:$B,A766,'Issuance Log'!$G:$G,$B$4),0)</f>
        <v>0</v>
      </c>
      <c r="D766" s="5">
        <f>IFERROR(COUNTIFS('Issuance Log'!$B:$B,A766,'Issuance Log'!$G:$G,$B$4),0)</f>
        <v>0</v>
      </c>
      <c r="E766" s="5" t="str">
        <f ca="1">IFERROR(INDEX('Issuance Log'!$E:$E,MATCH(MAXIFS('Issuance Log'!$D:$D,'Issuance Log'!$B:$B,A766,'Issuance Log'!$G:$G,$B$4),IF(('Issuance Log'!$B:$B=A766)*('Issuance Log'!$G:$G=$B$4),'Issuance Log'!$D:$D),0)),"-")</f>
        <v>-</v>
      </c>
    </row>
    <row r="767" spans="1:5" x14ac:dyDescent="0.25">
      <c r="A767" s="2" t="s">
        <v>1488</v>
      </c>
      <c r="B767" s="2" t="s">
        <v>1489</v>
      </c>
      <c r="C767" s="3">
        <f>IFERROR(SUMIFS('Issuance Log'!$D:$D,'Issuance Log'!$B:$B,A767,'Issuance Log'!$G:$G,$B$4),0)</f>
        <v>0</v>
      </c>
      <c r="D767" s="3">
        <f>IFERROR(COUNTIFS('Issuance Log'!$B:$B,A767,'Issuance Log'!$G:$G,$B$4),0)</f>
        <v>0</v>
      </c>
      <c r="E767" s="3" t="str">
        <f ca="1">IFERROR(INDEX('Issuance Log'!$E:$E,MATCH(MAXIFS('Issuance Log'!$D:$D,'Issuance Log'!$B:$B,A767,'Issuance Log'!$G:$G,$B$4),IF(('Issuance Log'!$B:$B=A767)*('Issuance Log'!$G:$G=$B$4),'Issuance Log'!$D:$D),0)),"-")</f>
        <v>-</v>
      </c>
    </row>
    <row r="768" spans="1:5" x14ac:dyDescent="0.25">
      <c r="A768" s="4" t="s">
        <v>1490</v>
      </c>
      <c r="B768" s="4" t="s">
        <v>1491</v>
      </c>
      <c r="C768" s="5">
        <f>IFERROR(SUMIFS('Issuance Log'!$D:$D,'Issuance Log'!$B:$B,A768,'Issuance Log'!$G:$G,$B$4),0)</f>
        <v>0</v>
      </c>
      <c r="D768" s="5">
        <f>IFERROR(COUNTIFS('Issuance Log'!$B:$B,A768,'Issuance Log'!$G:$G,$B$4),0)</f>
        <v>0</v>
      </c>
      <c r="E768" s="5" t="str">
        <f ca="1">IFERROR(INDEX('Issuance Log'!$E:$E,MATCH(MAXIFS('Issuance Log'!$D:$D,'Issuance Log'!$B:$B,A768,'Issuance Log'!$G:$G,$B$4),IF(('Issuance Log'!$B:$B=A768)*('Issuance Log'!$G:$G=$B$4),'Issuance Log'!$D:$D),0)),"-")</f>
        <v>-</v>
      </c>
    </row>
    <row r="769" spans="1:5" x14ac:dyDescent="0.25">
      <c r="A769" s="2" t="s">
        <v>1492</v>
      </c>
      <c r="B769" s="2" t="s">
        <v>1493</v>
      </c>
      <c r="C769" s="3">
        <f>IFERROR(SUMIFS('Issuance Log'!$D:$D,'Issuance Log'!$B:$B,A769,'Issuance Log'!$G:$G,$B$4),0)</f>
        <v>0</v>
      </c>
      <c r="D769" s="3">
        <f>IFERROR(COUNTIFS('Issuance Log'!$B:$B,A769,'Issuance Log'!$G:$G,$B$4),0)</f>
        <v>0</v>
      </c>
      <c r="E769" s="3" t="str">
        <f ca="1">IFERROR(INDEX('Issuance Log'!$E:$E,MATCH(MAXIFS('Issuance Log'!$D:$D,'Issuance Log'!$B:$B,A769,'Issuance Log'!$G:$G,$B$4),IF(('Issuance Log'!$B:$B=A769)*('Issuance Log'!$G:$G=$B$4),'Issuance Log'!$D:$D),0)),"-")</f>
        <v>-</v>
      </c>
    </row>
    <row r="770" spans="1:5" x14ac:dyDescent="0.25">
      <c r="A770" s="4" t="s">
        <v>1494</v>
      </c>
      <c r="B770" s="4" t="s">
        <v>1495</v>
      </c>
      <c r="C770" s="5">
        <f>IFERROR(SUMIFS('Issuance Log'!$D:$D,'Issuance Log'!$B:$B,A770,'Issuance Log'!$G:$G,$B$4),0)</f>
        <v>0</v>
      </c>
      <c r="D770" s="5">
        <f>IFERROR(COUNTIFS('Issuance Log'!$B:$B,A770,'Issuance Log'!$G:$G,$B$4),0)</f>
        <v>0</v>
      </c>
      <c r="E770" s="5" t="str">
        <f ca="1">IFERROR(INDEX('Issuance Log'!$E:$E,MATCH(MAXIFS('Issuance Log'!$D:$D,'Issuance Log'!$B:$B,A770,'Issuance Log'!$G:$G,$B$4),IF(('Issuance Log'!$B:$B=A770)*('Issuance Log'!$G:$G=$B$4),'Issuance Log'!$D:$D),0)),"-")</f>
        <v>-</v>
      </c>
    </row>
    <row r="771" spans="1:5" x14ac:dyDescent="0.25">
      <c r="A771" s="2" t="s">
        <v>1496</v>
      </c>
      <c r="B771" s="2" t="s">
        <v>1497</v>
      </c>
      <c r="C771" s="3">
        <f>IFERROR(SUMIFS('Issuance Log'!$D:$D,'Issuance Log'!$B:$B,A771,'Issuance Log'!$G:$G,$B$4),0)</f>
        <v>0</v>
      </c>
      <c r="D771" s="3">
        <f>IFERROR(COUNTIFS('Issuance Log'!$B:$B,A771,'Issuance Log'!$G:$G,$B$4),0)</f>
        <v>0</v>
      </c>
      <c r="E771" s="3" t="str">
        <f ca="1">IFERROR(INDEX('Issuance Log'!$E:$E,MATCH(MAXIFS('Issuance Log'!$D:$D,'Issuance Log'!$B:$B,A771,'Issuance Log'!$G:$G,$B$4),IF(('Issuance Log'!$B:$B=A771)*('Issuance Log'!$G:$G=$B$4),'Issuance Log'!$D:$D),0)),"-")</f>
        <v>-</v>
      </c>
    </row>
    <row r="772" spans="1:5" x14ac:dyDescent="0.25">
      <c r="A772" s="4" t="s">
        <v>1498</v>
      </c>
      <c r="B772" s="4" t="s">
        <v>1499</v>
      </c>
      <c r="C772" s="5">
        <f>IFERROR(SUMIFS('Issuance Log'!$D:$D,'Issuance Log'!$B:$B,A772,'Issuance Log'!$G:$G,$B$4),0)</f>
        <v>0</v>
      </c>
      <c r="D772" s="5">
        <f>IFERROR(COUNTIFS('Issuance Log'!$B:$B,A772,'Issuance Log'!$G:$G,$B$4),0)</f>
        <v>0</v>
      </c>
      <c r="E772" s="5" t="str">
        <f ca="1">IFERROR(INDEX('Issuance Log'!$E:$E,MATCH(MAXIFS('Issuance Log'!$D:$D,'Issuance Log'!$B:$B,A772,'Issuance Log'!$G:$G,$B$4),IF(('Issuance Log'!$B:$B=A772)*('Issuance Log'!$G:$G=$B$4),'Issuance Log'!$D:$D),0)),"-")</f>
        <v>-</v>
      </c>
    </row>
    <row r="773" spans="1:5" x14ac:dyDescent="0.25">
      <c r="A773" s="2" t="s">
        <v>1500</v>
      </c>
      <c r="B773" s="2" t="s">
        <v>1501</v>
      </c>
      <c r="C773" s="3">
        <f>IFERROR(SUMIFS('Issuance Log'!$D:$D,'Issuance Log'!$B:$B,A773,'Issuance Log'!$G:$G,$B$4),0)</f>
        <v>0</v>
      </c>
      <c r="D773" s="3">
        <f>IFERROR(COUNTIFS('Issuance Log'!$B:$B,A773,'Issuance Log'!$G:$G,$B$4),0)</f>
        <v>0</v>
      </c>
      <c r="E773" s="3" t="str">
        <f ca="1">IFERROR(INDEX('Issuance Log'!$E:$E,MATCH(MAXIFS('Issuance Log'!$D:$D,'Issuance Log'!$B:$B,A773,'Issuance Log'!$G:$G,$B$4),IF(('Issuance Log'!$B:$B=A773)*('Issuance Log'!$G:$G=$B$4),'Issuance Log'!$D:$D),0)),"-")</f>
        <v>-</v>
      </c>
    </row>
    <row r="774" spans="1:5" x14ac:dyDescent="0.25">
      <c r="A774" s="4" t="s">
        <v>1502</v>
      </c>
      <c r="B774" s="4" t="s">
        <v>1503</v>
      </c>
      <c r="C774" s="5">
        <f>IFERROR(SUMIFS('Issuance Log'!$D:$D,'Issuance Log'!$B:$B,A774,'Issuance Log'!$G:$G,$B$4),0)</f>
        <v>0</v>
      </c>
      <c r="D774" s="5">
        <f>IFERROR(COUNTIFS('Issuance Log'!$B:$B,A774,'Issuance Log'!$G:$G,$B$4),0)</f>
        <v>0</v>
      </c>
      <c r="E774" s="5" t="str">
        <f ca="1">IFERROR(INDEX('Issuance Log'!$E:$E,MATCH(MAXIFS('Issuance Log'!$D:$D,'Issuance Log'!$B:$B,A774,'Issuance Log'!$G:$G,$B$4),IF(('Issuance Log'!$B:$B=A774)*('Issuance Log'!$G:$G=$B$4),'Issuance Log'!$D:$D),0)),"-")</f>
        <v>-</v>
      </c>
    </row>
    <row r="775" spans="1:5" x14ac:dyDescent="0.25">
      <c r="A775" s="2" t="s">
        <v>1504</v>
      </c>
      <c r="B775" s="2" t="s">
        <v>1505</v>
      </c>
      <c r="C775" s="3">
        <f>IFERROR(SUMIFS('Issuance Log'!$D:$D,'Issuance Log'!$B:$B,A775,'Issuance Log'!$G:$G,$B$4),0)</f>
        <v>0</v>
      </c>
      <c r="D775" s="3">
        <f>IFERROR(COUNTIFS('Issuance Log'!$B:$B,A775,'Issuance Log'!$G:$G,$B$4),0)</f>
        <v>0</v>
      </c>
      <c r="E775" s="3" t="str">
        <f ca="1">IFERROR(INDEX('Issuance Log'!$E:$E,MATCH(MAXIFS('Issuance Log'!$D:$D,'Issuance Log'!$B:$B,A775,'Issuance Log'!$G:$G,$B$4),IF(('Issuance Log'!$B:$B=A775)*('Issuance Log'!$G:$G=$B$4),'Issuance Log'!$D:$D),0)),"-")</f>
        <v>-</v>
      </c>
    </row>
    <row r="776" spans="1:5" x14ac:dyDescent="0.25">
      <c r="A776" s="4" t="s">
        <v>1506</v>
      </c>
      <c r="B776" s="4" t="s">
        <v>1507</v>
      </c>
      <c r="C776" s="5">
        <f>IFERROR(SUMIFS('Issuance Log'!$D:$D,'Issuance Log'!$B:$B,A776,'Issuance Log'!$G:$G,$B$4),0)</f>
        <v>0</v>
      </c>
      <c r="D776" s="5">
        <f>IFERROR(COUNTIFS('Issuance Log'!$B:$B,A776,'Issuance Log'!$G:$G,$B$4),0)</f>
        <v>0</v>
      </c>
      <c r="E776" s="5" t="str">
        <f ca="1">IFERROR(INDEX('Issuance Log'!$E:$E,MATCH(MAXIFS('Issuance Log'!$D:$D,'Issuance Log'!$B:$B,A776,'Issuance Log'!$G:$G,$B$4),IF(('Issuance Log'!$B:$B=A776)*('Issuance Log'!$G:$G=$B$4),'Issuance Log'!$D:$D),0)),"-")</f>
        <v>-</v>
      </c>
    </row>
    <row r="777" spans="1:5" x14ac:dyDescent="0.25">
      <c r="A777" s="2" t="s">
        <v>1508</v>
      </c>
      <c r="B777" s="2" t="s">
        <v>1196</v>
      </c>
      <c r="C777" s="3">
        <f>IFERROR(SUMIFS('Issuance Log'!$D:$D,'Issuance Log'!$B:$B,A777,'Issuance Log'!$G:$G,$B$4),0)</f>
        <v>0</v>
      </c>
      <c r="D777" s="3">
        <f>IFERROR(COUNTIFS('Issuance Log'!$B:$B,A777,'Issuance Log'!$G:$G,$B$4),0)</f>
        <v>0</v>
      </c>
      <c r="E777" s="3" t="str">
        <f ca="1">IFERROR(INDEX('Issuance Log'!$E:$E,MATCH(MAXIFS('Issuance Log'!$D:$D,'Issuance Log'!$B:$B,A777,'Issuance Log'!$G:$G,$B$4),IF(('Issuance Log'!$B:$B=A777)*('Issuance Log'!$G:$G=$B$4),'Issuance Log'!$D:$D),0)),"-")</f>
        <v>-</v>
      </c>
    </row>
    <row r="778" spans="1:5" x14ac:dyDescent="0.25">
      <c r="A778" s="4" t="s">
        <v>1509</v>
      </c>
      <c r="B778" s="4" t="s">
        <v>123</v>
      </c>
      <c r="C778" s="5">
        <f>IFERROR(SUMIFS('Issuance Log'!$D:$D,'Issuance Log'!$B:$B,A778,'Issuance Log'!$G:$G,$B$4),0)</f>
        <v>0</v>
      </c>
      <c r="D778" s="5">
        <f>IFERROR(COUNTIFS('Issuance Log'!$B:$B,A778,'Issuance Log'!$G:$G,$B$4),0)</f>
        <v>0</v>
      </c>
      <c r="E778" s="5" t="str">
        <f ca="1">IFERROR(INDEX('Issuance Log'!$E:$E,MATCH(MAXIFS('Issuance Log'!$D:$D,'Issuance Log'!$B:$B,A778,'Issuance Log'!$G:$G,$B$4),IF(('Issuance Log'!$B:$B=A778)*('Issuance Log'!$G:$G=$B$4),'Issuance Log'!$D:$D),0)),"-")</f>
        <v>-</v>
      </c>
    </row>
    <row r="779" spans="1:5" x14ac:dyDescent="0.25">
      <c r="A779" s="2" t="s">
        <v>1510</v>
      </c>
      <c r="B779" s="2" t="s">
        <v>1511</v>
      </c>
      <c r="C779" s="3">
        <f>IFERROR(SUMIFS('Issuance Log'!$D:$D,'Issuance Log'!$B:$B,A779,'Issuance Log'!$G:$G,$B$4),0)</f>
        <v>0</v>
      </c>
      <c r="D779" s="3">
        <f>IFERROR(COUNTIFS('Issuance Log'!$B:$B,A779,'Issuance Log'!$G:$G,$B$4),0)</f>
        <v>0</v>
      </c>
      <c r="E779" s="3" t="str">
        <f ca="1">IFERROR(INDEX('Issuance Log'!$E:$E,MATCH(MAXIFS('Issuance Log'!$D:$D,'Issuance Log'!$B:$B,A779,'Issuance Log'!$G:$G,$B$4),IF(('Issuance Log'!$B:$B=A779)*('Issuance Log'!$G:$G=$B$4),'Issuance Log'!$D:$D),0)),"-")</f>
        <v>-</v>
      </c>
    </row>
    <row r="780" spans="1:5" x14ac:dyDescent="0.25">
      <c r="A780" s="4" t="s">
        <v>1512</v>
      </c>
      <c r="B780" s="4" t="s">
        <v>1513</v>
      </c>
      <c r="C780" s="5">
        <f>IFERROR(SUMIFS('Issuance Log'!$D:$D,'Issuance Log'!$B:$B,A780,'Issuance Log'!$G:$G,$B$4),0)</f>
        <v>0</v>
      </c>
      <c r="D780" s="5">
        <f>IFERROR(COUNTIFS('Issuance Log'!$B:$B,A780,'Issuance Log'!$G:$G,$B$4),0)</f>
        <v>0</v>
      </c>
      <c r="E780" s="5" t="str">
        <f ca="1">IFERROR(INDEX('Issuance Log'!$E:$E,MATCH(MAXIFS('Issuance Log'!$D:$D,'Issuance Log'!$B:$B,A780,'Issuance Log'!$G:$G,$B$4),IF(('Issuance Log'!$B:$B=A780)*('Issuance Log'!$G:$G=$B$4),'Issuance Log'!$D:$D),0)),"-")</f>
        <v>-</v>
      </c>
    </row>
    <row r="781" spans="1:5" x14ac:dyDescent="0.25">
      <c r="A781" s="2" t="s">
        <v>1514</v>
      </c>
      <c r="B781" s="2" t="s">
        <v>132</v>
      </c>
      <c r="C781" s="3">
        <f>IFERROR(SUMIFS('Issuance Log'!$D:$D,'Issuance Log'!$B:$B,A781,'Issuance Log'!$G:$G,$B$4),0)</f>
        <v>0</v>
      </c>
      <c r="D781" s="3">
        <f>IFERROR(COUNTIFS('Issuance Log'!$B:$B,A781,'Issuance Log'!$G:$G,$B$4),0)</f>
        <v>0</v>
      </c>
      <c r="E781" s="3" t="str">
        <f ca="1">IFERROR(INDEX('Issuance Log'!$E:$E,MATCH(MAXIFS('Issuance Log'!$D:$D,'Issuance Log'!$B:$B,A781,'Issuance Log'!$G:$G,$B$4),IF(('Issuance Log'!$B:$B=A781)*('Issuance Log'!$G:$G=$B$4),'Issuance Log'!$D:$D),0)),"-")</f>
        <v>-</v>
      </c>
    </row>
    <row r="782" spans="1:5" x14ac:dyDescent="0.25">
      <c r="A782" s="4" t="s">
        <v>1515</v>
      </c>
      <c r="B782" s="4" t="s">
        <v>132</v>
      </c>
      <c r="C782" s="5">
        <f>IFERROR(SUMIFS('Issuance Log'!$D:$D,'Issuance Log'!$B:$B,A782,'Issuance Log'!$G:$G,$B$4),0)</f>
        <v>0</v>
      </c>
      <c r="D782" s="5">
        <f>IFERROR(COUNTIFS('Issuance Log'!$B:$B,A782,'Issuance Log'!$G:$G,$B$4),0)</f>
        <v>0</v>
      </c>
      <c r="E782" s="5" t="str">
        <f ca="1">IFERROR(INDEX('Issuance Log'!$E:$E,MATCH(MAXIFS('Issuance Log'!$D:$D,'Issuance Log'!$B:$B,A782,'Issuance Log'!$G:$G,$B$4),IF(('Issuance Log'!$B:$B=A782)*('Issuance Log'!$G:$G=$B$4),'Issuance Log'!$D:$D),0)),"-")</f>
        <v>-</v>
      </c>
    </row>
    <row r="783" spans="1:5" x14ac:dyDescent="0.25">
      <c r="A783" s="2" t="s">
        <v>1516</v>
      </c>
      <c r="B783" s="2" t="s">
        <v>173</v>
      </c>
      <c r="C783" s="3">
        <f>IFERROR(SUMIFS('Issuance Log'!$D:$D,'Issuance Log'!$B:$B,A783,'Issuance Log'!$G:$G,$B$4),0)</f>
        <v>0</v>
      </c>
      <c r="D783" s="3">
        <f>IFERROR(COUNTIFS('Issuance Log'!$B:$B,A783,'Issuance Log'!$G:$G,$B$4),0)</f>
        <v>0</v>
      </c>
      <c r="E783" s="3" t="str">
        <f ca="1">IFERROR(INDEX('Issuance Log'!$E:$E,MATCH(MAXIFS('Issuance Log'!$D:$D,'Issuance Log'!$B:$B,A783,'Issuance Log'!$G:$G,$B$4),IF(('Issuance Log'!$B:$B=A783)*('Issuance Log'!$G:$G=$B$4),'Issuance Log'!$D:$D),0)),"-")</f>
        <v>-</v>
      </c>
    </row>
    <row r="784" spans="1:5" x14ac:dyDescent="0.25">
      <c r="A784" s="4" t="s">
        <v>1517</v>
      </c>
      <c r="B784" s="4" t="s">
        <v>1518</v>
      </c>
      <c r="C784" s="5">
        <f>IFERROR(SUMIFS('Issuance Log'!$D:$D,'Issuance Log'!$B:$B,A784,'Issuance Log'!$G:$G,$B$4),0)</f>
        <v>0</v>
      </c>
      <c r="D784" s="5">
        <f>IFERROR(COUNTIFS('Issuance Log'!$B:$B,A784,'Issuance Log'!$G:$G,$B$4),0)</f>
        <v>0</v>
      </c>
      <c r="E784" s="5" t="str">
        <f ca="1">IFERROR(INDEX('Issuance Log'!$E:$E,MATCH(MAXIFS('Issuance Log'!$D:$D,'Issuance Log'!$B:$B,A784,'Issuance Log'!$G:$G,$B$4),IF(('Issuance Log'!$B:$B=A784)*('Issuance Log'!$G:$G=$B$4),'Issuance Log'!$D:$D),0)),"-")</f>
        <v>-</v>
      </c>
    </row>
    <row r="785" spans="1:5" x14ac:dyDescent="0.25">
      <c r="A785" s="2" t="s">
        <v>1519</v>
      </c>
      <c r="B785" s="2" t="s">
        <v>1520</v>
      </c>
      <c r="C785" s="3">
        <f>IFERROR(SUMIFS('Issuance Log'!$D:$D,'Issuance Log'!$B:$B,A785,'Issuance Log'!$G:$G,$B$4),0)</f>
        <v>0</v>
      </c>
      <c r="D785" s="3">
        <f>IFERROR(COUNTIFS('Issuance Log'!$B:$B,A785,'Issuance Log'!$G:$G,$B$4),0)</f>
        <v>0</v>
      </c>
      <c r="E785" s="3" t="str">
        <f ca="1">IFERROR(INDEX('Issuance Log'!$E:$E,MATCH(MAXIFS('Issuance Log'!$D:$D,'Issuance Log'!$B:$B,A785,'Issuance Log'!$G:$G,$B$4),IF(('Issuance Log'!$B:$B=A785)*('Issuance Log'!$G:$G=$B$4),'Issuance Log'!$D:$D),0)),"-")</f>
        <v>-</v>
      </c>
    </row>
    <row r="786" spans="1:5" x14ac:dyDescent="0.25">
      <c r="A786" s="4" t="s">
        <v>1521</v>
      </c>
      <c r="B786" s="4" t="s">
        <v>1522</v>
      </c>
      <c r="C786" s="5">
        <f>IFERROR(SUMIFS('Issuance Log'!$D:$D,'Issuance Log'!$B:$B,A786,'Issuance Log'!$G:$G,$B$4),0)</f>
        <v>0</v>
      </c>
      <c r="D786" s="5">
        <f>IFERROR(COUNTIFS('Issuance Log'!$B:$B,A786,'Issuance Log'!$G:$G,$B$4),0)</f>
        <v>0</v>
      </c>
      <c r="E786" s="5" t="str">
        <f ca="1">IFERROR(INDEX('Issuance Log'!$E:$E,MATCH(MAXIFS('Issuance Log'!$D:$D,'Issuance Log'!$B:$B,A786,'Issuance Log'!$G:$G,$B$4),IF(('Issuance Log'!$B:$B=A786)*('Issuance Log'!$G:$G=$B$4),'Issuance Log'!$D:$D),0)),"-")</f>
        <v>-</v>
      </c>
    </row>
    <row r="787" spans="1:5" x14ac:dyDescent="0.25">
      <c r="A787" s="2" t="s">
        <v>1523</v>
      </c>
      <c r="B787" s="2" t="s">
        <v>1524</v>
      </c>
      <c r="C787" s="3">
        <f>IFERROR(SUMIFS('Issuance Log'!$D:$D,'Issuance Log'!$B:$B,A787,'Issuance Log'!$G:$G,$B$4),0)</f>
        <v>0</v>
      </c>
      <c r="D787" s="3">
        <f>IFERROR(COUNTIFS('Issuance Log'!$B:$B,A787,'Issuance Log'!$G:$G,$B$4),0)</f>
        <v>0</v>
      </c>
      <c r="E787" s="3" t="str">
        <f ca="1">IFERROR(INDEX('Issuance Log'!$E:$E,MATCH(MAXIFS('Issuance Log'!$D:$D,'Issuance Log'!$B:$B,A787,'Issuance Log'!$G:$G,$B$4),IF(('Issuance Log'!$B:$B=A787)*('Issuance Log'!$G:$G=$B$4),'Issuance Log'!$D:$D),0)),"-")</f>
        <v>-</v>
      </c>
    </row>
    <row r="788" spans="1:5" x14ac:dyDescent="0.25">
      <c r="A788" s="4" t="s">
        <v>1525</v>
      </c>
      <c r="B788" s="4" t="s">
        <v>1526</v>
      </c>
      <c r="C788" s="5">
        <f>IFERROR(SUMIFS('Issuance Log'!$D:$D,'Issuance Log'!$B:$B,A788,'Issuance Log'!$G:$G,$B$4),0)</f>
        <v>0</v>
      </c>
      <c r="D788" s="5">
        <f>IFERROR(COUNTIFS('Issuance Log'!$B:$B,A788,'Issuance Log'!$G:$G,$B$4),0)</f>
        <v>0</v>
      </c>
      <c r="E788" s="5" t="str">
        <f ca="1">IFERROR(INDEX('Issuance Log'!$E:$E,MATCH(MAXIFS('Issuance Log'!$D:$D,'Issuance Log'!$B:$B,A788,'Issuance Log'!$G:$G,$B$4),IF(('Issuance Log'!$B:$B=A788)*('Issuance Log'!$G:$G=$B$4),'Issuance Log'!$D:$D),0)),"-")</f>
        <v>-</v>
      </c>
    </row>
    <row r="789" spans="1:5" x14ac:dyDescent="0.25">
      <c r="A789" s="2" t="s">
        <v>1527</v>
      </c>
      <c r="B789" s="2" t="s">
        <v>1528</v>
      </c>
      <c r="C789" s="3">
        <f>IFERROR(SUMIFS('Issuance Log'!$D:$D,'Issuance Log'!$B:$B,A789,'Issuance Log'!$G:$G,$B$4),0)</f>
        <v>0</v>
      </c>
      <c r="D789" s="3">
        <f>IFERROR(COUNTIFS('Issuance Log'!$B:$B,A789,'Issuance Log'!$G:$G,$B$4),0)</f>
        <v>0</v>
      </c>
      <c r="E789" s="3" t="str">
        <f ca="1">IFERROR(INDEX('Issuance Log'!$E:$E,MATCH(MAXIFS('Issuance Log'!$D:$D,'Issuance Log'!$B:$B,A789,'Issuance Log'!$G:$G,$B$4),IF(('Issuance Log'!$B:$B=A789)*('Issuance Log'!$G:$G=$B$4),'Issuance Log'!$D:$D),0)),"-")</f>
        <v>-</v>
      </c>
    </row>
    <row r="790" spans="1:5" x14ac:dyDescent="0.25">
      <c r="A790" s="4" t="s">
        <v>1529</v>
      </c>
      <c r="B790" s="4" t="s">
        <v>1530</v>
      </c>
      <c r="C790" s="5">
        <f>IFERROR(SUMIFS('Issuance Log'!$D:$D,'Issuance Log'!$B:$B,A790,'Issuance Log'!$G:$G,$B$4),0)</f>
        <v>0</v>
      </c>
      <c r="D790" s="5">
        <f>IFERROR(COUNTIFS('Issuance Log'!$B:$B,A790,'Issuance Log'!$G:$G,$B$4),0)</f>
        <v>0</v>
      </c>
      <c r="E790" s="5" t="str">
        <f ca="1">IFERROR(INDEX('Issuance Log'!$E:$E,MATCH(MAXIFS('Issuance Log'!$D:$D,'Issuance Log'!$B:$B,A790,'Issuance Log'!$G:$G,$B$4),IF(('Issuance Log'!$B:$B=A790)*('Issuance Log'!$G:$G=$B$4),'Issuance Log'!$D:$D),0)),"-")</f>
        <v>-</v>
      </c>
    </row>
    <row r="791" spans="1:5" x14ac:dyDescent="0.25">
      <c r="A791" s="2" t="s">
        <v>1531</v>
      </c>
      <c r="B791" s="2" t="s">
        <v>1532</v>
      </c>
      <c r="C791" s="3">
        <f>IFERROR(SUMIFS('Issuance Log'!$D:$D,'Issuance Log'!$B:$B,A791,'Issuance Log'!$G:$G,$B$4),0)</f>
        <v>0</v>
      </c>
      <c r="D791" s="3">
        <f>IFERROR(COUNTIFS('Issuance Log'!$B:$B,A791,'Issuance Log'!$G:$G,$B$4),0)</f>
        <v>0</v>
      </c>
      <c r="E791" s="3" t="str">
        <f ca="1">IFERROR(INDEX('Issuance Log'!$E:$E,MATCH(MAXIFS('Issuance Log'!$D:$D,'Issuance Log'!$B:$B,A791,'Issuance Log'!$G:$G,$B$4),IF(('Issuance Log'!$B:$B=A791)*('Issuance Log'!$G:$G=$B$4),'Issuance Log'!$D:$D),0)),"-")</f>
        <v>-</v>
      </c>
    </row>
    <row r="792" spans="1:5" x14ac:dyDescent="0.25">
      <c r="A792" s="4" t="s">
        <v>1533</v>
      </c>
      <c r="B792" s="4" t="s">
        <v>1534</v>
      </c>
      <c r="C792" s="5">
        <f>IFERROR(SUMIFS('Issuance Log'!$D:$D,'Issuance Log'!$B:$B,A792,'Issuance Log'!$G:$G,$B$4),0)</f>
        <v>0</v>
      </c>
      <c r="D792" s="5">
        <f>IFERROR(COUNTIFS('Issuance Log'!$B:$B,A792,'Issuance Log'!$G:$G,$B$4),0)</f>
        <v>0</v>
      </c>
      <c r="E792" s="5" t="str">
        <f ca="1">IFERROR(INDEX('Issuance Log'!$E:$E,MATCH(MAXIFS('Issuance Log'!$D:$D,'Issuance Log'!$B:$B,A792,'Issuance Log'!$G:$G,$B$4),IF(('Issuance Log'!$B:$B=A792)*('Issuance Log'!$G:$G=$B$4),'Issuance Log'!$D:$D),0)),"-")</f>
        <v>-</v>
      </c>
    </row>
    <row r="793" spans="1:5" x14ac:dyDescent="0.25">
      <c r="A793" s="2" t="s">
        <v>1535</v>
      </c>
      <c r="B793" s="2" t="s">
        <v>1536</v>
      </c>
      <c r="C793" s="3">
        <f>IFERROR(SUMIFS('Issuance Log'!$D:$D,'Issuance Log'!$B:$B,A793,'Issuance Log'!$G:$G,$B$4),0)</f>
        <v>0</v>
      </c>
      <c r="D793" s="3">
        <f>IFERROR(COUNTIFS('Issuance Log'!$B:$B,A793,'Issuance Log'!$G:$G,$B$4),0)</f>
        <v>0</v>
      </c>
      <c r="E793" s="3" t="str">
        <f ca="1">IFERROR(INDEX('Issuance Log'!$E:$E,MATCH(MAXIFS('Issuance Log'!$D:$D,'Issuance Log'!$B:$B,A793,'Issuance Log'!$G:$G,$B$4),IF(('Issuance Log'!$B:$B=A793)*('Issuance Log'!$G:$G=$B$4),'Issuance Log'!$D:$D),0)),"-")</f>
        <v>-</v>
      </c>
    </row>
    <row r="794" spans="1:5" x14ac:dyDescent="0.25">
      <c r="A794" s="4" t="s">
        <v>1537</v>
      </c>
      <c r="B794" s="4" t="s">
        <v>1538</v>
      </c>
      <c r="C794" s="5">
        <f>IFERROR(SUMIFS('Issuance Log'!$D:$D,'Issuance Log'!$B:$B,A794,'Issuance Log'!$G:$G,$B$4),0)</f>
        <v>0</v>
      </c>
      <c r="D794" s="5">
        <f>IFERROR(COUNTIFS('Issuance Log'!$B:$B,A794,'Issuance Log'!$G:$G,$B$4),0)</f>
        <v>0</v>
      </c>
      <c r="E794" s="5" t="str">
        <f ca="1">IFERROR(INDEX('Issuance Log'!$E:$E,MATCH(MAXIFS('Issuance Log'!$D:$D,'Issuance Log'!$B:$B,A794,'Issuance Log'!$G:$G,$B$4),IF(('Issuance Log'!$B:$B=A794)*('Issuance Log'!$G:$G=$B$4),'Issuance Log'!$D:$D),0)),"-")</f>
        <v>-</v>
      </c>
    </row>
    <row r="795" spans="1:5" x14ac:dyDescent="0.25">
      <c r="A795" s="2" t="s">
        <v>1539</v>
      </c>
      <c r="B795" s="2" t="s">
        <v>1540</v>
      </c>
      <c r="C795" s="3">
        <f>IFERROR(SUMIFS('Issuance Log'!$D:$D,'Issuance Log'!$B:$B,A795,'Issuance Log'!$G:$G,$B$4),0)</f>
        <v>0</v>
      </c>
      <c r="D795" s="3">
        <f>IFERROR(COUNTIFS('Issuance Log'!$B:$B,A795,'Issuance Log'!$G:$G,$B$4),0)</f>
        <v>0</v>
      </c>
      <c r="E795" s="3" t="str">
        <f ca="1">IFERROR(INDEX('Issuance Log'!$E:$E,MATCH(MAXIFS('Issuance Log'!$D:$D,'Issuance Log'!$B:$B,A795,'Issuance Log'!$G:$G,$B$4),IF(('Issuance Log'!$B:$B=A795)*('Issuance Log'!$G:$G=$B$4),'Issuance Log'!$D:$D),0)),"-")</f>
        <v>-</v>
      </c>
    </row>
    <row r="796" spans="1:5" x14ac:dyDescent="0.25">
      <c r="A796" s="4" t="s">
        <v>1541</v>
      </c>
      <c r="B796" s="4" t="s">
        <v>1542</v>
      </c>
      <c r="C796" s="5">
        <f>IFERROR(SUMIFS('Issuance Log'!$D:$D,'Issuance Log'!$B:$B,A796,'Issuance Log'!$G:$G,$B$4),0)</f>
        <v>0</v>
      </c>
      <c r="D796" s="5">
        <f>IFERROR(COUNTIFS('Issuance Log'!$B:$B,A796,'Issuance Log'!$G:$G,$B$4),0)</f>
        <v>0</v>
      </c>
      <c r="E796" s="5" t="str">
        <f ca="1">IFERROR(INDEX('Issuance Log'!$E:$E,MATCH(MAXIFS('Issuance Log'!$D:$D,'Issuance Log'!$B:$B,A796,'Issuance Log'!$G:$G,$B$4),IF(('Issuance Log'!$B:$B=A796)*('Issuance Log'!$G:$G=$B$4),'Issuance Log'!$D:$D),0)),"-")</f>
        <v>-</v>
      </c>
    </row>
    <row r="797" spans="1:5" x14ac:dyDescent="0.25">
      <c r="A797" s="2" t="s">
        <v>1543</v>
      </c>
      <c r="B797" s="2" t="s">
        <v>1544</v>
      </c>
      <c r="C797" s="3">
        <f>IFERROR(SUMIFS('Issuance Log'!$D:$D,'Issuance Log'!$B:$B,A797,'Issuance Log'!$G:$G,$B$4),0)</f>
        <v>0</v>
      </c>
      <c r="D797" s="3">
        <f>IFERROR(COUNTIFS('Issuance Log'!$B:$B,A797,'Issuance Log'!$G:$G,$B$4),0)</f>
        <v>0</v>
      </c>
      <c r="E797" s="3" t="str">
        <f ca="1">IFERROR(INDEX('Issuance Log'!$E:$E,MATCH(MAXIFS('Issuance Log'!$D:$D,'Issuance Log'!$B:$B,A797,'Issuance Log'!$G:$G,$B$4),IF(('Issuance Log'!$B:$B=A797)*('Issuance Log'!$G:$G=$B$4),'Issuance Log'!$D:$D),0)),"-")</f>
        <v>-</v>
      </c>
    </row>
    <row r="798" spans="1:5" x14ac:dyDescent="0.25">
      <c r="A798" s="4" t="s">
        <v>1545</v>
      </c>
      <c r="B798" s="4" t="s">
        <v>1546</v>
      </c>
      <c r="C798" s="5">
        <f>IFERROR(SUMIFS('Issuance Log'!$D:$D,'Issuance Log'!$B:$B,A798,'Issuance Log'!$G:$G,$B$4),0)</f>
        <v>0</v>
      </c>
      <c r="D798" s="5">
        <f>IFERROR(COUNTIFS('Issuance Log'!$B:$B,A798,'Issuance Log'!$G:$G,$B$4),0)</f>
        <v>0</v>
      </c>
      <c r="E798" s="5" t="str">
        <f ca="1">IFERROR(INDEX('Issuance Log'!$E:$E,MATCH(MAXIFS('Issuance Log'!$D:$D,'Issuance Log'!$B:$B,A798,'Issuance Log'!$G:$G,$B$4),IF(('Issuance Log'!$B:$B=A798)*('Issuance Log'!$G:$G=$B$4),'Issuance Log'!$D:$D),0)),"-")</f>
        <v>-</v>
      </c>
    </row>
    <row r="799" spans="1:5" x14ac:dyDescent="0.25">
      <c r="A799" s="2" t="s">
        <v>1547</v>
      </c>
      <c r="B799" s="2" t="s">
        <v>1548</v>
      </c>
      <c r="C799" s="3">
        <f>IFERROR(SUMIFS('Issuance Log'!$D:$D,'Issuance Log'!$B:$B,A799,'Issuance Log'!$G:$G,$B$4),0)</f>
        <v>0</v>
      </c>
      <c r="D799" s="3">
        <f>IFERROR(COUNTIFS('Issuance Log'!$B:$B,A799,'Issuance Log'!$G:$G,$B$4),0)</f>
        <v>0</v>
      </c>
      <c r="E799" s="3" t="str">
        <f ca="1">IFERROR(INDEX('Issuance Log'!$E:$E,MATCH(MAXIFS('Issuance Log'!$D:$D,'Issuance Log'!$B:$B,A799,'Issuance Log'!$G:$G,$B$4),IF(('Issuance Log'!$B:$B=A799)*('Issuance Log'!$G:$G=$B$4),'Issuance Log'!$D:$D),0)),"-")</f>
        <v>-</v>
      </c>
    </row>
    <row r="800" spans="1:5" x14ac:dyDescent="0.25">
      <c r="A800" s="4" t="s">
        <v>1549</v>
      </c>
      <c r="B800" s="4" t="s">
        <v>511</v>
      </c>
      <c r="C800" s="5">
        <f>IFERROR(SUMIFS('Issuance Log'!$D:$D,'Issuance Log'!$B:$B,A800,'Issuance Log'!$G:$G,$B$4),0)</f>
        <v>0</v>
      </c>
      <c r="D800" s="5">
        <f>IFERROR(COUNTIFS('Issuance Log'!$B:$B,A800,'Issuance Log'!$G:$G,$B$4),0)</f>
        <v>0</v>
      </c>
      <c r="E800" s="5" t="str">
        <f ca="1">IFERROR(INDEX('Issuance Log'!$E:$E,MATCH(MAXIFS('Issuance Log'!$D:$D,'Issuance Log'!$B:$B,A800,'Issuance Log'!$G:$G,$B$4),IF(('Issuance Log'!$B:$B=A800)*('Issuance Log'!$G:$G=$B$4),'Issuance Log'!$D:$D),0)),"-")</f>
        <v>-</v>
      </c>
    </row>
    <row r="801" spans="1:5" x14ac:dyDescent="0.25">
      <c r="A801" s="2" t="s">
        <v>1550</v>
      </c>
      <c r="B801" s="2" t="s">
        <v>1551</v>
      </c>
      <c r="C801" s="3">
        <f>IFERROR(SUMIFS('Issuance Log'!$D:$D,'Issuance Log'!$B:$B,A801,'Issuance Log'!$G:$G,$B$4),0)</f>
        <v>0</v>
      </c>
      <c r="D801" s="3">
        <f>IFERROR(COUNTIFS('Issuance Log'!$B:$B,A801,'Issuance Log'!$G:$G,$B$4),0)</f>
        <v>0</v>
      </c>
      <c r="E801" s="3" t="str">
        <f ca="1">IFERROR(INDEX('Issuance Log'!$E:$E,MATCH(MAXIFS('Issuance Log'!$D:$D,'Issuance Log'!$B:$B,A801,'Issuance Log'!$G:$G,$B$4),IF(('Issuance Log'!$B:$B=A801)*('Issuance Log'!$G:$G=$B$4),'Issuance Log'!$D:$D),0)),"-")</f>
        <v>-</v>
      </c>
    </row>
    <row r="802" spans="1:5" x14ac:dyDescent="0.25">
      <c r="A802" s="4" t="s">
        <v>1552</v>
      </c>
      <c r="B802" s="4" t="s">
        <v>1551</v>
      </c>
      <c r="C802" s="5">
        <f>IFERROR(SUMIFS('Issuance Log'!$D:$D,'Issuance Log'!$B:$B,A802,'Issuance Log'!$G:$G,$B$4),0)</f>
        <v>0</v>
      </c>
      <c r="D802" s="5">
        <f>IFERROR(COUNTIFS('Issuance Log'!$B:$B,A802,'Issuance Log'!$G:$G,$B$4),0)</f>
        <v>0</v>
      </c>
      <c r="E802" s="5" t="str">
        <f ca="1">IFERROR(INDEX('Issuance Log'!$E:$E,MATCH(MAXIFS('Issuance Log'!$D:$D,'Issuance Log'!$B:$B,A802,'Issuance Log'!$G:$G,$B$4),IF(('Issuance Log'!$B:$B=A802)*('Issuance Log'!$G:$G=$B$4),'Issuance Log'!$D:$D),0)),"-")</f>
        <v>-</v>
      </c>
    </row>
    <row r="803" spans="1:5" x14ac:dyDescent="0.25">
      <c r="A803" s="2" t="s">
        <v>1553</v>
      </c>
      <c r="B803" s="2" t="s">
        <v>40</v>
      </c>
      <c r="C803" s="3">
        <f>IFERROR(SUMIFS('Issuance Log'!$D:$D,'Issuance Log'!$B:$B,A803,'Issuance Log'!$G:$G,$B$4),0)</f>
        <v>0</v>
      </c>
      <c r="D803" s="3">
        <f>IFERROR(COUNTIFS('Issuance Log'!$B:$B,A803,'Issuance Log'!$G:$G,$B$4),0)</f>
        <v>0</v>
      </c>
      <c r="E803" s="3" t="str">
        <f ca="1">IFERROR(INDEX('Issuance Log'!$E:$E,MATCH(MAXIFS('Issuance Log'!$D:$D,'Issuance Log'!$B:$B,A803,'Issuance Log'!$G:$G,$B$4),IF(('Issuance Log'!$B:$B=A803)*('Issuance Log'!$G:$G=$B$4),'Issuance Log'!$D:$D),0)),"-")</f>
        <v>-</v>
      </c>
    </row>
    <row r="804" spans="1:5" x14ac:dyDescent="0.25">
      <c r="A804" s="4" t="s">
        <v>1554</v>
      </c>
      <c r="B804" s="4" t="s">
        <v>1555</v>
      </c>
      <c r="C804" s="5">
        <f>IFERROR(SUMIFS('Issuance Log'!$D:$D,'Issuance Log'!$B:$B,A804,'Issuance Log'!$G:$G,$B$4),0)</f>
        <v>0</v>
      </c>
      <c r="D804" s="5">
        <f>IFERROR(COUNTIFS('Issuance Log'!$B:$B,A804,'Issuance Log'!$G:$G,$B$4),0)</f>
        <v>0</v>
      </c>
      <c r="E804" s="5" t="str">
        <f ca="1">IFERROR(INDEX('Issuance Log'!$E:$E,MATCH(MAXIFS('Issuance Log'!$D:$D,'Issuance Log'!$B:$B,A804,'Issuance Log'!$G:$G,$B$4),IF(('Issuance Log'!$B:$B=A804)*('Issuance Log'!$G:$G=$B$4),'Issuance Log'!$D:$D),0)),"-")</f>
        <v>-</v>
      </c>
    </row>
    <row r="805" spans="1:5" x14ac:dyDescent="0.25">
      <c r="A805" s="2" t="s">
        <v>1556</v>
      </c>
      <c r="B805" s="2" t="s">
        <v>1557</v>
      </c>
      <c r="C805" s="3">
        <f>IFERROR(SUMIFS('Issuance Log'!$D:$D,'Issuance Log'!$B:$B,A805,'Issuance Log'!$G:$G,$B$4),0)</f>
        <v>0</v>
      </c>
      <c r="D805" s="3">
        <f>IFERROR(COUNTIFS('Issuance Log'!$B:$B,A805,'Issuance Log'!$G:$G,$B$4),0)</f>
        <v>0</v>
      </c>
      <c r="E805" s="3" t="str">
        <f ca="1">IFERROR(INDEX('Issuance Log'!$E:$E,MATCH(MAXIFS('Issuance Log'!$D:$D,'Issuance Log'!$B:$B,A805,'Issuance Log'!$G:$G,$B$4),IF(('Issuance Log'!$B:$B=A805)*('Issuance Log'!$G:$G=$B$4),'Issuance Log'!$D:$D),0)),"-")</f>
        <v>-</v>
      </c>
    </row>
    <row r="806" spans="1:5" x14ac:dyDescent="0.25">
      <c r="A806" s="4" t="s">
        <v>1558</v>
      </c>
      <c r="B806" s="4" t="s">
        <v>1559</v>
      </c>
      <c r="C806" s="5">
        <f>IFERROR(SUMIFS('Issuance Log'!$D:$D,'Issuance Log'!$B:$B,A806,'Issuance Log'!$G:$G,$B$4),0)</f>
        <v>0</v>
      </c>
      <c r="D806" s="5">
        <f>IFERROR(COUNTIFS('Issuance Log'!$B:$B,A806,'Issuance Log'!$G:$G,$B$4),0)</f>
        <v>0</v>
      </c>
      <c r="E806" s="5" t="str">
        <f ca="1">IFERROR(INDEX('Issuance Log'!$E:$E,MATCH(MAXIFS('Issuance Log'!$D:$D,'Issuance Log'!$B:$B,A806,'Issuance Log'!$G:$G,$B$4),IF(('Issuance Log'!$B:$B=A806)*('Issuance Log'!$G:$G=$B$4),'Issuance Log'!$D:$D),0)),"-")</f>
        <v>-</v>
      </c>
    </row>
    <row r="807" spans="1:5" x14ac:dyDescent="0.25">
      <c r="A807" s="2" t="s">
        <v>1560</v>
      </c>
      <c r="B807" s="2" t="s">
        <v>1561</v>
      </c>
      <c r="C807" s="3">
        <f>IFERROR(SUMIFS('Issuance Log'!$D:$D,'Issuance Log'!$B:$B,A807,'Issuance Log'!$G:$G,$B$4),0)</f>
        <v>0</v>
      </c>
      <c r="D807" s="3">
        <f>IFERROR(COUNTIFS('Issuance Log'!$B:$B,A807,'Issuance Log'!$G:$G,$B$4),0)</f>
        <v>0</v>
      </c>
      <c r="E807" s="3" t="str">
        <f ca="1">IFERROR(INDEX('Issuance Log'!$E:$E,MATCH(MAXIFS('Issuance Log'!$D:$D,'Issuance Log'!$B:$B,A807,'Issuance Log'!$G:$G,$B$4),IF(('Issuance Log'!$B:$B=A807)*('Issuance Log'!$G:$G=$B$4),'Issuance Log'!$D:$D),0)),"-")</f>
        <v>-</v>
      </c>
    </row>
    <row r="808" spans="1:5" x14ac:dyDescent="0.25">
      <c r="A808" s="4" t="s">
        <v>1562</v>
      </c>
      <c r="B808" s="4" t="s">
        <v>1563</v>
      </c>
      <c r="C808" s="5">
        <f>IFERROR(SUMIFS('Issuance Log'!$D:$D,'Issuance Log'!$B:$B,A808,'Issuance Log'!$G:$G,$B$4),0)</f>
        <v>0</v>
      </c>
      <c r="D808" s="5">
        <f>IFERROR(COUNTIFS('Issuance Log'!$B:$B,A808,'Issuance Log'!$G:$G,$B$4),0)</f>
        <v>0</v>
      </c>
      <c r="E808" s="5" t="str">
        <f ca="1">IFERROR(INDEX('Issuance Log'!$E:$E,MATCH(MAXIFS('Issuance Log'!$D:$D,'Issuance Log'!$B:$B,A808,'Issuance Log'!$G:$G,$B$4),IF(('Issuance Log'!$B:$B=A808)*('Issuance Log'!$G:$G=$B$4),'Issuance Log'!$D:$D),0)),"-")</f>
        <v>-</v>
      </c>
    </row>
    <row r="809" spans="1:5" x14ac:dyDescent="0.25">
      <c r="A809" s="2" t="s">
        <v>1564</v>
      </c>
      <c r="B809" s="2" t="s">
        <v>1565</v>
      </c>
      <c r="C809" s="3">
        <f>IFERROR(SUMIFS('Issuance Log'!$D:$D,'Issuance Log'!$B:$B,A809,'Issuance Log'!$G:$G,$B$4),0)</f>
        <v>0</v>
      </c>
      <c r="D809" s="3">
        <f>IFERROR(COUNTIFS('Issuance Log'!$B:$B,A809,'Issuance Log'!$G:$G,$B$4),0)</f>
        <v>0</v>
      </c>
      <c r="E809" s="3" t="str">
        <f ca="1">IFERROR(INDEX('Issuance Log'!$E:$E,MATCH(MAXIFS('Issuance Log'!$D:$D,'Issuance Log'!$B:$B,A809,'Issuance Log'!$G:$G,$B$4),IF(('Issuance Log'!$B:$B=A809)*('Issuance Log'!$G:$G=$B$4),'Issuance Log'!$D:$D),0)),"-")</f>
        <v>-</v>
      </c>
    </row>
    <row r="810" spans="1:5" x14ac:dyDescent="0.25">
      <c r="A810" s="4" t="s">
        <v>1566</v>
      </c>
      <c r="B810" s="4" t="s">
        <v>1567</v>
      </c>
      <c r="C810" s="5">
        <f>IFERROR(SUMIFS('Issuance Log'!$D:$D,'Issuance Log'!$B:$B,A810,'Issuance Log'!$G:$G,$B$4),0)</f>
        <v>0</v>
      </c>
      <c r="D810" s="5">
        <f>IFERROR(COUNTIFS('Issuance Log'!$B:$B,A810,'Issuance Log'!$G:$G,$B$4),0)</f>
        <v>0</v>
      </c>
      <c r="E810" s="5" t="str">
        <f ca="1">IFERROR(INDEX('Issuance Log'!$E:$E,MATCH(MAXIFS('Issuance Log'!$D:$D,'Issuance Log'!$B:$B,A810,'Issuance Log'!$G:$G,$B$4),IF(('Issuance Log'!$B:$B=A810)*('Issuance Log'!$G:$G=$B$4),'Issuance Log'!$D:$D),0)),"-")</f>
        <v>-</v>
      </c>
    </row>
    <row r="811" spans="1:5" x14ac:dyDescent="0.25">
      <c r="A811" s="2" t="s">
        <v>1568</v>
      </c>
      <c r="B811" s="2" t="s">
        <v>1569</v>
      </c>
      <c r="C811" s="3">
        <f>IFERROR(SUMIFS('Issuance Log'!$D:$D,'Issuance Log'!$B:$B,A811,'Issuance Log'!$G:$G,$B$4),0)</f>
        <v>0</v>
      </c>
      <c r="D811" s="3">
        <f>IFERROR(COUNTIFS('Issuance Log'!$B:$B,A811,'Issuance Log'!$G:$G,$B$4),0)</f>
        <v>0</v>
      </c>
      <c r="E811" s="3" t="str">
        <f ca="1">IFERROR(INDEX('Issuance Log'!$E:$E,MATCH(MAXIFS('Issuance Log'!$D:$D,'Issuance Log'!$B:$B,A811,'Issuance Log'!$G:$G,$B$4),IF(('Issuance Log'!$B:$B=A811)*('Issuance Log'!$G:$G=$B$4),'Issuance Log'!$D:$D),0)),"-")</f>
        <v>-</v>
      </c>
    </row>
    <row r="812" spans="1:5" x14ac:dyDescent="0.25">
      <c r="A812" s="4" t="s">
        <v>1570</v>
      </c>
      <c r="B812" s="4" t="s">
        <v>1571</v>
      </c>
      <c r="C812" s="5">
        <f>IFERROR(SUMIFS('Issuance Log'!$D:$D,'Issuance Log'!$B:$B,A812,'Issuance Log'!$G:$G,$B$4),0)</f>
        <v>0</v>
      </c>
      <c r="D812" s="5">
        <f>IFERROR(COUNTIFS('Issuance Log'!$B:$B,A812,'Issuance Log'!$G:$G,$B$4),0)</f>
        <v>0</v>
      </c>
      <c r="E812" s="5" t="str">
        <f ca="1">IFERROR(INDEX('Issuance Log'!$E:$E,MATCH(MAXIFS('Issuance Log'!$D:$D,'Issuance Log'!$B:$B,A812,'Issuance Log'!$G:$G,$B$4),IF(('Issuance Log'!$B:$B=A812)*('Issuance Log'!$G:$G=$B$4),'Issuance Log'!$D:$D),0)),"-")</f>
        <v>-</v>
      </c>
    </row>
    <row r="813" spans="1:5" x14ac:dyDescent="0.25">
      <c r="A813" s="2" t="s">
        <v>1572</v>
      </c>
      <c r="B813" s="2" t="s">
        <v>1573</v>
      </c>
      <c r="C813" s="3">
        <f>IFERROR(SUMIFS('Issuance Log'!$D:$D,'Issuance Log'!$B:$B,A813,'Issuance Log'!$G:$G,$B$4),0)</f>
        <v>0</v>
      </c>
      <c r="D813" s="3">
        <f>IFERROR(COUNTIFS('Issuance Log'!$B:$B,A813,'Issuance Log'!$G:$G,$B$4),0)</f>
        <v>0</v>
      </c>
      <c r="E813" s="3" t="str">
        <f ca="1">IFERROR(INDEX('Issuance Log'!$E:$E,MATCH(MAXIFS('Issuance Log'!$D:$D,'Issuance Log'!$B:$B,A813,'Issuance Log'!$G:$G,$B$4),IF(('Issuance Log'!$B:$B=A813)*('Issuance Log'!$G:$G=$B$4),'Issuance Log'!$D:$D),0)),"-")</f>
        <v>-</v>
      </c>
    </row>
    <row r="814" spans="1:5" x14ac:dyDescent="0.25">
      <c r="A814" s="4" t="s">
        <v>1574</v>
      </c>
      <c r="B814" s="4" t="s">
        <v>1575</v>
      </c>
      <c r="C814" s="5">
        <f>IFERROR(SUMIFS('Issuance Log'!$D:$D,'Issuance Log'!$B:$B,A814,'Issuance Log'!$G:$G,$B$4),0)</f>
        <v>0</v>
      </c>
      <c r="D814" s="5">
        <f>IFERROR(COUNTIFS('Issuance Log'!$B:$B,A814,'Issuance Log'!$G:$G,$B$4),0)</f>
        <v>0</v>
      </c>
      <c r="E814" s="5" t="str">
        <f ca="1">IFERROR(INDEX('Issuance Log'!$E:$E,MATCH(MAXIFS('Issuance Log'!$D:$D,'Issuance Log'!$B:$B,A814,'Issuance Log'!$G:$G,$B$4),IF(('Issuance Log'!$B:$B=A814)*('Issuance Log'!$G:$G=$B$4),'Issuance Log'!$D:$D),0)),"-")</f>
        <v>-</v>
      </c>
    </row>
    <row r="815" spans="1:5" x14ac:dyDescent="0.25">
      <c r="A815" s="2" t="s">
        <v>1576</v>
      </c>
      <c r="B815" s="2" t="s">
        <v>1577</v>
      </c>
      <c r="C815" s="3">
        <f>IFERROR(SUMIFS('Issuance Log'!$D:$D,'Issuance Log'!$B:$B,A815,'Issuance Log'!$G:$G,$B$4),0)</f>
        <v>0</v>
      </c>
      <c r="D815" s="3">
        <f>IFERROR(COUNTIFS('Issuance Log'!$B:$B,A815,'Issuance Log'!$G:$G,$B$4),0)</f>
        <v>0</v>
      </c>
      <c r="E815" s="3" t="str">
        <f ca="1">IFERROR(INDEX('Issuance Log'!$E:$E,MATCH(MAXIFS('Issuance Log'!$D:$D,'Issuance Log'!$B:$B,A815,'Issuance Log'!$G:$G,$B$4),IF(('Issuance Log'!$B:$B=A815)*('Issuance Log'!$G:$G=$B$4),'Issuance Log'!$D:$D),0)),"-")</f>
        <v>-</v>
      </c>
    </row>
    <row r="816" spans="1:5" x14ac:dyDescent="0.25">
      <c r="A816" s="4" t="s">
        <v>1578</v>
      </c>
      <c r="B816" s="4" t="s">
        <v>1579</v>
      </c>
      <c r="C816" s="5">
        <f>IFERROR(SUMIFS('Issuance Log'!$D:$D,'Issuance Log'!$B:$B,A816,'Issuance Log'!$G:$G,$B$4),0)</f>
        <v>0</v>
      </c>
      <c r="D816" s="5">
        <f>IFERROR(COUNTIFS('Issuance Log'!$B:$B,A816,'Issuance Log'!$G:$G,$B$4),0)</f>
        <v>0</v>
      </c>
      <c r="E816" s="5" t="str">
        <f ca="1">IFERROR(INDEX('Issuance Log'!$E:$E,MATCH(MAXIFS('Issuance Log'!$D:$D,'Issuance Log'!$B:$B,A816,'Issuance Log'!$G:$G,$B$4),IF(('Issuance Log'!$B:$B=A816)*('Issuance Log'!$G:$G=$B$4),'Issuance Log'!$D:$D),0)),"-")</f>
        <v>-</v>
      </c>
    </row>
    <row r="817" spans="1:5" x14ac:dyDescent="0.25">
      <c r="A817" s="2" t="s">
        <v>1580</v>
      </c>
      <c r="B817" s="2" t="s">
        <v>1581</v>
      </c>
      <c r="C817" s="3">
        <f>IFERROR(SUMIFS('Issuance Log'!$D:$D,'Issuance Log'!$B:$B,A817,'Issuance Log'!$G:$G,$B$4),0)</f>
        <v>0</v>
      </c>
      <c r="D817" s="3">
        <f>IFERROR(COUNTIFS('Issuance Log'!$B:$B,A817,'Issuance Log'!$G:$G,$B$4),0)</f>
        <v>0</v>
      </c>
      <c r="E817" s="3" t="str">
        <f ca="1">IFERROR(INDEX('Issuance Log'!$E:$E,MATCH(MAXIFS('Issuance Log'!$D:$D,'Issuance Log'!$B:$B,A817,'Issuance Log'!$G:$G,$B$4),IF(('Issuance Log'!$B:$B=A817)*('Issuance Log'!$G:$G=$B$4),'Issuance Log'!$D:$D),0)),"-")</f>
        <v>-</v>
      </c>
    </row>
    <row r="818" spans="1:5" x14ac:dyDescent="0.25">
      <c r="A818" s="4" t="s">
        <v>1582</v>
      </c>
      <c r="B818" s="4" t="s">
        <v>1583</v>
      </c>
      <c r="C818" s="5">
        <f>IFERROR(SUMIFS('Issuance Log'!$D:$D,'Issuance Log'!$B:$B,A818,'Issuance Log'!$G:$G,$B$4),0)</f>
        <v>0</v>
      </c>
      <c r="D818" s="5">
        <f>IFERROR(COUNTIFS('Issuance Log'!$B:$B,A818,'Issuance Log'!$G:$G,$B$4),0)</f>
        <v>0</v>
      </c>
      <c r="E818" s="5" t="str">
        <f ca="1">IFERROR(INDEX('Issuance Log'!$E:$E,MATCH(MAXIFS('Issuance Log'!$D:$D,'Issuance Log'!$B:$B,A818,'Issuance Log'!$G:$G,$B$4),IF(('Issuance Log'!$B:$B=A818)*('Issuance Log'!$G:$G=$B$4),'Issuance Log'!$D:$D),0)),"-")</f>
        <v>-</v>
      </c>
    </row>
    <row r="819" spans="1:5" x14ac:dyDescent="0.25">
      <c r="A819" s="2" t="s">
        <v>1584</v>
      </c>
      <c r="B819" s="2" t="s">
        <v>1585</v>
      </c>
      <c r="C819" s="3">
        <f>IFERROR(SUMIFS('Issuance Log'!$D:$D,'Issuance Log'!$B:$B,A819,'Issuance Log'!$G:$G,$B$4),0)</f>
        <v>0</v>
      </c>
      <c r="D819" s="3">
        <f>IFERROR(COUNTIFS('Issuance Log'!$B:$B,A819,'Issuance Log'!$G:$G,$B$4),0)</f>
        <v>0</v>
      </c>
      <c r="E819" s="3" t="str">
        <f ca="1">IFERROR(INDEX('Issuance Log'!$E:$E,MATCH(MAXIFS('Issuance Log'!$D:$D,'Issuance Log'!$B:$B,A819,'Issuance Log'!$G:$G,$B$4),IF(('Issuance Log'!$B:$B=A819)*('Issuance Log'!$G:$G=$B$4),'Issuance Log'!$D:$D),0)),"-")</f>
        <v>-</v>
      </c>
    </row>
    <row r="820" spans="1:5" x14ac:dyDescent="0.25">
      <c r="A820" s="4" t="s">
        <v>1586</v>
      </c>
      <c r="B820" s="4" t="s">
        <v>1587</v>
      </c>
      <c r="C820" s="5">
        <f>IFERROR(SUMIFS('Issuance Log'!$D:$D,'Issuance Log'!$B:$B,A820,'Issuance Log'!$G:$G,$B$4),0)</f>
        <v>0</v>
      </c>
      <c r="D820" s="5">
        <f>IFERROR(COUNTIFS('Issuance Log'!$B:$B,A820,'Issuance Log'!$G:$G,$B$4),0)</f>
        <v>0</v>
      </c>
      <c r="E820" s="5" t="str">
        <f ca="1">IFERROR(INDEX('Issuance Log'!$E:$E,MATCH(MAXIFS('Issuance Log'!$D:$D,'Issuance Log'!$B:$B,A820,'Issuance Log'!$G:$G,$B$4),IF(('Issuance Log'!$B:$B=A820)*('Issuance Log'!$G:$G=$B$4),'Issuance Log'!$D:$D),0)),"-")</f>
        <v>-</v>
      </c>
    </row>
    <row r="821" spans="1:5" x14ac:dyDescent="0.25">
      <c r="A821" s="2" t="s">
        <v>1588</v>
      </c>
      <c r="B821" s="2" t="s">
        <v>1589</v>
      </c>
      <c r="C821" s="3">
        <f>IFERROR(SUMIFS('Issuance Log'!$D:$D,'Issuance Log'!$B:$B,A821,'Issuance Log'!$G:$G,$B$4),0)</f>
        <v>0</v>
      </c>
      <c r="D821" s="3">
        <f>IFERROR(COUNTIFS('Issuance Log'!$B:$B,A821,'Issuance Log'!$G:$G,$B$4),0)</f>
        <v>0</v>
      </c>
      <c r="E821" s="3" t="str">
        <f ca="1">IFERROR(INDEX('Issuance Log'!$E:$E,MATCH(MAXIFS('Issuance Log'!$D:$D,'Issuance Log'!$B:$B,A821,'Issuance Log'!$G:$G,$B$4),IF(('Issuance Log'!$B:$B=A821)*('Issuance Log'!$G:$G=$B$4),'Issuance Log'!$D:$D),0)),"-")</f>
        <v>-</v>
      </c>
    </row>
    <row r="822" spans="1:5" x14ac:dyDescent="0.25">
      <c r="A822" s="4" t="s">
        <v>1590</v>
      </c>
      <c r="B822" s="4" t="s">
        <v>1591</v>
      </c>
      <c r="C822" s="5">
        <f>IFERROR(SUMIFS('Issuance Log'!$D:$D,'Issuance Log'!$B:$B,A822,'Issuance Log'!$G:$G,$B$4),0)</f>
        <v>0</v>
      </c>
      <c r="D822" s="5">
        <f>IFERROR(COUNTIFS('Issuance Log'!$B:$B,A822,'Issuance Log'!$G:$G,$B$4),0)</f>
        <v>0</v>
      </c>
      <c r="E822" s="5" t="str">
        <f ca="1">IFERROR(INDEX('Issuance Log'!$E:$E,MATCH(MAXIFS('Issuance Log'!$D:$D,'Issuance Log'!$B:$B,A822,'Issuance Log'!$G:$G,$B$4),IF(('Issuance Log'!$B:$B=A822)*('Issuance Log'!$G:$G=$B$4),'Issuance Log'!$D:$D),0)),"-")</f>
        <v>-</v>
      </c>
    </row>
    <row r="823" spans="1:5" x14ac:dyDescent="0.25">
      <c r="A823" s="2" t="s">
        <v>1592</v>
      </c>
      <c r="B823" s="2" t="s">
        <v>1593</v>
      </c>
      <c r="C823" s="3">
        <f>IFERROR(SUMIFS('Issuance Log'!$D:$D,'Issuance Log'!$B:$B,A823,'Issuance Log'!$G:$G,$B$4),0)</f>
        <v>0</v>
      </c>
      <c r="D823" s="3">
        <f>IFERROR(COUNTIFS('Issuance Log'!$B:$B,A823,'Issuance Log'!$G:$G,$B$4),0)</f>
        <v>0</v>
      </c>
      <c r="E823" s="3" t="str">
        <f ca="1">IFERROR(INDEX('Issuance Log'!$E:$E,MATCH(MAXIFS('Issuance Log'!$D:$D,'Issuance Log'!$B:$B,A823,'Issuance Log'!$G:$G,$B$4),IF(('Issuance Log'!$B:$B=A823)*('Issuance Log'!$G:$G=$B$4),'Issuance Log'!$D:$D),0)),"-")</f>
        <v>-</v>
      </c>
    </row>
    <row r="824" spans="1:5" x14ac:dyDescent="0.25">
      <c r="A824" s="4" t="s">
        <v>1594</v>
      </c>
      <c r="B824" s="4" t="s">
        <v>1595</v>
      </c>
      <c r="C824" s="5">
        <f>IFERROR(SUMIFS('Issuance Log'!$D:$D,'Issuance Log'!$B:$B,A824,'Issuance Log'!$G:$G,$B$4),0)</f>
        <v>0</v>
      </c>
      <c r="D824" s="5">
        <f>IFERROR(COUNTIFS('Issuance Log'!$B:$B,A824,'Issuance Log'!$G:$G,$B$4),0)</f>
        <v>0</v>
      </c>
      <c r="E824" s="5" t="str">
        <f ca="1">IFERROR(INDEX('Issuance Log'!$E:$E,MATCH(MAXIFS('Issuance Log'!$D:$D,'Issuance Log'!$B:$B,A824,'Issuance Log'!$G:$G,$B$4),IF(('Issuance Log'!$B:$B=A824)*('Issuance Log'!$G:$G=$B$4),'Issuance Log'!$D:$D),0)),"-")</f>
        <v>-</v>
      </c>
    </row>
    <row r="825" spans="1:5" x14ac:dyDescent="0.25">
      <c r="A825" s="2" t="s">
        <v>1596</v>
      </c>
      <c r="B825" s="2" t="s">
        <v>1597</v>
      </c>
      <c r="C825" s="3">
        <f>IFERROR(SUMIFS('Issuance Log'!$D:$D,'Issuance Log'!$B:$B,A825,'Issuance Log'!$G:$G,$B$4),0)</f>
        <v>0</v>
      </c>
      <c r="D825" s="3">
        <f>IFERROR(COUNTIFS('Issuance Log'!$B:$B,A825,'Issuance Log'!$G:$G,$B$4),0)</f>
        <v>0</v>
      </c>
      <c r="E825" s="3" t="str">
        <f ca="1">IFERROR(INDEX('Issuance Log'!$E:$E,MATCH(MAXIFS('Issuance Log'!$D:$D,'Issuance Log'!$B:$B,A825,'Issuance Log'!$G:$G,$B$4),IF(('Issuance Log'!$B:$B=A825)*('Issuance Log'!$G:$G=$B$4),'Issuance Log'!$D:$D),0)),"-")</f>
        <v>-</v>
      </c>
    </row>
    <row r="826" spans="1:5" x14ac:dyDescent="0.25">
      <c r="A826" s="4" t="s">
        <v>1598</v>
      </c>
      <c r="B826" s="4" t="s">
        <v>1599</v>
      </c>
      <c r="C826" s="5">
        <f>IFERROR(SUMIFS('Issuance Log'!$D:$D,'Issuance Log'!$B:$B,A826,'Issuance Log'!$G:$G,$B$4),0)</f>
        <v>0</v>
      </c>
      <c r="D826" s="5">
        <f>IFERROR(COUNTIFS('Issuance Log'!$B:$B,A826,'Issuance Log'!$G:$G,$B$4),0)</f>
        <v>0</v>
      </c>
      <c r="E826" s="5" t="str">
        <f ca="1">IFERROR(INDEX('Issuance Log'!$E:$E,MATCH(MAXIFS('Issuance Log'!$D:$D,'Issuance Log'!$B:$B,A826,'Issuance Log'!$G:$G,$B$4),IF(('Issuance Log'!$B:$B=A826)*('Issuance Log'!$G:$G=$B$4),'Issuance Log'!$D:$D),0)),"-")</f>
        <v>-</v>
      </c>
    </row>
    <row r="827" spans="1:5" x14ac:dyDescent="0.25">
      <c r="A827" s="2" t="s">
        <v>1600</v>
      </c>
      <c r="B827" s="2" t="s">
        <v>1601</v>
      </c>
      <c r="C827" s="3">
        <f>IFERROR(SUMIFS('Issuance Log'!$D:$D,'Issuance Log'!$B:$B,A827,'Issuance Log'!$G:$G,$B$4),0)</f>
        <v>0</v>
      </c>
      <c r="D827" s="3">
        <f>IFERROR(COUNTIFS('Issuance Log'!$B:$B,A827,'Issuance Log'!$G:$G,$B$4),0)</f>
        <v>0</v>
      </c>
      <c r="E827" s="3" t="str">
        <f ca="1">IFERROR(INDEX('Issuance Log'!$E:$E,MATCH(MAXIFS('Issuance Log'!$D:$D,'Issuance Log'!$B:$B,A827,'Issuance Log'!$G:$G,$B$4),IF(('Issuance Log'!$B:$B=A827)*('Issuance Log'!$G:$G=$B$4),'Issuance Log'!$D:$D),0)),"-")</f>
        <v>-</v>
      </c>
    </row>
    <row r="828" spans="1:5" x14ac:dyDescent="0.25">
      <c r="A828" s="4" t="s">
        <v>1602</v>
      </c>
      <c r="B828" s="4" t="s">
        <v>1603</v>
      </c>
      <c r="C828" s="5">
        <f>IFERROR(SUMIFS('Issuance Log'!$D:$D,'Issuance Log'!$B:$B,A828,'Issuance Log'!$G:$G,$B$4),0)</f>
        <v>0</v>
      </c>
      <c r="D828" s="5">
        <f>IFERROR(COUNTIFS('Issuance Log'!$B:$B,A828,'Issuance Log'!$G:$G,$B$4),0)</f>
        <v>0</v>
      </c>
      <c r="E828" s="5" t="str">
        <f ca="1">IFERROR(INDEX('Issuance Log'!$E:$E,MATCH(MAXIFS('Issuance Log'!$D:$D,'Issuance Log'!$B:$B,A828,'Issuance Log'!$G:$G,$B$4),IF(('Issuance Log'!$B:$B=A828)*('Issuance Log'!$G:$G=$B$4),'Issuance Log'!$D:$D),0)),"-")</f>
        <v>-</v>
      </c>
    </row>
    <row r="829" spans="1:5" x14ac:dyDescent="0.25">
      <c r="A829" s="2" t="s">
        <v>1604</v>
      </c>
      <c r="B829" s="2" t="s">
        <v>1605</v>
      </c>
      <c r="C829" s="3">
        <f>IFERROR(SUMIFS('Issuance Log'!$D:$D,'Issuance Log'!$B:$B,A829,'Issuance Log'!$G:$G,$B$4),0)</f>
        <v>0</v>
      </c>
      <c r="D829" s="3">
        <f>IFERROR(COUNTIFS('Issuance Log'!$B:$B,A829,'Issuance Log'!$G:$G,$B$4),0)</f>
        <v>0</v>
      </c>
      <c r="E829" s="3" t="str">
        <f ca="1">IFERROR(INDEX('Issuance Log'!$E:$E,MATCH(MAXIFS('Issuance Log'!$D:$D,'Issuance Log'!$B:$B,A829,'Issuance Log'!$G:$G,$B$4),IF(('Issuance Log'!$B:$B=A829)*('Issuance Log'!$G:$G=$B$4),'Issuance Log'!$D:$D),0)),"-")</f>
        <v>-</v>
      </c>
    </row>
    <row r="830" spans="1:5" x14ac:dyDescent="0.25">
      <c r="A830" s="4" t="s">
        <v>1606</v>
      </c>
      <c r="B830" s="4" t="s">
        <v>1607</v>
      </c>
      <c r="C830" s="5">
        <f>IFERROR(SUMIFS('Issuance Log'!$D:$D,'Issuance Log'!$B:$B,A830,'Issuance Log'!$G:$G,$B$4),0)</f>
        <v>0</v>
      </c>
      <c r="D830" s="5">
        <f>IFERROR(COUNTIFS('Issuance Log'!$B:$B,A830,'Issuance Log'!$G:$G,$B$4),0)</f>
        <v>0</v>
      </c>
      <c r="E830" s="5" t="str">
        <f ca="1">IFERROR(INDEX('Issuance Log'!$E:$E,MATCH(MAXIFS('Issuance Log'!$D:$D,'Issuance Log'!$B:$B,A830,'Issuance Log'!$G:$G,$B$4),IF(('Issuance Log'!$B:$B=A830)*('Issuance Log'!$G:$G=$B$4),'Issuance Log'!$D:$D),0)),"-")</f>
        <v>-</v>
      </c>
    </row>
    <row r="831" spans="1:5" x14ac:dyDescent="0.25">
      <c r="A831" s="2" t="s">
        <v>1608</v>
      </c>
      <c r="B831" s="2" t="s">
        <v>1609</v>
      </c>
      <c r="C831" s="3">
        <f>IFERROR(SUMIFS('Issuance Log'!$D:$D,'Issuance Log'!$B:$B,A831,'Issuance Log'!$G:$G,$B$4),0)</f>
        <v>0</v>
      </c>
      <c r="D831" s="3">
        <f>IFERROR(COUNTIFS('Issuance Log'!$B:$B,A831,'Issuance Log'!$G:$G,$B$4),0)</f>
        <v>0</v>
      </c>
      <c r="E831" s="3" t="str">
        <f ca="1">IFERROR(INDEX('Issuance Log'!$E:$E,MATCH(MAXIFS('Issuance Log'!$D:$D,'Issuance Log'!$B:$B,A831,'Issuance Log'!$G:$G,$B$4),IF(('Issuance Log'!$B:$B=A831)*('Issuance Log'!$G:$G=$B$4),'Issuance Log'!$D:$D),0)),"-")</f>
        <v>-</v>
      </c>
    </row>
    <row r="832" spans="1:5" x14ac:dyDescent="0.25">
      <c r="A832" s="4" t="s">
        <v>1610</v>
      </c>
      <c r="B832" s="4" t="s">
        <v>1611</v>
      </c>
      <c r="C832" s="5">
        <f>IFERROR(SUMIFS('Issuance Log'!$D:$D,'Issuance Log'!$B:$B,A832,'Issuance Log'!$G:$G,$B$4),0)</f>
        <v>0</v>
      </c>
      <c r="D832" s="5">
        <f>IFERROR(COUNTIFS('Issuance Log'!$B:$B,A832,'Issuance Log'!$G:$G,$B$4),0)</f>
        <v>0</v>
      </c>
      <c r="E832" s="5" t="str">
        <f ca="1">IFERROR(INDEX('Issuance Log'!$E:$E,MATCH(MAXIFS('Issuance Log'!$D:$D,'Issuance Log'!$B:$B,A832,'Issuance Log'!$G:$G,$B$4),IF(('Issuance Log'!$B:$B=A832)*('Issuance Log'!$G:$G=$B$4),'Issuance Log'!$D:$D),0)),"-")</f>
        <v>-</v>
      </c>
    </row>
    <row r="833" spans="1:5" x14ac:dyDescent="0.25">
      <c r="A833" s="2" t="s">
        <v>1612</v>
      </c>
      <c r="B833" s="2" t="s">
        <v>243</v>
      </c>
      <c r="C833" s="3">
        <f>IFERROR(SUMIFS('Issuance Log'!$D:$D,'Issuance Log'!$B:$B,A833,'Issuance Log'!$G:$G,$B$4),0)</f>
        <v>0</v>
      </c>
      <c r="D833" s="3">
        <f>IFERROR(COUNTIFS('Issuance Log'!$B:$B,A833,'Issuance Log'!$G:$G,$B$4),0)</f>
        <v>0</v>
      </c>
      <c r="E833" s="3" t="str">
        <f ca="1">IFERROR(INDEX('Issuance Log'!$E:$E,MATCH(MAXIFS('Issuance Log'!$D:$D,'Issuance Log'!$B:$B,A833,'Issuance Log'!$G:$G,$B$4),IF(('Issuance Log'!$B:$B=A833)*('Issuance Log'!$G:$G=$B$4),'Issuance Log'!$D:$D),0)),"-")</f>
        <v>-</v>
      </c>
    </row>
    <row r="834" spans="1:5" x14ac:dyDescent="0.25">
      <c r="A834" s="4" t="s">
        <v>1613</v>
      </c>
      <c r="B834" s="4" t="s">
        <v>1614</v>
      </c>
      <c r="C834" s="5">
        <f>IFERROR(SUMIFS('Issuance Log'!$D:$D,'Issuance Log'!$B:$B,A834,'Issuance Log'!$G:$G,$B$4),0)</f>
        <v>0</v>
      </c>
      <c r="D834" s="5">
        <f>IFERROR(COUNTIFS('Issuance Log'!$B:$B,A834,'Issuance Log'!$G:$G,$B$4),0)</f>
        <v>0</v>
      </c>
      <c r="E834" s="5" t="str">
        <f ca="1">IFERROR(INDEX('Issuance Log'!$E:$E,MATCH(MAXIFS('Issuance Log'!$D:$D,'Issuance Log'!$B:$B,A834,'Issuance Log'!$G:$G,$B$4),IF(('Issuance Log'!$B:$B=A834)*('Issuance Log'!$G:$G=$B$4),'Issuance Log'!$D:$D),0)),"-")</f>
        <v>-</v>
      </c>
    </row>
    <row r="835" spans="1:5" x14ac:dyDescent="0.25">
      <c r="A835" s="2" t="s">
        <v>1615</v>
      </c>
      <c r="B835" s="2" t="s">
        <v>1616</v>
      </c>
      <c r="C835" s="3">
        <f>IFERROR(SUMIFS('Issuance Log'!$D:$D,'Issuance Log'!$B:$B,A835,'Issuance Log'!$G:$G,$B$4),0)</f>
        <v>0</v>
      </c>
      <c r="D835" s="3">
        <f>IFERROR(COUNTIFS('Issuance Log'!$B:$B,A835,'Issuance Log'!$G:$G,$B$4),0)</f>
        <v>0</v>
      </c>
      <c r="E835" s="3" t="str">
        <f ca="1">IFERROR(INDEX('Issuance Log'!$E:$E,MATCH(MAXIFS('Issuance Log'!$D:$D,'Issuance Log'!$B:$B,A835,'Issuance Log'!$G:$G,$B$4),IF(('Issuance Log'!$B:$B=A835)*('Issuance Log'!$G:$G=$B$4),'Issuance Log'!$D:$D),0)),"-")</f>
        <v>-</v>
      </c>
    </row>
    <row r="836" spans="1:5" x14ac:dyDescent="0.25">
      <c r="A836" s="4" t="s">
        <v>1617</v>
      </c>
      <c r="B836" s="4" t="s">
        <v>1618</v>
      </c>
      <c r="C836" s="5">
        <f>IFERROR(SUMIFS('Issuance Log'!$D:$D,'Issuance Log'!$B:$B,A836,'Issuance Log'!$G:$G,$B$4),0)</f>
        <v>0</v>
      </c>
      <c r="D836" s="5">
        <f>IFERROR(COUNTIFS('Issuance Log'!$B:$B,A836,'Issuance Log'!$G:$G,$B$4),0)</f>
        <v>0</v>
      </c>
      <c r="E836" s="5" t="str">
        <f ca="1">IFERROR(INDEX('Issuance Log'!$E:$E,MATCH(MAXIFS('Issuance Log'!$D:$D,'Issuance Log'!$B:$B,A836,'Issuance Log'!$G:$G,$B$4),IF(('Issuance Log'!$B:$B=A836)*('Issuance Log'!$G:$G=$B$4),'Issuance Log'!$D:$D),0)),"-")</f>
        <v>-</v>
      </c>
    </row>
    <row r="837" spans="1:5" x14ac:dyDescent="0.25">
      <c r="A837" s="2" t="s">
        <v>1619</v>
      </c>
      <c r="B837" s="2" t="s">
        <v>1620</v>
      </c>
      <c r="C837" s="3">
        <f>IFERROR(SUMIFS('Issuance Log'!$D:$D,'Issuance Log'!$B:$B,A837,'Issuance Log'!$G:$G,$B$4),0)</f>
        <v>0</v>
      </c>
      <c r="D837" s="3">
        <f>IFERROR(COUNTIFS('Issuance Log'!$B:$B,A837,'Issuance Log'!$G:$G,$B$4),0)</f>
        <v>0</v>
      </c>
      <c r="E837" s="3" t="str">
        <f ca="1">IFERROR(INDEX('Issuance Log'!$E:$E,MATCH(MAXIFS('Issuance Log'!$D:$D,'Issuance Log'!$B:$B,A837,'Issuance Log'!$G:$G,$B$4),IF(('Issuance Log'!$B:$B=A837)*('Issuance Log'!$G:$G=$B$4),'Issuance Log'!$D:$D),0)),"-")</f>
        <v>-</v>
      </c>
    </row>
    <row r="838" spans="1:5" x14ac:dyDescent="0.25">
      <c r="A838" s="4" t="s">
        <v>1621</v>
      </c>
      <c r="B838" s="4" t="s">
        <v>1622</v>
      </c>
      <c r="C838" s="5">
        <f>IFERROR(SUMIFS('Issuance Log'!$D:$D,'Issuance Log'!$B:$B,A838,'Issuance Log'!$G:$G,$B$4),0)</f>
        <v>0</v>
      </c>
      <c r="D838" s="5">
        <f>IFERROR(COUNTIFS('Issuance Log'!$B:$B,A838,'Issuance Log'!$G:$G,$B$4),0)</f>
        <v>0</v>
      </c>
      <c r="E838" s="5" t="str">
        <f ca="1">IFERROR(INDEX('Issuance Log'!$E:$E,MATCH(MAXIFS('Issuance Log'!$D:$D,'Issuance Log'!$B:$B,A838,'Issuance Log'!$G:$G,$B$4),IF(('Issuance Log'!$B:$B=A838)*('Issuance Log'!$G:$G=$B$4),'Issuance Log'!$D:$D),0)),"-")</f>
        <v>-</v>
      </c>
    </row>
    <row r="839" spans="1:5" x14ac:dyDescent="0.25">
      <c r="A839" s="2" t="s">
        <v>1623</v>
      </c>
      <c r="B839" s="2" t="s">
        <v>1624</v>
      </c>
      <c r="C839" s="3">
        <f>IFERROR(SUMIFS('Issuance Log'!$D:$D,'Issuance Log'!$B:$B,A839,'Issuance Log'!$G:$G,$B$4),0)</f>
        <v>0</v>
      </c>
      <c r="D839" s="3">
        <f>IFERROR(COUNTIFS('Issuance Log'!$B:$B,A839,'Issuance Log'!$G:$G,$B$4),0)</f>
        <v>0</v>
      </c>
      <c r="E839" s="3" t="str">
        <f ca="1">IFERROR(INDEX('Issuance Log'!$E:$E,MATCH(MAXIFS('Issuance Log'!$D:$D,'Issuance Log'!$B:$B,A839,'Issuance Log'!$G:$G,$B$4),IF(('Issuance Log'!$B:$B=A839)*('Issuance Log'!$G:$G=$B$4),'Issuance Log'!$D:$D),0)),"-")</f>
        <v>-</v>
      </c>
    </row>
    <row r="840" spans="1:5" x14ac:dyDescent="0.25">
      <c r="A840" s="4" t="s">
        <v>1625</v>
      </c>
      <c r="B840" s="4" t="s">
        <v>1626</v>
      </c>
      <c r="C840" s="5">
        <f>IFERROR(SUMIFS('Issuance Log'!$D:$D,'Issuance Log'!$B:$B,A840,'Issuance Log'!$G:$G,$B$4),0)</f>
        <v>0</v>
      </c>
      <c r="D840" s="5">
        <f>IFERROR(COUNTIFS('Issuance Log'!$B:$B,A840,'Issuance Log'!$G:$G,$B$4),0)</f>
        <v>0</v>
      </c>
      <c r="E840" s="5" t="str">
        <f ca="1">IFERROR(INDEX('Issuance Log'!$E:$E,MATCH(MAXIFS('Issuance Log'!$D:$D,'Issuance Log'!$B:$B,A840,'Issuance Log'!$G:$G,$B$4),IF(('Issuance Log'!$B:$B=A840)*('Issuance Log'!$G:$G=$B$4),'Issuance Log'!$D:$D),0)),"-")</f>
        <v>-</v>
      </c>
    </row>
    <row r="841" spans="1:5" x14ac:dyDescent="0.25">
      <c r="A841" s="2" t="s">
        <v>1627</v>
      </c>
      <c r="B841" s="2" t="s">
        <v>1628</v>
      </c>
      <c r="C841" s="3">
        <f>IFERROR(SUMIFS('Issuance Log'!$D:$D,'Issuance Log'!$B:$B,A841,'Issuance Log'!$G:$G,$B$4),0)</f>
        <v>0</v>
      </c>
      <c r="D841" s="3">
        <f>IFERROR(COUNTIFS('Issuance Log'!$B:$B,A841,'Issuance Log'!$G:$G,$B$4),0)</f>
        <v>0</v>
      </c>
      <c r="E841" s="3" t="str">
        <f ca="1">IFERROR(INDEX('Issuance Log'!$E:$E,MATCH(MAXIFS('Issuance Log'!$D:$D,'Issuance Log'!$B:$B,A841,'Issuance Log'!$G:$G,$B$4),IF(('Issuance Log'!$B:$B=A841)*('Issuance Log'!$G:$G=$B$4),'Issuance Log'!$D:$D),0)),"-")</f>
        <v>-</v>
      </c>
    </row>
    <row r="842" spans="1:5" x14ac:dyDescent="0.25">
      <c r="A842" s="4" t="s">
        <v>1629</v>
      </c>
      <c r="B842" s="4" t="s">
        <v>1630</v>
      </c>
      <c r="C842" s="5">
        <f>IFERROR(SUMIFS('Issuance Log'!$D:$D,'Issuance Log'!$B:$B,A842,'Issuance Log'!$G:$G,$B$4),0)</f>
        <v>0</v>
      </c>
      <c r="D842" s="5">
        <f>IFERROR(COUNTIFS('Issuance Log'!$B:$B,A842,'Issuance Log'!$G:$G,$B$4),0)</f>
        <v>0</v>
      </c>
      <c r="E842" s="5" t="str">
        <f ca="1">IFERROR(INDEX('Issuance Log'!$E:$E,MATCH(MAXIFS('Issuance Log'!$D:$D,'Issuance Log'!$B:$B,A842,'Issuance Log'!$G:$G,$B$4),IF(('Issuance Log'!$B:$B=A842)*('Issuance Log'!$G:$G=$B$4),'Issuance Log'!$D:$D),0)),"-")</f>
        <v>-</v>
      </c>
    </row>
    <row r="843" spans="1:5" x14ac:dyDescent="0.25">
      <c r="A843" s="2" t="s">
        <v>1631</v>
      </c>
      <c r="B843" s="2" t="s">
        <v>1632</v>
      </c>
      <c r="C843" s="3">
        <f>IFERROR(SUMIFS('Issuance Log'!$D:$D,'Issuance Log'!$B:$B,A843,'Issuance Log'!$G:$G,$B$4),0)</f>
        <v>0</v>
      </c>
      <c r="D843" s="3">
        <f>IFERROR(COUNTIFS('Issuance Log'!$B:$B,A843,'Issuance Log'!$G:$G,$B$4),0)</f>
        <v>0</v>
      </c>
      <c r="E843" s="3" t="str">
        <f ca="1">IFERROR(INDEX('Issuance Log'!$E:$E,MATCH(MAXIFS('Issuance Log'!$D:$D,'Issuance Log'!$B:$B,A843,'Issuance Log'!$G:$G,$B$4),IF(('Issuance Log'!$B:$B=A843)*('Issuance Log'!$G:$G=$B$4),'Issuance Log'!$D:$D),0)),"-")</f>
        <v>-</v>
      </c>
    </row>
    <row r="844" spans="1:5" x14ac:dyDescent="0.25">
      <c r="A844" s="4" t="s">
        <v>1633</v>
      </c>
      <c r="B844" s="4" t="s">
        <v>1634</v>
      </c>
      <c r="C844" s="5">
        <f>IFERROR(SUMIFS('Issuance Log'!$D:$D,'Issuance Log'!$B:$B,A844,'Issuance Log'!$G:$G,$B$4),0)</f>
        <v>0</v>
      </c>
      <c r="D844" s="5">
        <f>IFERROR(COUNTIFS('Issuance Log'!$B:$B,A844,'Issuance Log'!$G:$G,$B$4),0)</f>
        <v>0</v>
      </c>
      <c r="E844" s="5" t="str">
        <f ca="1">IFERROR(INDEX('Issuance Log'!$E:$E,MATCH(MAXIFS('Issuance Log'!$D:$D,'Issuance Log'!$B:$B,A844,'Issuance Log'!$G:$G,$B$4),IF(('Issuance Log'!$B:$B=A844)*('Issuance Log'!$G:$G=$B$4),'Issuance Log'!$D:$D),0)),"-")</f>
        <v>-</v>
      </c>
    </row>
    <row r="845" spans="1:5" x14ac:dyDescent="0.25">
      <c r="A845" s="2" t="s">
        <v>1635</v>
      </c>
      <c r="B845" s="2" t="s">
        <v>1636</v>
      </c>
      <c r="C845" s="3">
        <f>IFERROR(SUMIFS('Issuance Log'!$D:$D,'Issuance Log'!$B:$B,A845,'Issuance Log'!$G:$G,$B$4),0)</f>
        <v>0</v>
      </c>
      <c r="D845" s="3">
        <f>IFERROR(COUNTIFS('Issuance Log'!$B:$B,A845,'Issuance Log'!$G:$G,$B$4),0)</f>
        <v>0</v>
      </c>
      <c r="E845" s="3" t="str">
        <f ca="1">IFERROR(INDEX('Issuance Log'!$E:$E,MATCH(MAXIFS('Issuance Log'!$D:$D,'Issuance Log'!$B:$B,A845,'Issuance Log'!$G:$G,$B$4),IF(('Issuance Log'!$B:$B=A845)*('Issuance Log'!$G:$G=$B$4),'Issuance Log'!$D:$D),0)),"-")</f>
        <v>-</v>
      </c>
    </row>
    <row r="846" spans="1:5" x14ac:dyDescent="0.25">
      <c r="A846" s="4" t="s">
        <v>1637</v>
      </c>
      <c r="B846" s="4" t="s">
        <v>1638</v>
      </c>
      <c r="C846" s="5">
        <f>IFERROR(SUMIFS('Issuance Log'!$D:$D,'Issuance Log'!$B:$B,A846,'Issuance Log'!$G:$G,$B$4),0)</f>
        <v>0</v>
      </c>
      <c r="D846" s="5">
        <f>IFERROR(COUNTIFS('Issuance Log'!$B:$B,A846,'Issuance Log'!$G:$G,$B$4),0)</f>
        <v>0</v>
      </c>
      <c r="E846" s="5" t="str">
        <f ca="1">IFERROR(INDEX('Issuance Log'!$E:$E,MATCH(MAXIFS('Issuance Log'!$D:$D,'Issuance Log'!$B:$B,A846,'Issuance Log'!$G:$G,$B$4),IF(('Issuance Log'!$B:$B=A846)*('Issuance Log'!$G:$G=$B$4),'Issuance Log'!$D:$D),0)),"-")</f>
        <v>-</v>
      </c>
    </row>
    <row r="847" spans="1:5" x14ac:dyDescent="0.25">
      <c r="A847" s="2" t="s">
        <v>1639</v>
      </c>
      <c r="B847" s="2" t="s">
        <v>1640</v>
      </c>
      <c r="C847" s="3">
        <f>IFERROR(SUMIFS('Issuance Log'!$D:$D,'Issuance Log'!$B:$B,A847,'Issuance Log'!$G:$G,$B$4),0)</f>
        <v>0</v>
      </c>
      <c r="D847" s="3">
        <f>IFERROR(COUNTIFS('Issuance Log'!$B:$B,A847,'Issuance Log'!$G:$G,$B$4),0)</f>
        <v>0</v>
      </c>
      <c r="E847" s="3" t="str">
        <f ca="1">IFERROR(INDEX('Issuance Log'!$E:$E,MATCH(MAXIFS('Issuance Log'!$D:$D,'Issuance Log'!$B:$B,A847,'Issuance Log'!$G:$G,$B$4),IF(('Issuance Log'!$B:$B=A847)*('Issuance Log'!$G:$G=$B$4),'Issuance Log'!$D:$D),0)),"-")</f>
        <v>-</v>
      </c>
    </row>
    <row r="848" spans="1:5" x14ac:dyDescent="0.25">
      <c r="A848" s="4" t="s">
        <v>1641</v>
      </c>
      <c r="B848" s="4" t="s">
        <v>1642</v>
      </c>
      <c r="C848" s="5">
        <f>IFERROR(SUMIFS('Issuance Log'!$D:$D,'Issuance Log'!$B:$B,A848,'Issuance Log'!$G:$G,$B$4),0)</f>
        <v>0</v>
      </c>
      <c r="D848" s="5">
        <f>IFERROR(COUNTIFS('Issuance Log'!$B:$B,A848,'Issuance Log'!$G:$G,$B$4),0)</f>
        <v>0</v>
      </c>
      <c r="E848" s="5" t="str">
        <f ca="1">IFERROR(INDEX('Issuance Log'!$E:$E,MATCH(MAXIFS('Issuance Log'!$D:$D,'Issuance Log'!$B:$B,A848,'Issuance Log'!$G:$G,$B$4),IF(('Issuance Log'!$B:$B=A848)*('Issuance Log'!$G:$G=$B$4),'Issuance Log'!$D:$D),0)),"-")</f>
        <v>-</v>
      </c>
    </row>
    <row r="849" spans="1:5" x14ac:dyDescent="0.25">
      <c r="A849" s="2" t="s">
        <v>1643</v>
      </c>
      <c r="B849" s="2" t="s">
        <v>1644</v>
      </c>
      <c r="C849" s="3">
        <f>IFERROR(SUMIFS('Issuance Log'!$D:$D,'Issuance Log'!$B:$B,A849,'Issuance Log'!$G:$G,$B$4),0)</f>
        <v>0</v>
      </c>
      <c r="D849" s="3">
        <f>IFERROR(COUNTIFS('Issuance Log'!$B:$B,A849,'Issuance Log'!$G:$G,$B$4),0)</f>
        <v>0</v>
      </c>
      <c r="E849" s="3" t="str">
        <f ca="1">IFERROR(INDEX('Issuance Log'!$E:$E,MATCH(MAXIFS('Issuance Log'!$D:$D,'Issuance Log'!$B:$B,A849,'Issuance Log'!$G:$G,$B$4),IF(('Issuance Log'!$B:$B=A849)*('Issuance Log'!$G:$G=$B$4),'Issuance Log'!$D:$D),0)),"-")</f>
        <v>-</v>
      </c>
    </row>
    <row r="850" spans="1:5" x14ac:dyDescent="0.25">
      <c r="A850" s="4" t="s">
        <v>1645</v>
      </c>
      <c r="B850" s="4" t="s">
        <v>1646</v>
      </c>
      <c r="C850" s="5">
        <f>IFERROR(SUMIFS('Issuance Log'!$D:$D,'Issuance Log'!$B:$B,A850,'Issuance Log'!$G:$G,$B$4),0)</f>
        <v>0</v>
      </c>
      <c r="D850" s="5">
        <f>IFERROR(COUNTIFS('Issuance Log'!$B:$B,A850,'Issuance Log'!$G:$G,$B$4),0)</f>
        <v>0</v>
      </c>
      <c r="E850" s="5" t="str">
        <f ca="1">IFERROR(INDEX('Issuance Log'!$E:$E,MATCH(MAXIFS('Issuance Log'!$D:$D,'Issuance Log'!$B:$B,A850,'Issuance Log'!$G:$G,$B$4),IF(('Issuance Log'!$B:$B=A850)*('Issuance Log'!$G:$G=$B$4),'Issuance Log'!$D:$D),0)),"-")</f>
        <v>-</v>
      </c>
    </row>
    <row r="851" spans="1:5" x14ac:dyDescent="0.25">
      <c r="A851" s="2" t="s">
        <v>1647</v>
      </c>
      <c r="B851" s="2" t="s">
        <v>1648</v>
      </c>
      <c r="C851" s="3">
        <f>IFERROR(SUMIFS('Issuance Log'!$D:$D,'Issuance Log'!$B:$B,A851,'Issuance Log'!$G:$G,$B$4),0)</f>
        <v>0</v>
      </c>
      <c r="D851" s="3">
        <f>IFERROR(COUNTIFS('Issuance Log'!$B:$B,A851,'Issuance Log'!$G:$G,$B$4),0)</f>
        <v>0</v>
      </c>
      <c r="E851" s="3" t="str">
        <f ca="1">IFERROR(INDEX('Issuance Log'!$E:$E,MATCH(MAXIFS('Issuance Log'!$D:$D,'Issuance Log'!$B:$B,A851,'Issuance Log'!$G:$G,$B$4),IF(('Issuance Log'!$B:$B=A851)*('Issuance Log'!$G:$G=$B$4),'Issuance Log'!$D:$D),0)),"-")</f>
        <v>-</v>
      </c>
    </row>
    <row r="852" spans="1:5" x14ac:dyDescent="0.25">
      <c r="A852" s="4" t="s">
        <v>1649</v>
      </c>
      <c r="B852" s="4" t="s">
        <v>1650</v>
      </c>
      <c r="C852" s="5">
        <f>IFERROR(SUMIFS('Issuance Log'!$D:$D,'Issuance Log'!$B:$B,A852,'Issuance Log'!$G:$G,$B$4),0)</f>
        <v>0</v>
      </c>
      <c r="D852" s="5">
        <f>IFERROR(COUNTIFS('Issuance Log'!$B:$B,A852,'Issuance Log'!$G:$G,$B$4),0)</f>
        <v>0</v>
      </c>
      <c r="E852" s="5" t="str">
        <f ca="1">IFERROR(INDEX('Issuance Log'!$E:$E,MATCH(MAXIFS('Issuance Log'!$D:$D,'Issuance Log'!$B:$B,A852,'Issuance Log'!$G:$G,$B$4),IF(('Issuance Log'!$B:$B=A852)*('Issuance Log'!$G:$G=$B$4),'Issuance Log'!$D:$D),0)),"-")</f>
        <v>-</v>
      </c>
    </row>
    <row r="853" spans="1:5" x14ac:dyDescent="0.25">
      <c r="A853" s="2" t="s">
        <v>1651</v>
      </c>
      <c r="B853" s="2" t="s">
        <v>1652</v>
      </c>
      <c r="C853" s="3">
        <f>IFERROR(SUMIFS('Issuance Log'!$D:$D,'Issuance Log'!$B:$B,A853,'Issuance Log'!$G:$G,$B$4),0)</f>
        <v>0</v>
      </c>
      <c r="D853" s="3">
        <f>IFERROR(COUNTIFS('Issuance Log'!$B:$B,A853,'Issuance Log'!$G:$G,$B$4),0)</f>
        <v>0</v>
      </c>
      <c r="E853" s="3" t="str">
        <f ca="1">IFERROR(INDEX('Issuance Log'!$E:$E,MATCH(MAXIFS('Issuance Log'!$D:$D,'Issuance Log'!$B:$B,A853,'Issuance Log'!$G:$G,$B$4),IF(('Issuance Log'!$B:$B=A853)*('Issuance Log'!$G:$G=$B$4),'Issuance Log'!$D:$D),0)),"-")</f>
        <v>-</v>
      </c>
    </row>
    <row r="854" spans="1:5" x14ac:dyDescent="0.25">
      <c r="A854" s="4" t="s">
        <v>1653</v>
      </c>
      <c r="B854" s="4" t="s">
        <v>1654</v>
      </c>
      <c r="C854" s="5">
        <f>IFERROR(SUMIFS('Issuance Log'!$D:$D,'Issuance Log'!$B:$B,A854,'Issuance Log'!$G:$G,$B$4),0)</f>
        <v>0</v>
      </c>
      <c r="D854" s="5">
        <f>IFERROR(COUNTIFS('Issuance Log'!$B:$B,A854,'Issuance Log'!$G:$G,$B$4),0)</f>
        <v>0</v>
      </c>
      <c r="E854" s="5" t="str">
        <f ca="1">IFERROR(INDEX('Issuance Log'!$E:$E,MATCH(MAXIFS('Issuance Log'!$D:$D,'Issuance Log'!$B:$B,A854,'Issuance Log'!$G:$G,$B$4),IF(('Issuance Log'!$B:$B=A854)*('Issuance Log'!$G:$G=$B$4),'Issuance Log'!$D:$D),0)),"-")</f>
        <v>-</v>
      </c>
    </row>
    <row r="855" spans="1:5" x14ac:dyDescent="0.25">
      <c r="A855" s="2" t="s">
        <v>1655</v>
      </c>
      <c r="B855" s="2" t="s">
        <v>1656</v>
      </c>
      <c r="C855" s="3">
        <f>IFERROR(SUMIFS('Issuance Log'!$D:$D,'Issuance Log'!$B:$B,A855,'Issuance Log'!$G:$G,$B$4),0)</f>
        <v>0</v>
      </c>
      <c r="D855" s="3">
        <f>IFERROR(COUNTIFS('Issuance Log'!$B:$B,A855,'Issuance Log'!$G:$G,$B$4),0)</f>
        <v>0</v>
      </c>
      <c r="E855" s="3" t="str">
        <f ca="1">IFERROR(INDEX('Issuance Log'!$E:$E,MATCH(MAXIFS('Issuance Log'!$D:$D,'Issuance Log'!$B:$B,A855,'Issuance Log'!$G:$G,$B$4),IF(('Issuance Log'!$B:$B=A855)*('Issuance Log'!$G:$G=$B$4),'Issuance Log'!$D:$D),0)),"-")</f>
        <v>-</v>
      </c>
    </row>
    <row r="856" spans="1:5" x14ac:dyDescent="0.25">
      <c r="A856" s="4" t="s">
        <v>1657</v>
      </c>
      <c r="B856" s="4" t="s">
        <v>1658</v>
      </c>
      <c r="C856" s="5">
        <f>IFERROR(SUMIFS('Issuance Log'!$D:$D,'Issuance Log'!$B:$B,A856,'Issuance Log'!$G:$G,$B$4),0)</f>
        <v>0</v>
      </c>
      <c r="D856" s="5">
        <f>IFERROR(COUNTIFS('Issuance Log'!$B:$B,A856,'Issuance Log'!$G:$G,$B$4),0)</f>
        <v>0</v>
      </c>
      <c r="E856" s="5" t="str">
        <f ca="1">IFERROR(INDEX('Issuance Log'!$E:$E,MATCH(MAXIFS('Issuance Log'!$D:$D,'Issuance Log'!$B:$B,A856,'Issuance Log'!$G:$G,$B$4),IF(('Issuance Log'!$B:$B=A856)*('Issuance Log'!$G:$G=$B$4),'Issuance Log'!$D:$D),0)),"-")</f>
        <v>-</v>
      </c>
    </row>
    <row r="857" spans="1:5" x14ac:dyDescent="0.25">
      <c r="A857" s="2" t="s">
        <v>1659</v>
      </c>
      <c r="B857" s="2" t="s">
        <v>1660</v>
      </c>
      <c r="C857" s="3">
        <f>IFERROR(SUMIFS('Issuance Log'!$D:$D,'Issuance Log'!$B:$B,A857,'Issuance Log'!$G:$G,$B$4),0)</f>
        <v>0</v>
      </c>
      <c r="D857" s="3">
        <f>IFERROR(COUNTIFS('Issuance Log'!$B:$B,A857,'Issuance Log'!$G:$G,$B$4),0)</f>
        <v>0</v>
      </c>
      <c r="E857" s="3" t="str">
        <f ca="1">IFERROR(INDEX('Issuance Log'!$E:$E,MATCH(MAXIFS('Issuance Log'!$D:$D,'Issuance Log'!$B:$B,A857,'Issuance Log'!$G:$G,$B$4),IF(('Issuance Log'!$B:$B=A857)*('Issuance Log'!$G:$G=$B$4),'Issuance Log'!$D:$D),0)),"-")</f>
        <v>-</v>
      </c>
    </row>
    <row r="858" spans="1:5" x14ac:dyDescent="0.25">
      <c r="A858" s="4" t="s">
        <v>1661</v>
      </c>
      <c r="B858" s="4" t="s">
        <v>1662</v>
      </c>
      <c r="C858" s="5">
        <f>IFERROR(SUMIFS('Issuance Log'!$D:$D,'Issuance Log'!$B:$B,A858,'Issuance Log'!$G:$G,$B$4),0)</f>
        <v>0</v>
      </c>
      <c r="D858" s="5">
        <f>IFERROR(COUNTIFS('Issuance Log'!$B:$B,A858,'Issuance Log'!$G:$G,$B$4),0)</f>
        <v>0</v>
      </c>
      <c r="E858" s="5" t="str">
        <f ca="1">IFERROR(INDEX('Issuance Log'!$E:$E,MATCH(MAXIFS('Issuance Log'!$D:$D,'Issuance Log'!$B:$B,A858,'Issuance Log'!$G:$G,$B$4),IF(('Issuance Log'!$B:$B=A858)*('Issuance Log'!$G:$G=$B$4),'Issuance Log'!$D:$D),0)),"-")</f>
        <v>-</v>
      </c>
    </row>
    <row r="859" spans="1:5" x14ac:dyDescent="0.25">
      <c r="A859" s="2" t="s">
        <v>1663</v>
      </c>
      <c r="B859" s="2" t="s">
        <v>1664</v>
      </c>
      <c r="C859" s="3">
        <f>IFERROR(SUMIFS('Issuance Log'!$D:$D,'Issuance Log'!$B:$B,A859,'Issuance Log'!$G:$G,$B$4),0)</f>
        <v>0</v>
      </c>
      <c r="D859" s="3">
        <f>IFERROR(COUNTIFS('Issuance Log'!$B:$B,A859,'Issuance Log'!$G:$G,$B$4),0)</f>
        <v>0</v>
      </c>
      <c r="E859" s="3" t="str">
        <f ca="1">IFERROR(INDEX('Issuance Log'!$E:$E,MATCH(MAXIFS('Issuance Log'!$D:$D,'Issuance Log'!$B:$B,A859,'Issuance Log'!$G:$G,$B$4),IF(('Issuance Log'!$B:$B=A859)*('Issuance Log'!$G:$G=$B$4),'Issuance Log'!$D:$D),0)),"-")</f>
        <v>-</v>
      </c>
    </row>
    <row r="860" spans="1:5" x14ac:dyDescent="0.25">
      <c r="A860" s="4" t="s">
        <v>1665</v>
      </c>
      <c r="B860" s="4" t="s">
        <v>1666</v>
      </c>
      <c r="C860" s="5">
        <f>IFERROR(SUMIFS('Issuance Log'!$D:$D,'Issuance Log'!$B:$B,A860,'Issuance Log'!$G:$G,$B$4),0)</f>
        <v>0</v>
      </c>
      <c r="D860" s="5">
        <f>IFERROR(COUNTIFS('Issuance Log'!$B:$B,A860,'Issuance Log'!$G:$G,$B$4),0)</f>
        <v>0</v>
      </c>
      <c r="E860" s="5" t="str">
        <f ca="1">IFERROR(INDEX('Issuance Log'!$E:$E,MATCH(MAXIFS('Issuance Log'!$D:$D,'Issuance Log'!$B:$B,A860,'Issuance Log'!$G:$G,$B$4),IF(('Issuance Log'!$B:$B=A860)*('Issuance Log'!$G:$G=$B$4),'Issuance Log'!$D:$D),0)),"-")</f>
        <v>-</v>
      </c>
    </row>
    <row r="861" spans="1:5" x14ac:dyDescent="0.25">
      <c r="A861" s="2" t="s">
        <v>1667</v>
      </c>
      <c r="B861" s="2" t="s">
        <v>1668</v>
      </c>
      <c r="C861" s="3">
        <f>IFERROR(SUMIFS('Issuance Log'!$D:$D,'Issuance Log'!$B:$B,A861,'Issuance Log'!$G:$G,$B$4),0)</f>
        <v>0</v>
      </c>
      <c r="D861" s="3">
        <f>IFERROR(COUNTIFS('Issuance Log'!$B:$B,A861,'Issuance Log'!$G:$G,$B$4),0)</f>
        <v>0</v>
      </c>
      <c r="E861" s="3" t="str">
        <f ca="1">IFERROR(INDEX('Issuance Log'!$E:$E,MATCH(MAXIFS('Issuance Log'!$D:$D,'Issuance Log'!$B:$B,A861,'Issuance Log'!$G:$G,$B$4),IF(('Issuance Log'!$B:$B=A861)*('Issuance Log'!$G:$G=$B$4),'Issuance Log'!$D:$D),0)),"-")</f>
        <v>-</v>
      </c>
    </row>
    <row r="862" spans="1:5" x14ac:dyDescent="0.25">
      <c r="A862" s="4" t="s">
        <v>1669</v>
      </c>
      <c r="B862" s="4" t="s">
        <v>1670</v>
      </c>
      <c r="C862" s="5">
        <f>IFERROR(SUMIFS('Issuance Log'!$D:$D,'Issuance Log'!$B:$B,A862,'Issuance Log'!$G:$G,$B$4),0)</f>
        <v>0</v>
      </c>
      <c r="D862" s="5">
        <f>IFERROR(COUNTIFS('Issuance Log'!$B:$B,A862,'Issuance Log'!$G:$G,$B$4),0)</f>
        <v>0</v>
      </c>
      <c r="E862" s="5" t="str">
        <f ca="1">IFERROR(INDEX('Issuance Log'!$E:$E,MATCH(MAXIFS('Issuance Log'!$D:$D,'Issuance Log'!$B:$B,A862,'Issuance Log'!$G:$G,$B$4),IF(('Issuance Log'!$B:$B=A862)*('Issuance Log'!$G:$G=$B$4),'Issuance Log'!$D:$D),0)),"-")</f>
        <v>-</v>
      </c>
    </row>
    <row r="863" spans="1:5" x14ac:dyDescent="0.25">
      <c r="A863" s="2" t="s">
        <v>1671</v>
      </c>
      <c r="B863" s="2" t="s">
        <v>1672</v>
      </c>
      <c r="C863" s="3">
        <f>IFERROR(SUMIFS('Issuance Log'!$D:$D,'Issuance Log'!$B:$B,A863,'Issuance Log'!$G:$G,$B$4),0)</f>
        <v>0</v>
      </c>
      <c r="D863" s="3">
        <f>IFERROR(COUNTIFS('Issuance Log'!$B:$B,A863,'Issuance Log'!$G:$G,$B$4),0)</f>
        <v>0</v>
      </c>
      <c r="E863" s="3" t="str">
        <f ca="1">IFERROR(INDEX('Issuance Log'!$E:$E,MATCH(MAXIFS('Issuance Log'!$D:$D,'Issuance Log'!$B:$B,A863,'Issuance Log'!$G:$G,$B$4),IF(('Issuance Log'!$B:$B=A863)*('Issuance Log'!$G:$G=$B$4),'Issuance Log'!$D:$D),0)),"-")</f>
        <v>-</v>
      </c>
    </row>
    <row r="864" spans="1:5" x14ac:dyDescent="0.25">
      <c r="A864" s="4" t="s">
        <v>1673</v>
      </c>
      <c r="B864" s="4" t="s">
        <v>1674</v>
      </c>
      <c r="C864" s="5">
        <f>IFERROR(SUMIFS('Issuance Log'!$D:$D,'Issuance Log'!$B:$B,A864,'Issuance Log'!$G:$G,$B$4),0)</f>
        <v>0</v>
      </c>
      <c r="D864" s="5">
        <f>IFERROR(COUNTIFS('Issuance Log'!$B:$B,A864,'Issuance Log'!$G:$G,$B$4),0)</f>
        <v>0</v>
      </c>
      <c r="E864" s="5" t="str">
        <f ca="1">IFERROR(INDEX('Issuance Log'!$E:$E,MATCH(MAXIFS('Issuance Log'!$D:$D,'Issuance Log'!$B:$B,A864,'Issuance Log'!$G:$G,$B$4),IF(('Issuance Log'!$B:$B=A864)*('Issuance Log'!$G:$G=$B$4),'Issuance Log'!$D:$D),0)),"-")</f>
        <v>-</v>
      </c>
    </row>
    <row r="865" spans="1:5" x14ac:dyDescent="0.25">
      <c r="A865" s="2" t="s">
        <v>1675</v>
      </c>
      <c r="B865" s="2" t="s">
        <v>1676</v>
      </c>
      <c r="C865" s="3">
        <f>IFERROR(SUMIFS('Issuance Log'!$D:$D,'Issuance Log'!$B:$B,A865,'Issuance Log'!$G:$G,$B$4),0)</f>
        <v>0</v>
      </c>
      <c r="D865" s="3">
        <f>IFERROR(COUNTIFS('Issuance Log'!$B:$B,A865,'Issuance Log'!$G:$G,$B$4),0)</f>
        <v>0</v>
      </c>
      <c r="E865" s="3" t="str">
        <f ca="1">IFERROR(INDEX('Issuance Log'!$E:$E,MATCH(MAXIFS('Issuance Log'!$D:$D,'Issuance Log'!$B:$B,A865,'Issuance Log'!$G:$G,$B$4),IF(('Issuance Log'!$B:$B=A865)*('Issuance Log'!$G:$G=$B$4),'Issuance Log'!$D:$D),0)),"-")</f>
        <v>-</v>
      </c>
    </row>
    <row r="866" spans="1:5" x14ac:dyDescent="0.25">
      <c r="A866" s="4" t="s">
        <v>1677</v>
      </c>
      <c r="B866" s="4" t="s">
        <v>1678</v>
      </c>
      <c r="C866" s="5">
        <f>IFERROR(SUMIFS('Issuance Log'!$D:$D,'Issuance Log'!$B:$B,A866,'Issuance Log'!$G:$G,$B$4),0)</f>
        <v>0</v>
      </c>
      <c r="D866" s="5">
        <f>IFERROR(COUNTIFS('Issuance Log'!$B:$B,A866,'Issuance Log'!$G:$G,$B$4),0)</f>
        <v>0</v>
      </c>
      <c r="E866" s="5" t="str">
        <f ca="1">IFERROR(INDEX('Issuance Log'!$E:$E,MATCH(MAXIFS('Issuance Log'!$D:$D,'Issuance Log'!$B:$B,A866,'Issuance Log'!$G:$G,$B$4),IF(('Issuance Log'!$B:$B=A866)*('Issuance Log'!$G:$G=$B$4),'Issuance Log'!$D:$D),0)),"-")</f>
        <v>-</v>
      </c>
    </row>
    <row r="867" spans="1:5" x14ac:dyDescent="0.25">
      <c r="A867" s="2" t="s">
        <v>1679</v>
      </c>
      <c r="B867" s="2" t="s">
        <v>1680</v>
      </c>
      <c r="C867" s="3">
        <f>IFERROR(SUMIFS('Issuance Log'!$D:$D,'Issuance Log'!$B:$B,A867,'Issuance Log'!$G:$G,$B$4),0)</f>
        <v>0</v>
      </c>
      <c r="D867" s="3">
        <f>IFERROR(COUNTIFS('Issuance Log'!$B:$B,A867,'Issuance Log'!$G:$G,$B$4),0)</f>
        <v>0</v>
      </c>
      <c r="E867" s="3" t="str">
        <f ca="1">IFERROR(INDEX('Issuance Log'!$E:$E,MATCH(MAXIFS('Issuance Log'!$D:$D,'Issuance Log'!$B:$B,A867,'Issuance Log'!$G:$G,$B$4),IF(('Issuance Log'!$B:$B=A867)*('Issuance Log'!$G:$G=$B$4),'Issuance Log'!$D:$D),0)),"-")</f>
        <v>-</v>
      </c>
    </row>
    <row r="868" spans="1:5" x14ac:dyDescent="0.25">
      <c r="A868" s="4" t="s">
        <v>1681</v>
      </c>
      <c r="B868" s="4" t="s">
        <v>1682</v>
      </c>
      <c r="C868" s="5">
        <f>IFERROR(SUMIFS('Issuance Log'!$D:$D,'Issuance Log'!$B:$B,A868,'Issuance Log'!$G:$G,$B$4),0)</f>
        <v>0</v>
      </c>
      <c r="D868" s="5">
        <f>IFERROR(COUNTIFS('Issuance Log'!$B:$B,A868,'Issuance Log'!$G:$G,$B$4),0)</f>
        <v>0</v>
      </c>
      <c r="E868" s="5" t="str">
        <f ca="1">IFERROR(INDEX('Issuance Log'!$E:$E,MATCH(MAXIFS('Issuance Log'!$D:$D,'Issuance Log'!$B:$B,A868,'Issuance Log'!$G:$G,$B$4),IF(('Issuance Log'!$B:$B=A868)*('Issuance Log'!$G:$G=$B$4),'Issuance Log'!$D:$D),0)),"-")</f>
        <v>-</v>
      </c>
    </row>
    <row r="869" spans="1:5" x14ac:dyDescent="0.25">
      <c r="A869" s="2" t="s">
        <v>1683</v>
      </c>
      <c r="B869" s="2" t="s">
        <v>1684</v>
      </c>
      <c r="C869" s="3">
        <f>IFERROR(SUMIFS('Issuance Log'!$D:$D,'Issuance Log'!$B:$B,A869,'Issuance Log'!$G:$G,$B$4),0)</f>
        <v>0</v>
      </c>
      <c r="D869" s="3">
        <f>IFERROR(COUNTIFS('Issuance Log'!$B:$B,A869,'Issuance Log'!$G:$G,$B$4),0)</f>
        <v>0</v>
      </c>
      <c r="E869" s="3" t="str">
        <f ca="1">IFERROR(INDEX('Issuance Log'!$E:$E,MATCH(MAXIFS('Issuance Log'!$D:$D,'Issuance Log'!$B:$B,A869,'Issuance Log'!$G:$G,$B$4),IF(('Issuance Log'!$B:$B=A869)*('Issuance Log'!$G:$G=$B$4),'Issuance Log'!$D:$D),0)),"-")</f>
        <v>-</v>
      </c>
    </row>
    <row r="870" spans="1:5" x14ac:dyDescent="0.25">
      <c r="A870" s="4" t="s">
        <v>1685</v>
      </c>
      <c r="B870" s="4" t="s">
        <v>1686</v>
      </c>
      <c r="C870" s="5">
        <f>IFERROR(SUMIFS('Issuance Log'!$D:$D,'Issuance Log'!$B:$B,A870,'Issuance Log'!$G:$G,$B$4),0)</f>
        <v>0</v>
      </c>
      <c r="D870" s="5">
        <f>IFERROR(COUNTIFS('Issuance Log'!$B:$B,A870,'Issuance Log'!$G:$G,$B$4),0)</f>
        <v>0</v>
      </c>
      <c r="E870" s="5" t="str">
        <f ca="1">IFERROR(INDEX('Issuance Log'!$E:$E,MATCH(MAXIFS('Issuance Log'!$D:$D,'Issuance Log'!$B:$B,A870,'Issuance Log'!$G:$G,$B$4),IF(('Issuance Log'!$B:$B=A870)*('Issuance Log'!$G:$G=$B$4),'Issuance Log'!$D:$D),0)),"-")</f>
        <v>-</v>
      </c>
    </row>
    <row r="871" spans="1:5" x14ac:dyDescent="0.25">
      <c r="A871" s="2" t="s">
        <v>1687</v>
      </c>
      <c r="B871" s="2" t="s">
        <v>1688</v>
      </c>
      <c r="C871" s="3">
        <f>IFERROR(SUMIFS('Issuance Log'!$D:$D,'Issuance Log'!$B:$B,A871,'Issuance Log'!$G:$G,$B$4),0)</f>
        <v>0</v>
      </c>
      <c r="D871" s="3">
        <f>IFERROR(COUNTIFS('Issuance Log'!$B:$B,A871,'Issuance Log'!$G:$G,$B$4),0)</f>
        <v>0</v>
      </c>
      <c r="E871" s="3" t="str">
        <f ca="1">IFERROR(INDEX('Issuance Log'!$E:$E,MATCH(MAXIFS('Issuance Log'!$D:$D,'Issuance Log'!$B:$B,A871,'Issuance Log'!$G:$G,$B$4),IF(('Issuance Log'!$B:$B=A871)*('Issuance Log'!$G:$G=$B$4),'Issuance Log'!$D:$D),0)),"-")</f>
        <v>-</v>
      </c>
    </row>
    <row r="872" spans="1:5" x14ac:dyDescent="0.25">
      <c r="A872" s="4" t="s">
        <v>1689</v>
      </c>
      <c r="B872" s="4" t="s">
        <v>1690</v>
      </c>
      <c r="C872" s="5">
        <f>IFERROR(SUMIFS('Issuance Log'!$D:$D,'Issuance Log'!$B:$B,A872,'Issuance Log'!$G:$G,$B$4),0)</f>
        <v>0</v>
      </c>
      <c r="D872" s="5">
        <f>IFERROR(COUNTIFS('Issuance Log'!$B:$B,A872,'Issuance Log'!$G:$G,$B$4),0)</f>
        <v>0</v>
      </c>
      <c r="E872" s="5" t="str">
        <f ca="1">IFERROR(INDEX('Issuance Log'!$E:$E,MATCH(MAXIFS('Issuance Log'!$D:$D,'Issuance Log'!$B:$B,A872,'Issuance Log'!$G:$G,$B$4),IF(('Issuance Log'!$B:$B=A872)*('Issuance Log'!$G:$G=$B$4),'Issuance Log'!$D:$D),0)),"-")</f>
        <v>-</v>
      </c>
    </row>
    <row r="873" spans="1:5" x14ac:dyDescent="0.25">
      <c r="A873" s="2" t="s">
        <v>1691</v>
      </c>
      <c r="B873" s="2" t="s">
        <v>1692</v>
      </c>
      <c r="C873" s="3">
        <f>IFERROR(SUMIFS('Issuance Log'!$D:$D,'Issuance Log'!$B:$B,A873,'Issuance Log'!$G:$G,$B$4),0)</f>
        <v>0</v>
      </c>
      <c r="D873" s="3">
        <f>IFERROR(COUNTIFS('Issuance Log'!$B:$B,A873,'Issuance Log'!$G:$G,$B$4),0)</f>
        <v>0</v>
      </c>
      <c r="E873" s="3" t="str">
        <f ca="1">IFERROR(INDEX('Issuance Log'!$E:$E,MATCH(MAXIFS('Issuance Log'!$D:$D,'Issuance Log'!$B:$B,A873,'Issuance Log'!$G:$G,$B$4),IF(('Issuance Log'!$B:$B=A873)*('Issuance Log'!$G:$G=$B$4),'Issuance Log'!$D:$D),0)),"-")</f>
        <v>-</v>
      </c>
    </row>
    <row r="874" spans="1:5" x14ac:dyDescent="0.25">
      <c r="A874" s="4" t="s">
        <v>1693</v>
      </c>
      <c r="B874" s="4" t="s">
        <v>1694</v>
      </c>
      <c r="C874" s="5">
        <f>IFERROR(SUMIFS('Issuance Log'!$D:$D,'Issuance Log'!$B:$B,A874,'Issuance Log'!$G:$G,$B$4),0)</f>
        <v>0</v>
      </c>
      <c r="D874" s="5">
        <f>IFERROR(COUNTIFS('Issuance Log'!$B:$B,A874,'Issuance Log'!$G:$G,$B$4),0)</f>
        <v>0</v>
      </c>
      <c r="E874" s="5" t="str">
        <f ca="1">IFERROR(INDEX('Issuance Log'!$E:$E,MATCH(MAXIFS('Issuance Log'!$D:$D,'Issuance Log'!$B:$B,A874,'Issuance Log'!$G:$G,$B$4),IF(('Issuance Log'!$B:$B=A874)*('Issuance Log'!$G:$G=$B$4),'Issuance Log'!$D:$D),0)),"-")</f>
        <v>-</v>
      </c>
    </row>
    <row r="875" spans="1:5" x14ac:dyDescent="0.25">
      <c r="A875" s="2" t="s">
        <v>1695</v>
      </c>
      <c r="B875" s="2" t="s">
        <v>1696</v>
      </c>
      <c r="C875" s="3">
        <f>IFERROR(SUMIFS('Issuance Log'!$D:$D,'Issuance Log'!$B:$B,A875,'Issuance Log'!$G:$G,$B$4),0)</f>
        <v>0</v>
      </c>
      <c r="D875" s="3">
        <f>IFERROR(COUNTIFS('Issuance Log'!$B:$B,A875,'Issuance Log'!$G:$G,$B$4),0)</f>
        <v>0</v>
      </c>
      <c r="E875" s="3" t="str">
        <f ca="1">IFERROR(INDEX('Issuance Log'!$E:$E,MATCH(MAXIFS('Issuance Log'!$D:$D,'Issuance Log'!$B:$B,A875,'Issuance Log'!$G:$G,$B$4),IF(('Issuance Log'!$B:$B=A875)*('Issuance Log'!$G:$G=$B$4),'Issuance Log'!$D:$D),0)),"-")</f>
        <v>-</v>
      </c>
    </row>
    <row r="876" spans="1:5" x14ac:dyDescent="0.25">
      <c r="A876" s="4" t="s">
        <v>1697</v>
      </c>
      <c r="B876" s="4" t="s">
        <v>1698</v>
      </c>
      <c r="C876" s="5">
        <f>IFERROR(SUMIFS('Issuance Log'!$D:$D,'Issuance Log'!$B:$B,A876,'Issuance Log'!$G:$G,$B$4),0)</f>
        <v>0</v>
      </c>
      <c r="D876" s="5">
        <f>IFERROR(COUNTIFS('Issuance Log'!$B:$B,A876,'Issuance Log'!$G:$G,$B$4),0)</f>
        <v>0</v>
      </c>
      <c r="E876" s="5" t="str">
        <f ca="1">IFERROR(INDEX('Issuance Log'!$E:$E,MATCH(MAXIFS('Issuance Log'!$D:$D,'Issuance Log'!$B:$B,A876,'Issuance Log'!$G:$G,$B$4),IF(('Issuance Log'!$B:$B=A876)*('Issuance Log'!$G:$G=$B$4),'Issuance Log'!$D:$D),0)),"-")</f>
        <v>-</v>
      </c>
    </row>
    <row r="877" spans="1:5" x14ac:dyDescent="0.25">
      <c r="A877" s="2" t="s">
        <v>1699</v>
      </c>
      <c r="B877" s="2" t="s">
        <v>1700</v>
      </c>
      <c r="C877" s="3">
        <f>IFERROR(SUMIFS('Issuance Log'!$D:$D,'Issuance Log'!$B:$B,A877,'Issuance Log'!$G:$G,$B$4),0)</f>
        <v>0</v>
      </c>
      <c r="D877" s="3">
        <f>IFERROR(COUNTIFS('Issuance Log'!$B:$B,A877,'Issuance Log'!$G:$G,$B$4),0)</f>
        <v>0</v>
      </c>
      <c r="E877" s="3" t="str">
        <f ca="1">IFERROR(INDEX('Issuance Log'!$E:$E,MATCH(MAXIFS('Issuance Log'!$D:$D,'Issuance Log'!$B:$B,A877,'Issuance Log'!$G:$G,$B$4),IF(('Issuance Log'!$B:$B=A877)*('Issuance Log'!$G:$G=$B$4),'Issuance Log'!$D:$D),0)),"-")</f>
        <v>-</v>
      </c>
    </row>
    <row r="878" spans="1:5" x14ac:dyDescent="0.25">
      <c r="A878" s="4" t="s">
        <v>1701</v>
      </c>
      <c r="B878" s="4" t="s">
        <v>1702</v>
      </c>
      <c r="C878" s="5">
        <f>IFERROR(SUMIFS('Issuance Log'!$D:$D,'Issuance Log'!$B:$B,A878,'Issuance Log'!$G:$G,$B$4),0)</f>
        <v>0</v>
      </c>
      <c r="D878" s="5">
        <f>IFERROR(COUNTIFS('Issuance Log'!$B:$B,A878,'Issuance Log'!$G:$G,$B$4),0)</f>
        <v>0</v>
      </c>
      <c r="E878" s="5" t="str">
        <f ca="1">IFERROR(INDEX('Issuance Log'!$E:$E,MATCH(MAXIFS('Issuance Log'!$D:$D,'Issuance Log'!$B:$B,A878,'Issuance Log'!$G:$G,$B$4),IF(('Issuance Log'!$B:$B=A878)*('Issuance Log'!$G:$G=$B$4),'Issuance Log'!$D:$D),0)),"-")</f>
        <v>-</v>
      </c>
    </row>
    <row r="879" spans="1:5" x14ac:dyDescent="0.25">
      <c r="A879" s="2" t="s">
        <v>1703</v>
      </c>
      <c r="B879" s="2" t="s">
        <v>1704</v>
      </c>
      <c r="C879" s="3">
        <f>IFERROR(SUMIFS('Issuance Log'!$D:$D,'Issuance Log'!$B:$B,A879,'Issuance Log'!$G:$G,$B$4),0)</f>
        <v>0</v>
      </c>
      <c r="D879" s="3">
        <f>IFERROR(COUNTIFS('Issuance Log'!$B:$B,A879,'Issuance Log'!$G:$G,$B$4),0)</f>
        <v>0</v>
      </c>
      <c r="E879" s="3" t="str">
        <f ca="1">IFERROR(INDEX('Issuance Log'!$E:$E,MATCH(MAXIFS('Issuance Log'!$D:$D,'Issuance Log'!$B:$B,A879,'Issuance Log'!$G:$G,$B$4),IF(('Issuance Log'!$B:$B=A879)*('Issuance Log'!$G:$G=$B$4),'Issuance Log'!$D:$D),0)),"-")</f>
        <v>-</v>
      </c>
    </row>
    <row r="880" spans="1:5" x14ac:dyDescent="0.25">
      <c r="A880" s="4" t="s">
        <v>1705</v>
      </c>
      <c r="B880" s="4" t="s">
        <v>1706</v>
      </c>
      <c r="C880" s="5">
        <f>IFERROR(SUMIFS('Issuance Log'!$D:$D,'Issuance Log'!$B:$B,A880,'Issuance Log'!$G:$G,$B$4),0)</f>
        <v>0</v>
      </c>
      <c r="D880" s="5">
        <f>IFERROR(COUNTIFS('Issuance Log'!$B:$B,A880,'Issuance Log'!$G:$G,$B$4),0)</f>
        <v>0</v>
      </c>
      <c r="E880" s="5" t="str">
        <f ca="1">IFERROR(INDEX('Issuance Log'!$E:$E,MATCH(MAXIFS('Issuance Log'!$D:$D,'Issuance Log'!$B:$B,A880,'Issuance Log'!$G:$G,$B$4),IF(('Issuance Log'!$B:$B=A880)*('Issuance Log'!$G:$G=$B$4),'Issuance Log'!$D:$D),0)),"-")</f>
        <v>-</v>
      </c>
    </row>
    <row r="881" spans="1:5" x14ac:dyDescent="0.25">
      <c r="A881" s="2" t="s">
        <v>1707</v>
      </c>
      <c r="B881" s="2" t="s">
        <v>1708</v>
      </c>
      <c r="C881" s="3">
        <f>IFERROR(SUMIFS('Issuance Log'!$D:$D,'Issuance Log'!$B:$B,A881,'Issuance Log'!$G:$G,$B$4),0)</f>
        <v>0</v>
      </c>
      <c r="D881" s="3">
        <f>IFERROR(COUNTIFS('Issuance Log'!$B:$B,A881,'Issuance Log'!$G:$G,$B$4),0)</f>
        <v>0</v>
      </c>
      <c r="E881" s="3" t="str">
        <f ca="1">IFERROR(INDEX('Issuance Log'!$E:$E,MATCH(MAXIFS('Issuance Log'!$D:$D,'Issuance Log'!$B:$B,A881,'Issuance Log'!$G:$G,$B$4),IF(('Issuance Log'!$B:$B=A881)*('Issuance Log'!$G:$G=$B$4),'Issuance Log'!$D:$D),0)),"-")</f>
        <v>-</v>
      </c>
    </row>
    <row r="882" spans="1:5" x14ac:dyDescent="0.25">
      <c r="A882" s="4" t="s">
        <v>1709</v>
      </c>
      <c r="B882" s="4" t="s">
        <v>1710</v>
      </c>
      <c r="C882" s="5">
        <f>IFERROR(SUMIFS('Issuance Log'!$D:$D,'Issuance Log'!$B:$B,A882,'Issuance Log'!$G:$G,$B$4),0)</f>
        <v>0</v>
      </c>
      <c r="D882" s="5">
        <f>IFERROR(COUNTIFS('Issuance Log'!$B:$B,A882,'Issuance Log'!$G:$G,$B$4),0)</f>
        <v>0</v>
      </c>
      <c r="E882" s="5" t="str">
        <f ca="1">IFERROR(INDEX('Issuance Log'!$E:$E,MATCH(MAXIFS('Issuance Log'!$D:$D,'Issuance Log'!$B:$B,A882,'Issuance Log'!$G:$G,$B$4),IF(('Issuance Log'!$B:$B=A882)*('Issuance Log'!$G:$G=$B$4),'Issuance Log'!$D:$D),0)),"-")</f>
        <v>-</v>
      </c>
    </row>
    <row r="883" spans="1:5" x14ac:dyDescent="0.25">
      <c r="A883" s="2" t="s">
        <v>1711</v>
      </c>
      <c r="B883" s="2" t="s">
        <v>1712</v>
      </c>
      <c r="C883" s="3">
        <f>IFERROR(SUMIFS('Issuance Log'!$D:$D,'Issuance Log'!$B:$B,A883,'Issuance Log'!$G:$G,$B$4),0)</f>
        <v>0</v>
      </c>
      <c r="D883" s="3">
        <f>IFERROR(COUNTIFS('Issuance Log'!$B:$B,A883,'Issuance Log'!$G:$G,$B$4),0)</f>
        <v>0</v>
      </c>
      <c r="E883" s="3" t="str">
        <f ca="1">IFERROR(INDEX('Issuance Log'!$E:$E,MATCH(MAXIFS('Issuance Log'!$D:$D,'Issuance Log'!$B:$B,A883,'Issuance Log'!$G:$G,$B$4),IF(('Issuance Log'!$B:$B=A883)*('Issuance Log'!$G:$G=$B$4),'Issuance Log'!$D:$D),0)),"-")</f>
        <v>-</v>
      </c>
    </row>
    <row r="884" spans="1:5" x14ac:dyDescent="0.25">
      <c r="A884" s="4" t="s">
        <v>1713</v>
      </c>
      <c r="B884" s="4" t="s">
        <v>1714</v>
      </c>
      <c r="C884" s="5">
        <f>IFERROR(SUMIFS('Issuance Log'!$D:$D,'Issuance Log'!$B:$B,A884,'Issuance Log'!$G:$G,$B$4),0)</f>
        <v>0</v>
      </c>
      <c r="D884" s="5">
        <f>IFERROR(COUNTIFS('Issuance Log'!$B:$B,A884,'Issuance Log'!$G:$G,$B$4),0)</f>
        <v>0</v>
      </c>
      <c r="E884" s="5" t="str">
        <f ca="1">IFERROR(INDEX('Issuance Log'!$E:$E,MATCH(MAXIFS('Issuance Log'!$D:$D,'Issuance Log'!$B:$B,A884,'Issuance Log'!$G:$G,$B$4),IF(('Issuance Log'!$B:$B=A884)*('Issuance Log'!$G:$G=$B$4),'Issuance Log'!$D:$D),0)),"-")</f>
        <v>-</v>
      </c>
    </row>
    <row r="885" spans="1:5" x14ac:dyDescent="0.25">
      <c r="A885" s="2" t="s">
        <v>1715</v>
      </c>
      <c r="B885" s="2" t="s">
        <v>1716</v>
      </c>
      <c r="C885" s="3">
        <f>IFERROR(SUMIFS('Issuance Log'!$D:$D,'Issuance Log'!$B:$B,A885,'Issuance Log'!$G:$G,$B$4),0)</f>
        <v>0</v>
      </c>
      <c r="D885" s="3">
        <f>IFERROR(COUNTIFS('Issuance Log'!$B:$B,A885,'Issuance Log'!$G:$G,$B$4),0)</f>
        <v>0</v>
      </c>
      <c r="E885" s="3" t="str">
        <f ca="1">IFERROR(INDEX('Issuance Log'!$E:$E,MATCH(MAXIFS('Issuance Log'!$D:$D,'Issuance Log'!$B:$B,A885,'Issuance Log'!$G:$G,$B$4),IF(('Issuance Log'!$B:$B=A885)*('Issuance Log'!$G:$G=$B$4),'Issuance Log'!$D:$D),0)),"-")</f>
        <v>-</v>
      </c>
    </row>
    <row r="886" spans="1:5" x14ac:dyDescent="0.25">
      <c r="A886" s="4" t="s">
        <v>1717</v>
      </c>
      <c r="B886" s="4" t="s">
        <v>1718</v>
      </c>
      <c r="C886" s="5">
        <f>IFERROR(SUMIFS('Issuance Log'!$D:$D,'Issuance Log'!$B:$B,A886,'Issuance Log'!$G:$G,$B$4),0)</f>
        <v>0</v>
      </c>
      <c r="D886" s="5">
        <f>IFERROR(COUNTIFS('Issuance Log'!$B:$B,A886,'Issuance Log'!$G:$G,$B$4),0)</f>
        <v>0</v>
      </c>
      <c r="E886" s="5" t="str">
        <f ca="1">IFERROR(INDEX('Issuance Log'!$E:$E,MATCH(MAXIFS('Issuance Log'!$D:$D,'Issuance Log'!$B:$B,A886,'Issuance Log'!$G:$G,$B$4),IF(('Issuance Log'!$B:$B=A886)*('Issuance Log'!$G:$G=$B$4),'Issuance Log'!$D:$D),0)),"-")</f>
        <v>-</v>
      </c>
    </row>
    <row r="887" spans="1:5" x14ac:dyDescent="0.25">
      <c r="A887" s="2" t="s">
        <v>1719</v>
      </c>
      <c r="B887" s="2" t="s">
        <v>1720</v>
      </c>
      <c r="C887" s="3">
        <f>IFERROR(SUMIFS('Issuance Log'!$D:$D,'Issuance Log'!$B:$B,A887,'Issuance Log'!$G:$G,$B$4),0)</f>
        <v>0</v>
      </c>
      <c r="D887" s="3">
        <f>IFERROR(COUNTIFS('Issuance Log'!$B:$B,A887,'Issuance Log'!$G:$G,$B$4),0)</f>
        <v>0</v>
      </c>
      <c r="E887" s="3" t="str">
        <f ca="1">IFERROR(INDEX('Issuance Log'!$E:$E,MATCH(MAXIFS('Issuance Log'!$D:$D,'Issuance Log'!$B:$B,A887,'Issuance Log'!$G:$G,$B$4),IF(('Issuance Log'!$B:$B=A887)*('Issuance Log'!$G:$G=$B$4),'Issuance Log'!$D:$D),0)),"-")</f>
        <v>-</v>
      </c>
    </row>
    <row r="888" spans="1:5" x14ac:dyDescent="0.25">
      <c r="A888" s="4" t="s">
        <v>1721</v>
      </c>
      <c r="B888" s="4" t="s">
        <v>1722</v>
      </c>
      <c r="C888" s="5">
        <f>IFERROR(SUMIFS('Issuance Log'!$D:$D,'Issuance Log'!$B:$B,A888,'Issuance Log'!$G:$G,$B$4),0)</f>
        <v>0</v>
      </c>
      <c r="D888" s="5">
        <f>IFERROR(COUNTIFS('Issuance Log'!$B:$B,A888,'Issuance Log'!$G:$G,$B$4),0)</f>
        <v>0</v>
      </c>
      <c r="E888" s="5" t="str">
        <f ca="1">IFERROR(INDEX('Issuance Log'!$E:$E,MATCH(MAXIFS('Issuance Log'!$D:$D,'Issuance Log'!$B:$B,A888,'Issuance Log'!$G:$G,$B$4),IF(('Issuance Log'!$B:$B=A888)*('Issuance Log'!$G:$G=$B$4),'Issuance Log'!$D:$D),0)),"-")</f>
        <v>-</v>
      </c>
    </row>
    <row r="889" spans="1:5" x14ac:dyDescent="0.25">
      <c r="A889" s="2" t="s">
        <v>1723</v>
      </c>
      <c r="B889" s="2" t="s">
        <v>1724</v>
      </c>
      <c r="C889" s="3">
        <f>IFERROR(SUMIFS('Issuance Log'!$D:$D,'Issuance Log'!$B:$B,A889,'Issuance Log'!$G:$G,$B$4),0)</f>
        <v>0</v>
      </c>
      <c r="D889" s="3">
        <f>IFERROR(COUNTIFS('Issuance Log'!$B:$B,A889,'Issuance Log'!$G:$G,$B$4),0)</f>
        <v>0</v>
      </c>
      <c r="E889" s="3" t="str">
        <f ca="1">IFERROR(INDEX('Issuance Log'!$E:$E,MATCH(MAXIFS('Issuance Log'!$D:$D,'Issuance Log'!$B:$B,A889,'Issuance Log'!$G:$G,$B$4),IF(('Issuance Log'!$B:$B=A889)*('Issuance Log'!$G:$G=$B$4),'Issuance Log'!$D:$D),0)),"-")</f>
        <v>-</v>
      </c>
    </row>
    <row r="890" spans="1:5" x14ac:dyDescent="0.25">
      <c r="A890" s="4" t="s">
        <v>1725</v>
      </c>
      <c r="B890" s="4" t="s">
        <v>1726</v>
      </c>
      <c r="C890" s="5">
        <f>IFERROR(SUMIFS('Issuance Log'!$D:$D,'Issuance Log'!$B:$B,A890,'Issuance Log'!$G:$G,$B$4),0)</f>
        <v>0</v>
      </c>
      <c r="D890" s="5">
        <f>IFERROR(COUNTIFS('Issuance Log'!$B:$B,A890,'Issuance Log'!$G:$G,$B$4),0)</f>
        <v>0</v>
      </c>
      <c r="E890" s="5" t="str">
        <f ca="1">IFERROR(INDEX('Issuance Log'!$E:$E,MATCH(MAXIFS('Issuance Log'!$D:$D,'Issuance Log'!$B:$B,A890,'Issuance Log'!$G:$G,$B$4),IF(('Issuance Log'!$B:$B=A890)*('Issuance Log'!$G:$G=$B$4),'Issuance Log'!$D:$D),0)),"-")</f>
        <v>-</v>
      </c>
    </row>
    <row r="891" spans="1:5" x14ac:dyDescent="0.25">
      <c r="A891" s="2" t="s">
        <v>1727</v>
      </c>
      <c r="B891" s="2" t="s">
        <v>1728</v>
      </c>
      <c r="C891" s="3">
        <f>IFERROR(SUMIFS('Issuance Log'!$D:$D,'Issuance Log'!$B:$B,A891,'Issuance Log'!$G:$G,$B$4),0)</f>
        <v>0</v>
      </c>
      <c r="D891" s="3">
        <f>IFERROR(COUNTIFS('Issuance Log'!$B:$B,A891,'Issuance Log'!$G:$G,$B$4),0)</f>
        <v>0</v>
      </c>
      <c r="E891" s="3" t="str">
        <f ca="1">IFERROR(INDEX('Issuance Log'!$E:$E,MATCH(MAXIFS('Issuance Log'!$D:$D,'Issuance Log'!$B:$B,A891,'Issuance Log'!$G:$G,$B$4),IF(('Issuance Log'!$B:$B=A891)*('Issuance Log'!$G:$G=$B$4),'Issuance Log'!$D:$D),0)),"-")</f>
        <v>-</v>
      </c>
    </row>
    <row r="892" spans="1:5" x14ac:dyDescent="0.25">
      <c r="A892" s="4" t="s">
        <v>1729</v>
      </c>
      <c r="B892" s="4" t="s">
        <v>1730</v>
      </c>
      <c r="C892" s="5">
        <f>IFERROR(SUMIFS('Issuance Log'!$D:$D,'Issuance Log'!$B:$B,A892,'Issuance Log'!$G:$G,$B$4),0)</f>
        <v>0</v>
      </c>
      <c r="D892" s="5">
        <f>IFERROR(COUNTIFS('Issuance Log'!$B:$B,A892,'Issuance Log'!$G:$G,$B$4),0)</f>
        <v>0</v>
      </c>
      <c r="E892" s="5" t="str">
        <f ca="1">IFERROR(INDEX('Issuance Log'!$E:$E,MATCH(MAXIFS('Issuance Log'!$D:$D,'Issuance Log'!$B:$B,A892,'Issuance Log'!$G:$G,$B$4),IF(('Issuance Log'!$B:$B=A892)*('Issuance Log'!$G:$G=$B$4),'Issuance Log'!$D:$D),0)),"-")</f>
        <v>-</v>
      </c>
    </row>
    <row r="893" spans="1:5" x14ac:dyDescent="0.25">
      <c r="A893" s="2" t="s">
        <v>1731</v>
      </c>
      <c r="B893" s="2" t="s">
        <v>1732</v>
      </c>
      <c r="C893" s="3">
        <f>IFERROR(SUMIFS('Issuance Log'!$D:$D,'Issuance Log'!$B:$B,A893,'Issuance Log'!$G:$G,$B$4),0)</f>
        <v>0</v>
      </c>
      <c r="D893" s="3">
        <f>IFERROR(COUNTIFS('Issuance Log'!$B:$B,A893,'Issuance Log'!$G:$G,$B$4),0)</f>
        <v>0</v>
      </c>
      <c r="E893" s="3" t="str">
        <f ca="1">IFERROR(INDEX('Issuance Log'!$E:$E,MATCH(MAXIFS('Issuance Log'!$D:$D,'Issuance Log'!$B:$B,A893,'Issuance Log'!$G:$G,$B$4),IF(('Issuance Log'!$B:$B=A893)*('Issuance Log'!$G:$G=$B$4),'Issuance Log'!$D:$D),0)),"-")</f>
        <v>-</v>
      </c>
    </row>
    <row r="894" spans="1:5" x14ac:dyDescent="0.25">
      <c r="A894" s="4" t="s">
        <v>1733</v>
      </c>
      <c r="B894" s="4" t="s">
        <v>1734</v>
      </c>
      <c r="C894" s="5">
        <f>IFERROR(SUMIFS('Issuance Log'!$D:$D,'Issuance Log'!$B:$B,A894,'Issuance Log'!$G:$G,$B$4),0)</f>
        <v>0</v>
      </c>
      <c r="D894" s="5">
        <f>IFERROR(COUNTIFS('Issuance Log'!$B:$B,A894,'Issuance Log'!$G:$G,$B$4),0)</f>
        <v>0</v>
      </c>
      <c r="E894" s="5" t="str">
        <f ca="1">IFERROR(INDEX('Issuance Log'!$E:$E,MATCH(MAXIFS('Issuance Log'!$D:$D,'Issuance Log'!$B:$B,A894,'Issuance Log'!$G:$G,$B$4),IF(('Issuance Log'!$B:$B=A894)*('Issuance Log'!$G:$G=$B$4),'Issuance Log'!$D:$D),0)),"-")</f>
        <v>-</v>
      </c>
    </row>
    <row r="895" spans="1:5" x14ac:dyDescent="0.25">
      <c r="A895" s="2" t="s">
        <v>1735</v>
      </c>
      <c r="B895" s="2" t="s">
        <v>1736</v>
      </c>
      <c r="C895" s="3">
        <f>IFERROR(SUMIFS('Issuance Log'!$D:$D,'Issuance Log'!$B:$B,A895,'Issuance Log'!$G:$G,$B$4),0)</f>
        <v>0</v>
      </c>
      <c r="D895" s="3">
        <f>IFERROR(COUNTIFS('Issuance Log'!$B:$B,A895,'Issuance Log'!$G:$G,$B$4),0)</f>
        <v>0</v>
      </c>
      <c r="E895" s="3" t="str">
        <f ca="1">IFERROR(INDEX('Issuance Log'!$E:$E,MATCH(MAXIFS('Issuance Log'!$D:$D,'Issuance Log'!$B:$B,A895,'Issuance Log'!$G:$G,$B$4),IF(('Issuance Log'!$B:$B=A895)*('Issuance Log'!$G:$G=$B$4),'Issuance Log'!$D:$D),0)),"-")</f>
        <v>-</v>
      </c>
    </row>
    <row r="896" spans="1:5" x14ac:dyDescent="0.25">
      <c r="A896" s="4" t="s">
        <v>1737</v>
      </c>
      <c r="B896" s="4" t="s">
        <v>1738</v>
      </c>
      <c r="C896" s="5">
        <f>IFERROR(SUMIFS('Issuance Log'!$D:$D,'Issuance Log'!$B:$B,A896,'Issuance Log'!$G:$G,$B$4),0)</f>
        <v>0</v>
      </c>
      <c r="D896" s="5">
        <f>IFERROR(COUNTIFS('Issuance Log'!$B:$B,A896,'Issuance Log'!$G:$G,$B$4),0)</f>
        <v>0</v>
      </c>
      <c r="E896" s="5" t="str">
        <f ca="1">IFERROR(INDEX('Issuance Log'!$E:$E,MATCH(MAXIFS('Issuance Log'!$D:$D,'Issuance Log'!$B:$B,A896,'Issuance Log'!$G:$G,$B$4),IF(('Issuance Log'!$B:$B=A896)*('Issuance Log'!$G:$G=$B$4),'Issuance Log'!$D:$D),0)),"-")</f>
        <v>-</v>
      </c>
    </row>
    <row r="897" spans="1:5" x14ac:dyDescent="0.25">
      <c r="A897" s="2" t="s">
        <v>1739</v>
      </c>
      <c r="B897" s="2" t="s">
        <v>1740</v>
      </c>
      <c r="C897" s="3">
        <f>IFERROR(SUMIFS('Issuance Log'!$D:$D,'Issuance Log'!$B:$B,A897,'Issuance Log'!$G:$G,$B$4),0)</f>
        <v>0</v>
      </c>
      <c r="D897" s="3">
        <f>IFERROR(COUNTIFS('Issuance Log'!$B:$B,A897,'Issuance Log'!$G:$G,$B$4),0)</f>
        <v>0</v>
      </c>
      <c r="E897" s="3" t="str">
        <f ca="1">IFERROR(INDEX('Issuance Log'!$E:$E,MATCH(MAXIFS('Issuance Log'!$D:$D,'Issuance Log'!$B:$B,A897,'Issuance Log'!$G:$G,$B$4),IF(('Issuance Log'!$B:$B=A897)*('Issuance Log'!$G:$G=$B$4),'Issuance Log'!$D:$D),0)),"-")</f>
        <v>-</v>
      </c>
    </row>
    <row r="898" spans="1:5" x14ac:dyDescent="0.25">
      <c r="A898" s="4" t="s">
        <v>1741</v>
      </c>
      <c r="B898" s="4" t="s">
        <v>1742</v>
      </c>
      <c r="C898" s="5">
        <f>IFERROR(SUMIFS('Issuance Log'!$D:$D,'Issuance Log'!$B:$B,A898,'Issuance Log'!$G:$G,$B$4),0)</f>
        <v>0</v>
      </c>
      <c r="D898" s="5">
        <f>IFERROR(COUNTIFS('Issuance Log'!$B:$B,A898,'Issuance Log'!$G:$G,$B$4),0)</f>
        <v>0</v>
      </c>
      <c r="E898" s="5" t="str">
        <f ca="1">IFERROR(INDEX('Issuance Log'!$E:$E,MATCH(MAXIFS('Issuance Log'!$D:$D,'Issuance Log'!$B:$B,A898,'Issuance Log'!$G:$G,$B$4),IF(('Issuance Log'!$B:$B=A898)*('Issuance Log'!$G:$G=$B$4),'Issuance Log'!$D:$D),0)),"-")</f>
        <v>-</v>
      </c>
    </row>
    <row r="899" spans="1:5" x14ac:dyDescent="0.25">
      <c r="A899" s="2" t="s">
        <v>1743</v>
      </c>
      <c r="B899" s="2" t="s">
        <v>1744</v>
      </c>
      <c r="C899" s="3">
        <f>IFERROR(SUMIFS('Issuance Log'!$D:$D,'Issuance Log'!$B:$B,A899,'Issuance Log'!$G:$G,$B$4),0)</f>
        <v>0</v>
      </c>
      <c r="D899" s="3">
        <f>IFERROR(COUNTIFS('Issuance Log'!$B:$B,A899,'Issuance Log'!$G:$G,$B$4),0)</f>
        <v>0</v>
      </c>
      <c r="E899" s="3" t="str">
        <f ca="1">IFERROR(INDEX('Issuance Log'!$E:$E,MATCH(MAXIFS('Issuance Log'!$D:$D,'Issuance Log'!$B:$B,A899,'Issuance Log'!$G:$G,$B$4),IF(('Issuance Log'!$B:$B=A899)*('Issuance Log'!$G:$G=$B$4),'Issuance Log'!$D:$D),0)),"-")</f>
        <v>-</v>
      </c>
    </row>
    <row r="900" spans="1:5" x14ac:dyDescent="0.25">
      <c r="A900" s="4" t="s">
        <v>1745</v>
      </c>
      <c r="B900" s="4" t="s">
        <v>1746</v>
      </c>
      <c r="C900" s="5">
        <f>IFERROR(SUMIFS('Issuance Log'!$D:$D,'Issuance Log'!$B:$B,A900,'Issuance Log'!$G:$G,$B$4),0)</f>
        <v>0</v>
      </c>
      <c r="D900" s="5">
        <f>IFERROR(COUNTIFS('Issuance Log'!$B:$B,A900,'Issuance Log'!$G:$G,$B$4),0)</f>
        <v>0</v>
      </c>
      <c r="E900" s="5" t="str">
        <f ca="1">IFERROR(INDEX('Issuance Log'!$E:$E,MATCH(MAXIFS('Issuance Log'!$D:$D,'Issuance Log'!$B:$B,A900,'Issuance Log'!$G:$G,$B$4),IF(('Issuance Log'!$B:$B=A900)*('Issuance Log'!$G:$G=$B$4),'Issuance Log'!$D:$D),0)),"-")</f>
        <v>-</v>
      </c>
    </row>
    <row r="901" spans="1:5" x14ac:dyDescent="0.25">
      <c r="A901" s="2" t="s">
        <v>1747</v>
      </c>
      <c r="B901" s="2" t="s">
        <v>1748</v>
      </c>
      <c r="C901" s="3">
        <f>IFERROR(SUMIFS('Issuance Log'!$D:$D,'Issuance Log'!$B:$B,A901,'Issuance Log'!$G:$G,$B$4),0)</f>
        <v>0</v>
      </c>
      <c r="D901" s="3">
        <f>IFERROR(COUNTIFS('Issuance Log'!$B:$B,A901,'Issuance Log'!$G:$G,$B$4),0)</f>
        <v>0</v>
      </c>
      <c r="E901" s="3" t="str">
        <f ca="1">IFERROR(INDEX('Issuance Log'!$E:$E,MATCH(MAXIFS('Issuance Log'!$D:$D,'Issuance Log'!$B:$B,A901,'Issuance Log'!$G:$G,$B$4),IF(('Issuance Log'!$B:$B=A901)*('Issuance Log'!$G:$G=$B$4),'Issuance Log'!$D:$D),0)),"-")</f>
        <v>-</v>
      </c>
    </row>
    <row r="902" spans="1:5" x14ac:dyDescent="0.25">
      <c r="A902" s="4" t="s">
        <v>1749</v>
      </c>
      <c r="B902" s="4" t="s">
        <v>1750</v>
      </c>
      <c r="C902" s="5">
        <f>IFERROR(SUMIFS('Issuance Log'!$D:$D,'Issuance Log'!$B:$B,A902,'Issuance Log'!$G:$G,$B$4),0)</f>
        <v>0</v>
      </c>
      <c r="D902" s="5">
        <f>IFERROR(COUNTIFS('Issuance Log'!$B:$B,A902,'Issuance Log'!$G:$G,$B$4),0)</f>
        <v>0</v>
      </c>
      <c r="E902" s="5" t="str">
        <f ca="1">IFERROR(INDEX('Issuance Log'!$E:$E,MATCH(MAXIFS('Issuance Log'!$D:$D,'Issuance Log'!$B:$B,A902,'Issuance Log'!$G:$G,$B$4),IF(('Issuance Log'!$B:$B=A902)*('Issuance Log'!$G:$G=$B$4),'Issuance Log'!$D:$D),0)),"-")</f>
        <v>-</v>
      </c>
    </row>
    <row r="903" spans="1:5" x14ac:dyDescent="0.25">
      <c r="A903" s="2" t="s">
        <v>1751</v>
      </c>
      <c r="B903" s="2" t="s">
        <v>1752</v>
      </c>
      <c r="C903" s="3">
        <f>IFERROR(SUMIFS('Issuance Log'!$D:$D,'Issuance Log'!$B:$B,A903,'Issuance Log'!$G:$G,$B$4),0)</f>
        <v>0</v>
      </c>
      <c r="D903" s="3">
        <f>IFERROR(COUNTIFS('Issuance Log'!$B:$B,A903,'Issuance Log'!$G:$G,$B$4),0)</f>
        <v>0</v>
      </c>
      <c r="E903" s="3" t="str">
        <f ca="1">IFERROR(INDEX('Issuance Log'!$E:$E,MATCH(MAXIFS('Issuance Log'!$D:$D,'Issuance Log'!$B:$B,A903,'Issuance Log'!$G:$G,$B$4),IF(('Issuance Log'!$B:$B=A903)*('Issuance Log'!$G:$G=$B$4),'Issuance Log'!$D:$D),0)),"-")</f>
        <v>-</v>
      </c>
    </row>
    <row r="904" spans="1:5" x14ac:dyDescent="0.25">
      <c r="A904" s="4" t="s">
        <v>1753</v>
      </c>
      <c r="B904" s="4" t="s">
        <v>1754</v>
      </c>
      <c r="C904" s="5">
        <f>IFERROR(SUMIFS('Issuance Log'!$D:$D,'Issuance Log'!$B:$B,A904,'Issuance Log'!$G:$G,$B$4),0)</f>
        <v>0</v>
      </c>
      <c r="D904" s="5">
        <f>IFERROR(COUNTIFS('Issuance Log'!$B:$B,A904,'Issuance Log'!$G:$G,$B$4),0)</f>
        <v>0</v>
      </c>
      <c r="E904" s="5" t="str">
        <f ca="1">IFERROR(INDEX('Issuance Log'!$E:$E,MATCH(MAXIFS('Issuance Log'!$D:$D,'Issuance Log'!$B:$B,A904,'Issuance Log'!$G:$G,$B$4),IF(('Issuance Log'!$B:$B=A904)*('Issuance Log'!$G:$G=$B$4),'Issuance Log'!$D:$D),0)),"-")</f>
        <v>-</v>
      </c>
    </row>
    <row r="905" spans="1:5" x14ac:dyDescent="0.25">
      <c r="A905" s="2" t="s">
        <v>1755</v>
      </c>
      <c r="B905" s="2" t="s">
        <v>1756</v>
      </c>
      <c r="C905" s="3">
        <f>IFERROR(SUMIFS('Issuance Log'!$D:$D,'Issuance Log'!$B:$B,A905,'Issuance Log'!$G:$G,$B$4),0)</f>
        <v>0</v>
      </c>
      <c r="D905" s="3">
        <f>IFERROR(COUNTIFS('Issuance Log'!$B:$B,A905,'Issuance Log'!$G:$G,$B$4),0)</f>
        <v>0</v>
      </c>
      <c r="E905" s="3" t="str">
        <f ca="1">IFERROR(INDEX('Issuance Log'!$E:$E,MATCH(MAXIFS('Issuance Log'!$D:$D,'Issuance Log'!$B:$B,A905,'Issuance Log'!$G:$G,$B$4),IF(('Issuance Log'!$B:$B=A905)*('Issuance Log'!$G:$G=$B$4),'Issuance Log'!$D:$D),0)),"-")</f>
        <v>-</v>
      </c>
    </row>
    <row r="906" spans="1:5" x14ac:dyDescent="0.25">
      <c r="A906" s="4" t="s">
        <v>1757</v>
      </c>
      <c r="B906" s="4" t="s">
        <v>1758</v>
      </c>
      <c r="C906" s="5">
        <f>IFERROR(SUMIFS('Issuance Log'!$D:$D,'Issuance Log'!$B:$B,A906,'Issuance Log'!$G:$G,$B$4),0)</f>
        <v>0</v>
      </c>
      <c r="D906" s="5">
        <f>IFERROR(COUNTIFS('Issuance Log'!$B:$B,A906,'Issuance Log'!$G:$G,$B$4),0)</f>
        <v>0</v>
      </c>
      <c r="E906" s="5" t="str">
        <f ca="1">IFERROR(INDEX('Issuance Log'!$E:$E,MATCH(MAXIFS('Issuance Log'!$D:$D,'Issuance Log'!$B:$B,A906,'Issuance Log'!$G:$G,$B$4),IF(('Issuance Log'!$B:$B=A906)*('Issuance Log'!$G:$G=$B$4),'Issuance Log'!$D:$D),0)),"-")</f>
        <v>-</v>
      </c>
    </row>
    <row r="907" spans="1:5" x14ac:dyDescent="0.25">
      <c r="A907" s="2" t="s">
        <v>1759</v>
      </c>
      <c r="B907" s="2" t="s">
        <v>1760</v>
      </c>
      <c r="C907" s="3">
        <f>IFERROR(SUMIFS('Issuance Log'!$D:$D,'Issuance Log'!$B:$B,A907,'Issuance Log'!$G:$G,$B$4),0)</f>
        <v>0</v>
      </c>
      <c r="D907" s="3">
        <f>IFERROR(COUNTIFS('Issuance Log'!$B:$B,A907,'Issuance Log'!$G:$G,$B$4),0)</f>
        <v>0</v>
      </c>
      <c r="E907" s="3" t="str">
        <f ca="1">IFERROR(INDEX('Issuance Log'!$E:$E,MATCH(MAXIFS('Issuance Log'!$D:$D,'Issuance Log'!$B:$B,A907,'Issuance Log'!$G:$G,$B$4),IF(('Issuance Log'!$B:$B=A907)*('Issuance Log'!$G:$G=$B$4),'Issuance Log'!$D:$D),0)),"-")</f>
        <v>-</v>
      </c>
    </row>
    <row r="908" spans="1:5" x14ac:dyDescent="0.25">
      <c r="A908" s="4" t="s">
        <v>1761</v>
      </c>
      <c r="B908" s="4" t="s">
        <v>1762</v>
      </c>
      <c r="C908" s="5">
        <f>IFERROR(SUMIFS('Issuance Log'!$D:$D,'Issuance Log'!$B:$B,A908,'Issuance Log'!$G:$G,$B$4),0)</f>
        <v>0</v>
      </c>
      <c r="D908" s="5">
        <f>IFERROR(COUNTIFS('Issuance Log'!$B:$B,A908,'Issuance Log'!$G:$G,$B$4),0)</f>
        <v>0</v>
      </c>
      <c r="E908" s="5" t="str">
        <f ca="1">IFERROR(INDEX('Issuance Log'!$E:$E,MATCH(MAXIFS('Issuance Log'!$D:$D,'Issuance Log'!$B:$B,A908,'Issuance Log'!$G:$G,$B$4),IF(('Issuance Log'!$B:$B=A908)*('Issuance Log'!$G:$G=$B$4),'Issuance Log'!$D:$D),0)),"-")</f>
        <v>-</v>
      </c>
    </row>
    <row r="909" spans="1:5" x14ac:dyDescent="0.25">
      <c r="A909" s="2" t="s">
        <v>1763</v>
      </c>
      <c r="B909" s="2" t="s">
        <v>1764</v>
      </c>
      <c r="C909" s="3">
        <f>IFERROR(SUMIFS('Issuance Log'!$D:$D,'Issuance Log'!$B:$B,A909,'Issuance Log'!$G:$G,$B$4),0)</f>
        <v>0</v>
      </c>
      <c r="D909" s="3">
        <f>IFERROR(COUNTIFS('Issuance Log'!$B:$B,A909,'Issuance Log'!$G:$G,$B$4),0)</f>
        <v>0</v>
      </c>
      <c r="E909" s="3" t="str">
        <f ca="1">IFERROR(INDEX('Issuance Log'!$E:$E,MATCH(MAXIFS('Issuance Log'!$D:$D,'Issuance Log'!$B:$B,A909,'Issuance Log'!$G:$G,$B$4),IF(('Issuance Log'!$B:$B=A909)*('Issuance Log'!$G:$G=$B$4),'Issuance Log'!$D:$D),0)),"-")</f>
        <v>-</v>
      </c>
    </row>
    <row r="910" spans="1:5" x14ac:dyDescent="0.25">
      <c r="A910" s="4" t="s">
        <v>1765</v>
      </c>
      <c r="B910" s="4" t="s">
        <v>1766</v>
      </c>
      <c r="C910" s="5">
        <f>IFERROR(SUMIFS('Issuance Log'!$D:$D,'Issuance Log'!$B:$B,A910,'Issuance Log'!$G:$G,$B$4),0)</f>
        <v>0</v>
      </c>
      <c r="D910" s="5">
        <f>IFERROR(COUNTIFS('Issuance Log'!$B:$B,A910,'Issuance Log'!$G:$G,$B$4),0)</f>
        <v>0</v>
      </c>
      <c r="E910" s="5" t="str">
        <f ca="1">IFERROR(INDEX('Issuance Log'!$E:$E,MATCH(MAXIFS('Issuance Log'!$D:$D,'Issuance Log'!$B:$B,A910,'Issuance Log'!$G:$G,$B$4),IF(('Issuance Log'!$B:$B=A910)*('Issuance Log'!$G:$G=$B$4),'Issuance Log'!$D:$D),0)),"-")</f>
        <v>-</v>
      </c>
    </row>
    <row r="911" spans="1:5" x14ac:dyDescent="0.25">
      <c r="A911" s="2" t="s">
        <v>1767</v>
      </c>
      <c r="B911" s="2" t="s">
        <v>1768</v>
      </c>
      <c r="C911" s="3">
        <f>IFERROR(SUMIFS('Issuance Log'!$D:$D,'Issuance Log'!$B:$B,A911,'Issuance Log'!$G:$G,$B$4),0)</f>
        <v>0</v>
      </c>
      <c r="D911" s="3">
        <f>IFERROR(COUNTIFS('Issuance Log'!$B:$B,A911,'Issuance Log'!$G:$G,$B$4),0)</f>
        <v>0</v>
      </c>
      <c r="E911" s="3" t="str">
        <f ca="1">IFERROR(INDEX('Issuance Log'!$E:$E,MATCH(MAXIFS('Issuance Log'!$D:$D,'Issuance Log'!$B:$B,A911,'Issuance Log'!$G:$G,$B$4),IF(('Issuance Log'!$B:$B=A911)*('Issuance Log'!$G:$G=$B$4),'Issuance Log'!$D:$D),0)),"-")</f>
        <v>-</v>
      </c>
    </row>
    <row r="912" spans="1:5" x14ac:dyDescent="0.25">
      <c r="A912" s="4" t="s">
        <v>1769</v>
      </c>
      <c r="B912" s="4" t="s">
        <v>1770</v>
      </c>
      <c r="C912" s="5">
        <f>IFERROR(SUMIFS('Issuance Log'!$D:$D,'Issuance Log'!$B:$B,A912,'Issuance Log'!$G:$G,$B$4),0)</f>
        <v>0</v>
      </c>
      <c r="D912" s="5">
        <f>IFERROR(COUNTIFS('Issuance Log'!$B:$B,A912,'Issuance Log'!$G:$G,$B$4),0)</f>
        <v>0</v>
      </c>
      <c r="E912" s="5" t="str">
        <f ca="1">IFERROR(INDEX('Issuance Log'!$E:$E,MATCH(MAXIFS('Issuance Log'!$D:$D,'Issuance Log'!$B:$B,A912,'Issuance Log'!$G:$G,$B$4),IF(('Issuance Log'!$B:$B=A912)*('Issuance Log'!$G:$G=$B$4),'Issuance Log'!$D:$D),0)),"-")</f>
        <v>-</v>
      </c>
    </row>
    <row r="913" spans="1:5" x14ac:dyDescent="0.25">
      <c r="A913" s="2" t="s">
        <v>1771</v>
      </c>
      <c r="B913" s="2" t="s">
        <v>1772</v>
      </c>
      <c r="C913" s="3">
        <f>IFERROR(SUMIFS('Issuance Log'!$D:$D,'Issuance Log'!$B:$B,A913,'Issuance Log'!$G:$G,$B$4),0)</f>
        <v>0</v>
      </c>
      <c r="D913" s="3">
        <f>IFERROR(COUNTIFS('Issuance Log'!$B:$B,A913,'Issuance Log'!$G:$G,$B$4),0)</f>
        <v>0</v>
      </c>
      <c r="E913" s="3" t="str">
        <f ca="1">IFERROR(INDEX('Issuance Log'!$E:$E,MATCH(MAXIFS('Issuance Log'!$D:$D,'Issuance Log'!$B:$B,A913,'Issuance Log'!$G:$G,$B$4),IF(('Issuance Log'!$B:$B=A913)*('Issuance Log'!$G:$G=$B$4),'Issuance Log'!$D:$D),0)),"-")</f>
        <v>-</v>
      </c>
    </row>
    <row r="914" spans="1:5" x14ac:dyDescent="0.25">
      <c r="A914" s="4" t="s">
        <v>1773</v>
      </c>
      <c r="B914" s="4" t="s">
        <v>1774</v>
      </c>
      <c r="C914" s="5">
        <f>IFERROR(SUMIFS('Issuance Log'!$D:$D,'Issuance Log'!$B:$B,A914,'Issuance Log'!$G:$G,$B$4),0)</f>
        <v>0</v>
      </c>
      <c r="D914" s="5">
        <f>IFERROR(COUNTIFS('Issuance Log'!$B:$B,A914,'Issuance Log'!$G:$G,$B$4),0)</f>
        <v>0</v>
      </c>
      <c r="E914" s="5" t="str">
        <f ca="1">IFERROR(INDEX('Issuance Log'!$E:$E,MATCH(MAXIFS('Issuance Log'!$D:$D,'Issuance Log'!$B:$B,A914,'Issuance Log'!$G:$G,$B$4),IF(('Issuance Log'!$B:$B=A914)*('Issuance Log'!$G:$G=$B$4),'Issuance Log'!$D:$D),0)),"-")</f>
        <v>-</v>
      </c>
    </row>
    <row r="915" spans="1:5" x14ac:dyDescent="0.25">
      <c r="A915" s="2" t="s">
        <v>1775</v>
      </c>
      <c r="B915" s="2" t="s">
        <v>1776</v>
      </c>
      <c r="C915" s="3">
        <f>IFERROR(SUMIFS('Issuance Log'!$D:$D,'Issuance Log'!$B:$B,A915,'Issuance Log'!$G:$G,$B$4),0)</f>
        <v>0</v>
      </c>
      <c r="D915" s="3">
        <f>IFERROR(COUNTIFS('Issuance Log'!$B:$B,A915,'Issuance Log'!$G:$G,$B$4),0)</f>
        <v>0</v>
      </c>
      <c r="E915" s="3" t="str">
        <f ca="1">IFERROR(INDEX('Issuance Log'!$E:$E,MATCH(MAXIFS('Issuance Log'!$D:$D,'Issuance Log'!$B:$B,A915,'Issuance Log'!$G:$G,$B$4),IF(('Issuance Log'!$B:$B=A915)*('Issuance Log'!$G:$G=$B$4),'Issuance Log'!$D:$D),0)),"-")</f>
        <v>-</v>
      </c>
    </row>
    <row r="916" spans="1:5" x14ac:dyDescent="0.25">
      <c r="A916" s="4" t="s">
        <v>1777</v>
      </c>
      <c r="B916" s="4" t="s">
        <v>1778</v>
      </c>
      <c r="C916" s="5">
        <f>IFERROR(SUMIFS('Issuance Log'!$D:$D,'Issuance Log'!$B:$B,A916,'Issuance Log'!$G:$G,$B$4),0)</f>
        <v>0</v>
      </c>
      <c r="D916" s="5">
        <f>IFERROR(COUNTIFS('Issuance Log'!$B:$B,A916,'Issuance Log'!$G:$G,$B$4),0)</f>
        <v>0</v>
      </c>
      <c r="E916" s="5" t="str">
        <f ca="1">IFERROR(INDEX('Issuance Log'!$E:$E,MATCH(MAXIFS('Issuance Log'!$D:$D,'Issuance Log'!$B:$B,A916,'Issuance Log'!$G:$G,$B$4),IF(('Issuance Log'!$B:$B=A916)*('Issuance Log'!$G:$G=$B$4),'Issuance Log'!$D:$D),0)),"-")</f>
        <v>-</v>
      </c>
    </row>
    <row r="917" spans="1:5" x14ac:dyDescent="0.25">
      <c r="A917" s="2" t="s">
        <v>1779</v>
      </c>
      <c r="B917" s="2" t="s">
        <v>1780</v>
      </c>
      <c r="C917" s="3">
        <f>IFERROR(SUMIFS('Issuance Log'!$D:$D,'Issuance Log'!$B:$B,A917,'Issuance Log'!$G:$G,$B$4),0)</f>
        <v>0</v>
      </c>
      <c r="D917" s="3">
        <f>IFERROR(COUNTIFS('Issuance Log'!$B:$B,A917,'Issuance Log'!$G:$G,$B$4),0)</f>
        <v>0</v>
      </c>
      <c r="E917" s="3" t="str">
        <f ca="1">IFERROR(INDEX('Issuance Log'!$E:$E,MATCH(MAXIFS('Issuance Log'!$D:$D,'Issuance Log'!$B:$B,A917,'Issuance Log'!$G:$G,$B$4),IF(('Issuance Log'!$B:$B=A917)*('Issuance Log'!$G:$G=$B$4),'Issuance Log'!$D:$D),0)),"-")</f>
        <v>-</v>
      </c>
    </row>
    <row r="918" spans="1:5" x14ac:dyDescent="0.25">
      <c r="A918" s="4" t="s">
        <v>1781</v>
      </c>
      <c r="B918" s="4" t="s">
        <v>1782</v>
      </c>
      <c r="C918" s="5">
        <f>IFERROR(SUMIFS('Issuance Log'!$D:$D,'Issuance Log'!$B:$B,A918,'Issuance Log'!$G:$G,$B$4),0)</f>
        <v>0</v>
      </c>
      <c r="D918" s="5">
        <f>IFERROR(COUNTIFS('Issuance Log'!$B:$B,A918,'Issuance Log'!$G:$G,$B$4),0)</f>
        <v>0</v>
      </c>
      <c r="E918" s="5" t="str">
        <f ca="1">IFERROR(INDEX('Issuance Log'!$E:$E,MATCH(MAXIFS('Issuance Log'!$D:$D,'Issuance Log'!$B:$B,A918,'Issuance Log'!$G:$G,$B$4),IF(('Issuance Log'!$B:$B=A918)*('Issuance Log'!$G:$G=$B$4),'Issuance Log'!$D:$D),0)),"-")</f>
        <v>-</v>
      </c>
    </row>
    <row r="919" spans="1:5" x14ac:dyDescent="0.25">
      <c r="A919" s="2" t="s">
        <v>1783</v>
      </c>
      <c r="B919" s="2" t="s">
        <v>1784</v>
      </c>
      <c r="C919" s="3">
        <f>IFERROR(SUMIFS('Issuance Log'!$D:$D,'Issuance Log'!$B:$B,A919,'Issuance Log'!$G:$G,$B$4),0)</f>
        <v>0</v>
      </c>
      <c r="D919" s="3">
        <f>IFERROR(COUNTIFS('Issuance Log'!$B:$B,A919,'Issuance Log'!$G:$G,$B$4),0)</f>
        <v>0</v>
      </c>
      <c r="E919" s="3" t="str">
        <f ca="1">IFERROR(INDEX('Issuance Log'!$E:$E,MATCH(MAXIFS('Issuance Log'!$D:$D,'Issuance Log'!$B:$B,A919,'Issuance Log'!$G:$G,$B$4),IF(('Issuance Log'!$B:$B=A919)*('Issuance Log'!$G:$G=$B$4),'Issuance Log'!$D:$D),0)),"-")</f>
        <v>-</v>
      </c>
    </row>
    <row r="920" spans="1:5" x14ac:dyDescent="0.25">
      <c r="A920" s="4" t="s">
        <v>1785</v>
      </c>
      <c r="B920" s="4" t="s">
        <v>1786</v>
      </c>
      <c r="C920" s="5">
        <f>IFERROR(SUMIFS('Issuance Log'!$D:$D,'Issuance Log'!$B:$B,A920,'Issuance Log'!$G:$G,$B$4),0)</f>
        <v>0</v>
      </c>
      <c r="D920" s="5">
        <f>IFERROR(COUNTIFS('Issuance Log'!$B:$B,A920,'Issuance Log'!$G:$G,$B$4),0)</f>
        <v>0</v>
      </c>
      <c r="E920" s="5" t="str">
        <f ca="1">IFERROR(INDEX('Issuance Log'!$E:$E,MATCH(MAXIFS('Issuance Log'!$D:$D,'Issuance Log'!$B:$B,A920,'Issuance Log'!$G:$G,$B$4),IF(('Issuance Log'!$B:$B=A920)*('Issuance Log'!$G:$G=$B$4),'Issuance Log'!$D:$D),0)),"-")</f>
        <v>-</v>
      </c>
    </row>
    <row r="921" spans="1:5" x14ac:dyDescent="0.25">
      <c r="A921" s="2" t="s">
        <v>1787</v>
      </c>
      <c r="B921" s="2" t="s">
        <v>1788</v>
      </c>
      <c r="C921" s="3">
        <f>IFERROR(SUMIFS('Issuance Log'!$D:$D,'Issuance Log'!$B:$B,A921,'Issuance Log'!$G:$G,$B$4),0)</f>
        <v>0</v>
      </c>
      <c r="D921" s="3">
        <f>IFERROR(COUNTIFS('Issuance Log'!$B:$B,A921,'Issuance Log'!$G:$G,$B$4),0)</f>
        <v>0</v>
      </c>
      <c r="E921" s="3" t="str">
        <f ca="1">IFERROR(INDEX('Issuance Log'!$E:$E,MATCH(MAXIFS('Issuance Log'!$D:$D,'Issuance Log'!$B:$B,A921,'Issuance Log'!$G:$G,$B$4),IF(('Issuance Log'!$B:$B=A921)*('Issuance Log'!$G:$G=$B$4),'Issuance Log'!$D:$D),0)),"-")</f>
        <v>-</v>
      </c>
    </row>
    <row r="922" spans="1:5" x14ac:dyDescent="0.25">
      <c r="A922" s="4" t="s">
        <v>1789</v>
      </c>
      <c r="B922" s="4" t="s">
        <v>1790</v>
      </c>
      <c r="C922" s="5">
        <f>IFERROR(SUMIFS('Issuance Log'!$D:$D,'Issuance Log'!$B:$B,A922,'Issuance Log'!$G:$G,$B$4),0)</f>
        <v>0</v>
      </c>
      <c r="D922" s="5">
        <f>IFERROR(COUNTIFS('Issuance Log'!$B:$B,A922,'Issuance Log'!$G:$G,$B$4),0)</f>
        <v>0</v>
      </c>
      <c r="E922" s="5" t="str">
        <f ca="1">IFERROR(INDEX('Issuance Log'!$E:$E,MATCH(MAXIFS('Issuance Log'!$D:$D,'Issuance Log'!$B:$B,A922,'Issuance Log'!$G:$G,$B$4),IF(('Issuance Log'!$B:$B=A922)*('Issuance Log'!$G:$G=$B$4),'Issuance Log'!$D:$D),0)),"-")</f>
        <v>-</v>
      </c>
    </row>
    <row r="923" spans="1:5" x14ac:dyDescent="0.25">
      <c r="A923" s="2" t="s">
        <v>1791</v>
      </c>
      <c r="B923" s="2" t="s">
        <v>1792</v>
      </c>
      <c r="C923" s="3">
        <f>IFERROR(SUMIFS('Issuance Log'!$D:$D,'Issuance Log'!$B:$B,A923,'Issuance Log'!$G:$G,$B$4),0)</f>
        <v>0</v>
      </c>
      <c r="D923" s="3">
        <f>IFERROR(COUNTIFS('Issuance Log'!$B:$B,A923,'Issuance Log'!$G:$G,$B$4),0)</f>
        <v>0</v>
      </c>
      <c r="E923" s="3" t="str">
        <f ca="1">IFERROR(INDEX('Issuance Log'!$E:$E,MATCH(MAXIFS('Issuance Log'!$D:$D,'Issuance Log'!$B:$B,A923,'Issuance Log'!$G:$G,$B$4),IF(('Issuance Log'!$B:$B=A923)*('Issuance Log'!$G:$G=$B$4),'Issuance Log'!$D:$D),0)),"-")</f>
        <v>-</v>
      </c>
    </row>
    <row r="924" spans="1:5" x14ac:dyDescent="0.25">
      <c r="A924" s="4" t="s">
        <v>1793</v>
      </c>
      <c r="B924" s="4" t="s">
        <v>1794</v>
      </c>
      <c r="C924" s="5">
        <f>IFERROR(SUMIFS('Issuance Log'!$D:$D,'Issuance Log'!$B:$B,A924,'Issuance Log'!$G:$G,$B$4),0)</f>
        <v>0</v>
      </c>
      <c r="D924" s="5">
        <f>IFERROR(COUNTIFS('Issuance Log'!$B:$B,A924,'Issuance Log'!$G:$G,$B$4),0)</f>
        <v>0</v>
      </c>
      <c r="E924" s="5" t="str">
        <f ca="1">IFERROR(INDEX('Issuance Log'!$E:$E,MATCH(MAXIFS('Issuance Log'!$D:$D,'Issuance Log'!$B:$B,A924,'Issuance Log'!$G:$G,$B$4),IF(('Issuance Log'!$B:$B=A924)*('Issuance Log'!$G:$G=$B$4),'Issuance Log'!$D:$D),0)),"-")</f>
        <v>-</v>
      </c>
    </row>
    <row r="925" spans="1:5" x14ac:dyDescent="0.25">
      <c r="A925" s="2" t="s">
        <v>1795</v>
      </c>
      <c r="B925" s="2" t="s">
        <v>1796</v>
      </c>
      <c r="C925" s="3">
        <f>IFERROR(SUMIFS('Issuance Log'!$D:$D,'Issuance Log'!$B:$B,A925,'Issuance Log'!$G:$G,$B$4),0)</f>
        <v>0</v>
      </c>
      <c r="D925" s="3">
        <f>IFERROR(COUNTIFS('Issuance Log'!$B:$B,A925,'Issuance Log'!$G:$G,$B$4),0)</f>
        <v>0</v>
      </c>
      <c r="E925" s="3" t="str">
        <f ca="1">IFERROR(INDEX('Issuance Log'!$E:$E,MATCH(MAXIFS('Issuance Log'!$D:$D,'Issuance Log'!$B:$B,A925,'Issuance Log'!$G:$G,$B$4),IF(('Issuance Log'!$B:$B=A925)*('Issuance Log'!$G:$G=$B$4),'Issuance Log'!$D:$D),0)),"-")</f>
        <v>-</v>
      </c>
    </row>
    <row r="926" spans="1:5" x14ac:dyDescent="0.25">
      <c r="A926" s="4" t="s">
        <v>1797</v>
      </c>
      <c r="B926" s="4" t="s">
        <v>1798</v>
      </c>
      <c r="C926" s="5">
        <f>IFERROR(SUMIFS('Issuance Log'!$D:$D,'Issuance Log'!$B:$B,A926,'Issuance Log'!$G:$G,$B$4),0)</f>
        <v>0</v>
      </c>
      <c r="D926" s="5">
        <f>IFERROR(COUNTIFS('Issuance Log'!$B:$B,A926,'Issuance Log'!$G:$G,$B$4),0)</f>
        <v>0</v>
      </c>
      <c r="E926" s="5" t="str">
        <f ca="1">IFERROR(INDEX('Issuance Log'!$E:$E,MATCH(MAXIFS('Issuance Log'!$D:$D,'Issuance Log'!$B:$B,A926,'Issuance Log'!$G:$G,$B$4),IF(('Issuance Log'!$B:$B=A926)*('Issuance Log'!$G:$G=$B$4),'Issuance Log'!$D:$D),0)),"-")</f>
        <v>-</v>
      </c>
    </row>
    <row r="927" spans="1:5" x14ac:dyDescent="0.25">
      <c r="A927" s="2" t="s">
        <v>1799</v>
      </c>
      <c r="B927" s="2" t="s">
        <v>1800</v>
      </c>
      <c r="C927" s="3">
        <f>IFERROR(SUMIFS('Issuance Log'!$D:$D,'Issuance Log'!$B:$B,A927,'Issuance Log'!$G:$G,$B$4),0)</f>
        <v>0</v>
      </c>
      <c r="D927" s="3">
        <f>IFERROR(COUNTIFS('Issuance Log'!$B:$B,A927,'Issuance Log'!$G:$G,$B$4),0)</f>
        <v>0</v>
      </c>
      <c r="E927" s="3" t="str">
        <f ca="1">IFERROR(INDEX('Issuance Log'!$E:$E,MATCH(MAXIFS('Issuance Log'!$D:$D,'Issuance Log'!$B:$B,A927,'Issuance Log'!$G:$G,$B$4),IF(('Issuance Log'!$B:$B=A927)*('Issuance Log'!$G:$G=$B$4),'Issuance Log'!$D:$D),0)),"-")</f>
        <v>-</v>
      </c>
    </row>
    <row r="928" spans="1:5" x14ac:dyDescent="0.25">
      <c r="A928" s="4" t="s">
        <v>1801</v>
      </c>
      <c r="B928" s="4" t="s">
        <v>1802</v>
      </c>
      <c r="C928" s="5">
        <f>IFERROR(SUMIFS('Issuance Log'!$D:$D,'Issuance Log'!$B:$B,A928,'Issuance Log'!$G:$G,$B$4),0)</f>
        <v>0</v>
      </c>
      <c r="D928" s="5">
        <f>IFERROR(COUNTIFS('Issuance Log'!$B:$B,A928,'Issuance Log'!$G:$G,$B$4),0)</f>
        <v>0</v>
      </c>
      <c r="E928" s="5" t="str">
        <f ca="1">IFERROR(INDEX('Issuance Log'!$E:$E,MATCH(MAXIFS('Issuance Log'!$D:$D,'Issuance Log'!$B:$B,A928,'Issuance Log'!$G:$G,$B$4),IF(('Issuance Log'!$B:$B=A928)*('Issuance Log'!$G:$G=$B$4),'Issuance Log'!$D:$D),0)),"-")</f>
        <v>-</v>
      </c>
    </row>
    <row r="929" spans="1:5" x14ac:dyDescent="0.25">
      <c r="A929" s="2" t="s">
        <v>1803</v>
      </c>
      <c r="B929" s="2" t="s">
        <v>1804</v>
      </c>
      <c r="C929" s="3">
        <f>IFERROR(SUMIFS('Issuance Log'!$D:$D,'Issuance Log'!$B:$B,A929,'Issuance Log'!$G:$G,$B$4),0)</f>
        <v>0</v>
      </c>
      <c r="D929" s="3">
        <f>IFERROR(COUNTIFS('Issuance Log'!$B:$B,A929,'Issuance Log'!$G:$G,$B$4),0)</f>
        <v>0</v>
      </c>
      <c r="E929" s="3" t="str">
        <f ca="1">IFERROR(INDEX('Issuance Log'!$E:$E,MATCH(MAXIFS('Issuance Log'!$D:$D,'Issuance Log'!$B:$B,A929,'Issuance Log'!$G:$G,$B$4),IF(('Issuance Log'!$B:$B=A929)*('Issuance Log'!$G:$G=$B$4),'Issuance Log'!$D:$D),0)),"-")</f>
        <v>-</v>
      </c>
    </row>
    <row r="930" spans="1:5" x14ac:dyDescent="0.25">
      <c r="A930" s="4" t="s">
        <v>1805</v>
      </c>
      <c r="B930" s="4" t="s">
        <v>1806</v>
      </c>
      <c r="C930" s="5">
        <f>IFERROR(SUMIFS('Issuance Log'!$D:$D,'Issuance Log'!$B:$B,A930,'Issuance Log'!$G:$G,$B$4),0)</f>
        <v>0</v>
      </c>
      <c r="D930" s="5">
        <f>IFERROR(COUNTIFS('Issuance Log'!$B:$B,A930,'Issuance Log'!$G:$G,$B$4),0)</f>
        <v>0</v>
      </c>
      <c r="E930" s="5" t="str">
        <f ca="1">IFERROR(INDEX('Issuance Log'!$E:$E,MATCH(MAXIFS('Issuance Log'!$D:$D,'Issuance Log'!$B:$B,A930,'Issuance Log'!$G:$G,$B$4),IF(('Issuance Log'!$B:$B=A930)*('Issuance Log'!$G:$G=$B$4),'Issuance Log'!$D:$D),0)),"-")</f>
        <v>-</v>
      </c>
    </row>
    <row r="931" spans="1:5" x14ac:dyDescent="0.25">
      <c r="A931" s="2" t="s">
        <v>1807</v>
      </c>
      <c r="B931" s="2" t="s">
        <v>1808</v>
      </c>
      <c r="C931" s="3">
        <f>IFERROR(SUMIFS('Issuance Log'!$D:$D,'Issuance Log'!$B:$B,A931,'Issuance Log'!$G:$G,$B$4),0)</f>
        <v>0</v>
      </c>
      <c r="D931" s="3">
        <f>IFERROR(COUNTIFS('Issuance Log'!$B:$B,A931,'Issuance Log'!$G:$G,$B$4),0)</f>
        <v>0</v>
      </c>
      <c r="E931" s="3" t="str">
        <f ca="1">IFERROR(INDEX('Issuance Log'!$E:$E,MATCH(MAXIFS('Issuance Log'!$D:$D,'Issuance Log'!$B:$B,A931,'Issuance Log'!$G:$G,$B$4),IF(('Issuance Log'!$B:$B=A931)*('Issuance Log'!$G:$G=$B$4),'Issuance Log'!$D:$D),0)),"-")</f>
        <v>-</v>
      </c>
    </row>
    <row r="932" spans="1:5" x14ac:dyDescent="0.25">
      <c r="A932" s="4" t="s">
        <v>1809</v>
      </c>
      <c r="B932" s="4" t="s">
        <v>1810</v>
      </c>
      <c r="C932" s="5">
        <f>IFERROR(SUMIFS('Issuance Log'!$D:$D,'Issuance Log'!$B:$B,A932,'Issuance Log'!$G:$G,$B$4),0)</f>
        <v>0</v>
      </c>
      <c r="D932" s="5">
        <f>IFERROR(COUNTIFS('Issuance Log'!$B:$B,A932,'Issuance Log'!$G:$G,$B$4),0)</f>
        <v>0</v>
      </c>
      <c r="E932" s="5" t="str">
        <f ca="1">IFERROR(INDEX('Issuance Log'!$E:$E,MATCH(MAXIFS('Issuance Log'!$D:$D,'Issuance Log'!$B:$B,A932,'Issuance Log'!$G:$G,$B$4),IF(('Issuance Log'!$B:$B=A932)*('Issuance Log'!$G:$G=$B$4),'Issuance Log'!$D:$D),0)),"-")</f>
        <v>-</v>
      </c>
    </row>
    <row r="933" spans="1:5" x14ac:dyDescent="0.25">
      <c r="A933" s="2" t="s">
        <v>1811</v>
      </c>
      <c r="B933" s="2" t="s">
        <v>1812</v>
      </c>
      <c r="C933" s="3">
        <f>IFERROR(SUMIFS('Issuance Log'!$D:$D,'Issuance Log'!$B:$B,A933,'Issuance Log'!$G:$G,$B$4),0)</f>
        <v>0</v>
      </c>
      <c r="D933" s="3">
        <f>IFERROR(COUNTIFS('Issuance Log'!$B:$B,A933,'Issuance Log'!$G:$G,$B$4),0)</f>
        <v>0</v>
      </c>
      <c r="E933" s="3" t="str">
        <f ca="1">IFERROR(INDEX('Issuance Log'!$E:$E,MATCH(MAXIFS('Issuance Log'!$D:$D,'Issuance Log'!$B:$B,A933,'Issuance Log'!$G:$G,$B$4),IF(('Issuance Log'!$B:$B=A933)*('Issuance Log'!$G:$G=$B$4),'Issuance Log'!$D:$D),0)),"-")</f>
        <v>-</v>
      </c>
    </row>
    <row r="934" spans="1:5" x14ac:dyDescent="0.25">
      <c r="A934" s="4" t="s">
        <v>1813</v>
      </c>
      <c r="B934" s="4" t="s">
        <v>1814</v>
      </c>
      <c r="C934" s="5">
        <f>IFERROR(SUMIFS('Issuance Log'!$D:$D,'Issuance Log'!$B:$B,A934,'Issuance Log'!$G:$G,$B$4),0)</f>
        <v>0</v>
      </c>
      <c r="D934" s="5">
        <f>IFERROR(COUNTIFS('Issuance Log'!$B:$B,A934,'Issuance Log'!$G:$G,$B$4),0)</f>
        <v>0</v>
      </c>
      <c r="E934" s="5" t="str">
        <f ca="1">IFERROR(INDEX('Issuance Log'!$E:$E,MATCH(MAXIFS('Issuance Log'!$D:$D,'Issuance Log'!$B:$B,A934,'Issuance Log'!$G:$G,$B$4),IF(('Issuance Log'!$B:$B=A934)*('Issuance Log'!$G:$G=$B$4),'Issuance Log'!$D:$D),0)),"-")</f>
        <v>-</v>
      </c>
    </row>
    <row r="935" spans="1:5" x14ac:dyDescent="0.25">
      <c r="A935" s="2" t="s">
        <v>1815</v>
      </c>
      <c r="B935" s="2" t="s">
        <v>1816</v>
      </c>
      <c r="C935" s="3">
        <f>IFERROR(SUMIFS('Issuance Log'!$D:$D,'Issuance Log'!$B:$B,A935,'Issuance Log'!$G:$G,$B$4),0)</f>
        <v>0</v>
      </c>
      <c r="D935" s="3">
        <f>IFERROR(COUNTIFS('Issuance Log'!$B:$B,A935,'Issuance Log'!$G:$G,$B$4),0)</f>
        <v>0</v>
      </c>
      <c r="E935" s="3" t="str">
        <f ca="1">IFERROR(INDEX('Issuance Log'!$E:$E,MATCH(MAXIFS('Issuance Log'!$D:$D,'Issuance Log'!$B:$B,A935,'Issuance Log'!$G:$G,$B$4),IF(('Issuance Log'!$B:$B=A935)*('Issuance Log'!$G:$G=$B$4),'Issuance Log'!$D:$D),0)),"-")</f>
        <v>-</v>
      </c>
    </row>
    <row r="936" spans="1:5" x14ac:dyDescent="0.25">
      <c r="A936" s="4" t="s">
        <v>1817</v>
      </c>
      <c r="B936" s="4" t="s">
        <v>1818</v>
      </c>
      <c r="C936" s="5">
        <f>IFERROR(SUMIFS('Issuance Log'!$D:$D,'Issuance Log'!$B:$B,A936,'Issuance Log'!$G:$G,$B$4),0)</f>
        <v>0</v>
      </c>
      <c r="D936" s="5">
        <f>IFERROR(COUNTIFS('Issuance Log'!$B:$B,A936,'Issuance Log'!$G:$G,$B$4),0)</f>
        <v>0</v>
      </c>
      <c r="E936" s="5" t="str">
        <f ca="1">IFERROR(INDEX('Issuance Log'!$E:$E,MATCH(MAXIFS('Issuance Log'!$D:$D,'Issuance Log'!$B:$B,A936,'Issuance Log'!$G:$G,$B$4),IF(('Issuance Log'!$B:$B=A936)*('Issuance Log'!$G:$G=$B$4),'Issuance Log'!$D:$D),0)),"-")</f>
        <v>-</v>
      </c>
    </row>
    <row r="937" spans="1:5" x14ac:dyDescent="0.25">
      <c r="A937" s="2" t="s">
        <v>1819</v>
      </c>
      <c r="B937" s="2" t="s">
        <v>1820</v>
      </c>
      <c r="C937" s="3">
        <f>IFERROR(SUMIFS('Issuance Log'!$D:$D,'Issuance Log'!$B:$B,A937,'Issuance Log'!$G:$G,$B$4),0)</f>
        <v>0</v>
      </c>
      <c r="D937" s="3">
        <f>IFERROR(COUNTIFS('Issuance Log'!$B:$B,A937,'Issuance Log'!$G:$G,$B$4),0)</f>
        <v>0</v>
      </c>
      <c r="E937" s="3" t="str">
        <f ca="1">IFERROR(INDEX('Issuance Log'!$E:$E,MATCH(MAXIFS('Issuance Log'!$D:$D,'Issuance Log'!$B:$B,A937,'Issuance Log'!$G:$G,$B$4),IF(('Issuance Log'!$B:$B=A937)*('Issuance Log'!$G:$G=$B$4),'Issuance Log'!$D:$D),0)),"-")</f>
        <v>-</v>
      </c>
    </row>
    <row r="938" spans="1:5" x14ac:dyDescent="0.25">
      <c r="A938" s="4" t="s">
        <v>1821</v>
      </c>
      <c r="B938" s="4" t="s">
        <v>1822</v>
      </c>
      <c r="C938" s="5">
        <f>IFERROR(SUMIFS('Issuance Log'!$D:$D,'Issuance Log'!$B:$B,A938,'Issuance Log'!$G:$G,$B$4),0)</f>
        <v>0</v>
      </c>
      <c r="D938" s="5">
        <f>IFERROR(COUNTIFS('Issuance Log'!$B:$B,A938,'Issuance Log'!$G:$G,$B$4),0)</f>
        <v>0</v>
      </c>
      <c r="E938" s="5" t="str">
        <f ca="1">IFERROR(INDEX('Issuance Log'!$E:$E,MATCH(MAXIFS('Issuance Log'!$D:$D,'Issuance Log'!$B:$B,A938,'Issuance Log'!$G:$G,$B$4),IF(('Issuance Log'!$B:$B=A938)*('Issuance Log'!$G:$G=$B$4),'Issuance Log'!$D:$D),0)),"-")</f>
        <v>-</v>
      </c>
    </row>
    <row r="939" spans="1:5" x14ac:dyDescent="0.25">
      <c r="A939" s="2" t="s">
        <v>1823</v>
      </c>
      <c r="B939" s="2" t="s">
        <v>1824</v>
      </c>
      <c r="C939" s="3">
        <f>IFERROR(SUMIFS('Issuance Log'!$D:$D,'Issuance Log'!$B:$B,A939,'Issuance Log'!$G:$G,$B$4),0)</f>
        <v>0</v>
      </c>
      <c r="D939" s="3">
        <f>IFERROR(COUNTIFS('Issuance Log'!$B:$B,A939,'Issuance Log'!$G:$G,$B$4),0)</f>
        <v>0</v>
      </c>
      <c r="E939" s="3" t="str">
        <f ca="1">IFERROR(INDEX('Issuance Log'!$E:$E,MATCH(MAXIFS('Issuance Log'!$D:$D,'Issuance Log'!$B:$B,A939,'Issuance Log'!$G:$G,$B$4),IF(('Issuance Log'!$B:$B=A939)*('Issuance Log'!$G:$G=$B$4),'Issuance Log'!$D:$D),0)),"-")</f>
        <v>-</v>
      </c>
    </row>
    <row r="940" spans="1:5" x14ac:dyDescent="0.25">
      <c r="A940" s="4" t="s">
        <v>1825</v>
      </c>
      <c r="B940" s="4" t="s">
        <v>1826</v>
      </c>
      <c r="C940" s="5">
        <f>IFERROR(SUMIFS('Issuance Log'!$D:$D,'Issuance Log'!$B:$B,A940,'Issuance Log'!$G:$G,$B$4),0)</f>
        <v>0</v>
      </c>
      <c r="D940" s="5">
        <f>IFERROR(COUNTIFS('Issuance Log'!$B:$B,A940,'Issuance Log'!$G:$G,$B$4),0)</f>
        <v>0</v>
      </c>
      <c r="E940" s="5" t="str">
        <f ca="1">IFERROR(INDEX('Issuance Log'!$E:$E,MATCH(MAXIFS('Issuance Log'!$D:$D,'Issuance Log'!$B:$B,A940,'Issuance Log'!$G:$G,$B$4),IF(('Issuance Log'!$B:$B=A940)*('Issuance Log'!$G:$G=$B$4),'Issuance Log'!$D:$D),0)),"-")</f>
        <v>-</v>
      </c>
    </row>
    <row r="941" spans="1:5" x14ac:dyDescent="0.25">
      <c r="A941" s="2" t="s">
        <v>1827</v>
      </c>
      <c r="B941" s="2" t="s">
        <v>1828</v>
      </c>
      <c r="C941" s="3">
        <f>IFERROR(SUMIFS('Issuance Log'!$D:$D,'Issuance Log'!$B:$B,A941,'Issuance Log'!$G:$G,$B$4),0)</f>
        <v>0</v>
      </c>
      <c r="D941" s="3">
        <f>IFERROR(COUNTIFS('Issuance Log'!$B:$B,A941,'Issuance Log'!$G:$G,$B$4),0)</f>
        <v>0</v>
      </c>
      <c r="E941" s="3" t="str">
        <f ca="1">IFERROR(INDEX('Issuance Log'!$E:$E,MATCH(MAXIFS('Issuance Log'!$D:$D,'Issuance Log'!$B:$B,A941,'Issuance Log'!$G:$G,$B$4),IF(('Issuance Log'!$B:$B=A941)*('Issuance Log'!$G:$G=$B$4),'Issuance Log'!$D:$D),0)),"-")</f>
        <v>-</v>
      </c>
    </row>
    <row r="942" spans="1:5" x14ac:dyDescent="0.25">
      <c r="A942" s="4" t="s">
        <v>1829</v>
      </c>
      <c r="B942" s="4" t="s">
        <v>1830</v>
      </c>
      <c r="C942" s="5">
        <f>IFERROR(SUMIFS('Issuance Log'!$D:$D,'Issuance Log'!$B:$B,A942,'Issuance Log'!$G:$G,$B$4),0)</f>
        <v>0</v>
      </c>
      <c r="D942" s="5">
        <f>IFERROR(COUNTIFS('Issuance Log'!$B:$B,A942,'Issuance Log'!$G:$G,$B$4),0)</f>
        <v>0</v>
      </c>
      <c r="E942" s="5" t="str">
        <f ca="1">IFERROR(INDEX('Issuance Log'!$E:$E,MATCH(MAXIFS('Issuance Log'!$D:$D,'Issuance Log'!$B:$B,A942,'Issuance Log'!$G:$G,$B$4),IF(('Issuance Log'!$B:$B=A942)*('Issuance Log'!$G:$G=$B$4),'Issuance Log'!$D:$D),0)),"-")</f>
        <v>-</v>
      </c>
    </row>
    <row r="943" spans="1:5" x14ac:dyDescent="0.25">
      <c r="A943" s="2" t="s">
        <v>1831</v>
      </c>
      <c r="B943" s="2" t="s">
        <v>1832</v>
      </c>
      <c r="C943" s="3">
        <f>IFERROR(SUMIFS('Issuance Log'!$D:$D,'Issuance Log'!$B:$B,A943,'Issuance Log'!$G:$G,$B$4),0)</f>
        <v>0</v>
      </c>
      <c r="D943" s="3">
        <f>IFERROR(COUNTIFS('Issuance Log'!$B:$B,A943,'Issuance Log'!$G:$G,$B$4),0)</f>
        <v>0</v>
      </c>
      <c r="E943" s="3" t="str">
        <f ca="1">IFERROR(INDEX('Issuance Log'!$E:$E,MATCH(MAXIFS('Issuance Log'!$D:$D,'Issuance Log'!$B:$B,A943,'Issuance Log'!$G:$G,$B$4),IF(('Issuance Log'!$B:$B=A943)*('Issuance Log'!$G:$G=$B$4),'Issuance Log'!$D:$D),0)),"-")</f>
        <v>-</v>
      </c>
    </row>
    <row r="944" spans="1:5" x14ac:dyDescent="0.25">
      <c r="A944" s="4" t="s">
        <v>1833</v>
      </c>
      <c r="B944" s="4" t="s">
        <v>1834</v>
      </c>
      <c r="C944" s="5">
        <f>IFERROR(SUMIFS('Issuance Log'!$D:$D,'Issuance Log'!$B:$B,A944,'Issuance Log'!$G:$G,$B$4),0)</f>
        <v>0</v>
      </c>
      <c r="D944" s="5">
        <f>IFERROR(COUNTIFS('Issuance Log'!$B:$B,A944,'Issuance Log'!$G:$G,$B$4),0)</f>
        <v>0</v>
      </c>
      <c r="E944" s="5" t="str">
        <f ca="1">IFERROR(INDEX('Issuance Log'!$E:$E,MATCH(MAXIFS('Issuance Log'!$D:$D,'Issuance Log'!$B:$B,A944,'Issuance Log'!$G:$G,$B$4),IF(('Issuance Log'!$B:$B=A944)*('Issuance Log'!$G:$G=$B$4),'Issuance Log'!$D:$D),0)),"-")</f>
        <v>-</v>
      </c>
    </row>
    <row r="945" spans="1:5" x14ac:dyDescent="0.25">
      <c r="A945" s="2" t="s">
        <v>1835</v>
      </c>
      <c r="B945" s="2" t="s">
        <v>1836</v>
      </c>
      <c r="C945" s="3">
        <f>IFERROR(SUMIFS('Issuance Log'!$D:$D,'Issuance Log'!$B:$B,A945,'Issuance Log'!$G:$G,$B$4),0)</f>
        <v>0</v>
      </c>
      <c r="D945" s="3">
        <f>IFERROR(COUNTIFS('Issuance Log'!$B:$B,A945,'Issuance Log'!$G:$G,$B$4),0)</f>
        <v>0</v>
      </c>
      <c r="E945" s="3" t="str">
        <f ca="1">IFERROR(INDEX('Issuance Log'!$E:$E,MATCH(MAXIFS('Issuance Log'!$D:$D,'Issuance Log'!$B:$B,A945,'Issuance Log'!$G:$G,$B$4),IF(('Issuance Log'!$B:$B=A945)*('Issuance Log'!$G:$G=$B$4),'Issuance Log'!$D:$D),0)),"-")</f>
        <v>-</v>
      </c>
    </row>
    <row r="946" spans="1:5" x14ac:dyDescent="0.25">
      <c r="A946" s="4" t="s">
        <v>1837</v>
      </c>
      <c r="B946" s="4" t="s">
        <v>1838</v>
      </c>
      <c r="C946" s="5">
        <f>IFERROR(SUMIFS('Issuance Log'!$D:$D,'Issuance Log'!$B:$B,A946,'Issuance Log'!$G:$G,$B$4),0)</f>
        <v>0</v>
      </c>
      <c r="D946" s="5">
        <f>IFERROR(COUNTIFS('Issuance Log'!$B:$B,A946,'Issuance Log'!$G:$G,$B$4),0)</f>
        <v>0</v>
      </c>
      <c r="E946" s="5" t="str">
        <f ca="1">IFERROR(INDEX('Issuance Log'!$E:$E,MATCH(MAXIFS('Issuance Log'!$D:$D,'Issuance Log'!$B:$B,A946,'Issuance Log'!$G:$G,$B$4),IF(('Issuance Log'!$B:$B=A946)*('Issuance Log'!$G:$G=$B$4),'Issuance Log'!$D:$D),0)),"-")</f>
        <v>-</v>
      </c>
    </row>
    <row r="947" spans="1:5" x14ac:dyDescent="0.25">
      <c r="A947" s="2" t="s">
        <v>1839</v>
      </c>
      <c r="B947" s="2" t="s">
        <v>1840</v>
      </c>
      <c r="C947" s="3">
        <f>IFERROR(SUMIFS('Issuance Log'!$D:$D,'Issuance Log'!$B:$B,A947,'Issuance Log'!$G:$G,$B$4),0)</f>
        <v>0</v>
      </c>
      <c r="D947" s="3">
        <f>IFERROR(COUNTIFS('Issuance Log'!$B:$B,A947,'Issuance Log'!$G:$G,$B$4),0)</f>
        <v>0</v>
      </c>
      <c r="E947" s="3" t="str">
        <f ca="1">IFERROR(INDEX('Issuance Log'!$E:$E,MATCH(MAXIFS('Issuance Log'!$D:$D,'Issuance Log'!$B:$B,A947,'Issuance Log'!$G:$G,$B$4),IF(('Issuance Log'!$B:$B=A947)*('Issuance Log'!$G:$G=$B$4),'Issuance Log'!$D:$D),0)),"-")</f>
        <v>-</v>
      </c>
    </row>
    <row r="948" spans="1:5" x14ac:dyDescent="0.25">
      <c r="A948" s="4" t="s">
        <v>1841</v>
      </c>
      <c r="B948" s="4" t="s">
        <v>1842</v>
      </c>
      <c r="C948" s="5">
        <f>IFERROR(SUMIFS('Issuance Log'!$D:$D,'Issuance Log'!$B:$B,A948,'Issuance Log'!$G:$G,$B$4),0)</f>
        <v>0</v>
      </c>
      <c r="D948" s="5">
        <f>IFERROR(COUNTIFS('Issuance Log'!$B:$B,A948,'Issuance Log'!$G:$G,$B$4),0)</f>
        <v>0</v>
      </c>
      <c r="E948" s="5" t="str">
        <f ca="1">IFERROR(INDEX('Issuance Log'!$E:$E,MATCH(MAXIFS('Issuance Log'!$D:$D,'Issuance Log'!$B:$B,A948,'Issuance Log'!$G:$G,$B$4),IF(('Issuance Log'!$B:$B=A948)*('Issuance Log'!$G:$G=$B$4),'Issuance Log'!$D:$D),0)),"-")</f>
        <v>-</v>
      </c>
    </row>
    <row r="949" spans="1:5" x14ac:dyDescent="0.25">
      <c r="A949" s="2" t="s">
        <v>1843</v>
      </c>
      <c r="B949" s="2" t="s">
        <v>1844</v>
      </c>
      <c r="C949" s="3">
        <f>IFERROR(SUMIFS('Issuance Log'!$D:$D,'Issuance Log'!$B:$B,A949,'Issuance Log'!$G:$G,$B$4),0)</f>
        <v>0</v>
      </c>
      <c r="D949" s="3">
        <f>IFERROR(COUNTIFS('Issuance Log'!$B:$B,A949,'Issuance Log'!$G:$G,$B$4),0)</f>
        <v>0</v>
      </c>
      <c r="E949" s="3" t="str">
        <f ca="1">IFERROR(INDEX('Issuance Log'!$E:$E,MATCH(MAXIFS('Issuance Log'!$D:$D,'Issuance Log'!$B:$B,A949,'Issuance Log'!$G:$G,$B$4),IF(('Issuance Log'!$B:$B=A949)*('Issuance Log'!$G:$G=$B$4),'Issuance Log'!$D:$D),0)),"-")</f>
        <v>-</v>
      </c>
    </row>
    <row r="950" spans="1:5" x14ac:dyDescent="0.25">
      <c r="A950" s="4" t="s">
        <v>1845</v>
      </c>
      <c r="B950" s="4" t="s">
        <v>1846</v>
      </c>
      <c r="C950" s="5">
        <f>IFERROR(SUMIFS('Issuance Log'!$D:$D,'Issuance Log'!$B:$B,A950,'Issuance Log'!$G:$G,$B$4),0)</f>
        <v>0</v>
      </c>
      <c r="D950" s="5">
        <f>IFERROR(COUNTIFS('Issuance Log'!$B:$B,A950,'Issuance Log'!$G:$G,$B$4),0)</f>
        <v>0</v>
      </c>
      <c r="E950" s="5" t="str">
        <f ca="1">IFERROR(INDEX('Issuance Log'!$E:$E,MATCH(MAXIFS('Issuance Log'!$D:$D,'Issuance Log'!$B:$B,A950,'Issuance Log'!$G:$G,$B$4),IF(('Issuance Log'!$B:$B=A950)*('Issuance Log'!$G:$G=$B$4),'Issuance Log'!$D:$D),0)),"-")</f>
        <v>-</v>
      </c>
    </row>
    <row r="951" spans="1:5" x14ac:dyDescent="0.25">
      <c r="A951" s="2" t="s">
        <v>1847</v>
      </c>
      <c r="B951" s="2" t="s">
        <v>1848</v>
      </c>
      <c r="C951" s="3">
        <f>IFERROR(SUMIFS('Issuance Log'!$D:$D,'Issuance Log'!$B:$B,A951,'Issuance Log'!$G:$G,$B$4),0)</f>
        <v>0</v>
      </c>
      <c r="D951" s="3">
        <f>IFERROR(COUNTIFS('Issuance Log'!$B:$B,A951,'Issuance Log'!$G:$G,$B$4),0)</f>
        <v>0</v>
      </c>
      <c r="E951" s="3" t="str">
        <f ca="1">IFERROR(INDEX('Issuance Log'!$E:$E,MATCH(MAXIFS('Issuance Log'!$D:$D,'Issuance Log'!$B:$B,A951,'Issuance Log'!$G:$G,$B$4),IF(('Issuance Log'!$B:$B=A951)*('Issuance Log'!$G:$G=$B$4),'Issuance Log'!$D:$D),0)),"-")</f>
        <v>-</v>
      </c>
    </row>
    <row r="952" spans="1:5" x14ac:dyDescent="0.25">
      <c r="A952" s="4" t="s">
        <v>1849</v>
      </c>
      <c r="B952" s="4" t="s">
        <v>1850</v>
      </c>
      <c r="C952" s="5">
        <f>IFERROR(SUMIFS('Issuance Log'!$D:$D,'Issuance Log'!$B:$B,A952,'Issuance Log'!$G:$G,$B$4),0)</f>
        <v>0</v>
      </c>
      <c r="D952" s="5">
        <f>IFERROR(COUNTIFS('Issuance Log'!$B:$B,A952,'Issuance Log'!$G:$G,$B$4),0)</f>
        <v>0</v>
      </c>
      <c r="E952" s="5" t="str">
        <f ca="1">IFERROR(INDEX('Issuance Log'!$E:$E,MATCH(MAXIFS('Issuance Log'!$D:$D,'Issuance Log'!$B:$B,A952,'Issuance Log'!$G:$G,$B$4),IF(('Issuance Log'!$B:$B=A952)*('Issuance Log'!$G:$G=$B$4),'Issuance Log'!$D:$D),0)),"-")</f>
        <v>-</v>
      </c>
    </row>
    <row r="953" spans="1:5" x14ac:dyDescent="0.25">
      <c r="A953" s="2" t="s">
        <v>1851</v>
      </c>
      <c r="B953" s="2" t="s">
        <v>1852</v>
      </c>
      <c r="C953" s="3">
        <f>IFERROR(SUMIFS('Issuance Log'!$D:$D,'Issuance Log'!$B:$B,A953,'Issuance Log'!$G:$G,$B$4),0)</f>
        <v>0</v>
      </c>
      <c r="D953" s="3">
        <f>IFERROR(COUNTIFS('Issuance Log'!$B:$B,A953,'Issuance Log'!$G:$G,$B$4),0)</f>
        <v>0</v>
      </c>
      <c r="E953" s="3" t="str">
        <f ca="1">IFERROR(INDEX('Issuance Log'!$E:$E,MATCH(MAXIFS('Issuance Log'!$D:$D,'Issuance Log'!$B:$B,A953,'Issuance Log'!$G:$G,$B$4),IF(('Issuance Log'!$B:$B=A953)*('Issuance Log'!$G:$G=$B$4),'Issuance Log'!$D:$D),0)),"-")</f>
        <v>-</v>
      </c>
    </row>
    <row r="954" spans="1:5" x14ac:dyDescent="0.25">
      <c r="A954" s="4" t="s">
        <v>1853</v>
      </c>
      <c r="B954" s="4" t="s">
        <v>1854</v>
      </c>
      <c r="C954" s="5">
        <f>IFERROR(SUMIFS('Issuance Log'!$D:$D,'Issuance Log'!$B:$B,A954,'Issuance Log'!$G:$G,$B$4),0)</f>
        <v>0</v>
      </c>
      <c r="D954" s="5">
        <f>IFERROR(COUNTIFS('Issuance Log'!$B:$B,A954,'Issuance Log'!$G:$G,$B$4),0)</f>
        <v>0</v>
      </c>
      <c r="E954" s="5" t="str">
        <f ca="1">IFERROR(INDEX('Issuance Log'!$E:$E,MATCH(MAXIFS('Issuance Log'!$D:$D,'Issuance Log'!$B:$B,A954,'Issuance Log'!$G:$G,$B$4),IF(('Issuance Log'!$B:$B=A954)*('Issuance Log'!$G:$G=$B$4),'Issuance Log'!$D:$D),0)),"-")</f>
        <v>-</v>
      </c>
    </row>
    <row r="955" spans="1:5" x14ac:dyDescent="0.25">
      <c r="A955" s="2" t="s">
        <v>1855</v>
      </c>
      <c r="B955" s="2" t="s">
        <v>1856</v>
      </c>
      <c r="C955" s="3">
        <f>IFERROR(SUMIFS('Issuance Log'!$D:$D,'Issuance Log'!$B:$B,A955,'Issuance Log'!$G:$G,$B$4),0)</f>
        <v>0</v>
      </c>
      <c r="D955" s="3">
        <f>IFERROR(COUNTIFS('Issuance Log'!$B:$B,A955,'Issuance Log'!$G:$G,$B$4),0)</f>
        <v>0</v>
      </c>
      <c r="E955" s="3" t="str">
        <f ca="1">IFERROR(INDEX('Issuance Log'!$E:$E,MATCH(MAXIFS('Issuance Log'!$D:$D,'Issuance Log'!$B:$B,A955,'Issuance Log'!$G:$G,$B$4),IF(('Issuance Log'!$B:$B=A955)*('Issuance Log'!$G:$G=$B$4),'Issuance Log'!$D:$D),0)),"-")</f>
        <v>-</v>
      </c>
    </row>
    <row r="956" spans="1:5" x14ac:dyDescent="0.25">
      <c r="A956" s="4" t="s">
        <v>1857</v>
      </c>
      <c r="B956" s="4" t="s">
        <v>1858</v>
      </c>
      <c r="C956" s="5">
        <f>IFERROR(SUMIFS('Issuance Log'!$D:$D,'Issuance Log'!$B:$B,A956,'Issuance Log'!$G:$G,$B$4),0)</f>
        <v>0</v>
      </c>
      <c r="D956" s="5">
        <f>IFERROR(COUNTIFS('Issuance Log'!$B:$B,A956,'Issuance Log'!$G:$G,$B$4),0)</f>
        <v>0</v>
      </c>
      <c r="E956" s="5" t="str">
        <f ca="1">IFERROR(INDEX('Issuance Log'!$E:$E,MATCH(MAXIFS('Issuance Log'!$D:$D,'Issuance Log'!$B:$B,A956,'Issuance Log'!$G:$G,$B$4),IF(('Issuance Log'!$B:$B=A956)*('Issuance Log'!$G:$G=$B$4),'Issuance Log'!$D:$D),0)),"-")</f>
        <v>-</v>
      </c>
    </row>
    <row r="957" spans="1:5" x14ac:dyDescent="0.25">
      <c r="A957" s="2" t="s">
        <v>1859</v>
      </c>
      <c r="B957" s="2" t="s">
        <v>1860</v>
      </c>
      <c r="C957" s="3">
        <f>IFERROR(SUMIFS('Issuance Log'!$D:$D,'Issuance Log'!$B:$B,A957,'Issuance Log'!$G:$G,$B$4),0)</f>
        <v>0</v>
      </c>
      <c r="D957" s="3">
        <f>IFERROR(COUNTIFS('Issuance Log'!$B:$B,A957,'Issuance Log'!$G:$G,$B$4),0)</f>
        <v>0</v>
      </c>
      <c r="E957" s="3" t="str">
        <f ca="1">IFERROR(INDEX('Issuance Log'!$E:$E,MATCH(MAXIFS('Issuance Log'!$D:$D,'Issuance Log'!$B:$B,A957,'Issuance Log'!$G:$G,$B$4),IF(('Issuance Log'!$B:$B=A957)*('Issuance Log'!$G:$G=$B$4),'Issuance Log'!$D:$D),0)),"-")</f>
        <v>-</v>
      </c>
    </row>
    <row r="958" spans="1:5" x14ac:dyDescent="0.25">
      <c r="A958" s="4" t="s">
        <v>1861</v>
      </c>
      <c r="B958" s="4" t="s">
        <v>1862</v>
      </c>
      <c r="C958" s="5">
        <f>IFERROR(SUMIFS('Issuance Log'!$D:$D,'Issuance Log'!$B:$B,A958,'Issuance Log'!$G:$G,$B$4),0)</f>
        <v>0</v>
      </c>
      <c r="D958" s="5">
        <f>IFERROR(COUNTIFS('Issuance Log'!$B:$B,A958,'Issuance Log'!$G:$G,$B$4),0)</f>
        <v>0</v>
      </c>
      <c r="E958" s="5" t="str">
        <f ca="1">IFERROR(INDEX('Issuance Log'!$E:$E,MATCH(MAXIFS('Issuance Log'!$D:$D,'Issuance Log'!$B:$B,A958,'Issuance Log'!$G:$G,$B$4),IF(('Issuance Log'!$B:$B=A958)*('Issuance Log'!$G:$G=$B$4),'Issuance Log'!$D:$D),0)),"-")</f>
        <v>-</v>
      </c>
    </row>
    <row r="959" spans="1:5" x14ac:dyDescent="0.25">
      <c r="A959" s="2" t="s">
        <v>1863</v>
      </c>
      <c r="B959" s="2" t="s">
        <v>1864</v>
      </c>
      <c r="C959" s="3">
        <f>IFERROR(SUMIFS('Issuance Log'!$D:$D,'Issuance Log'!$B:$B,A959,'Issuance Log'!$G:$G,$B$4),0)</f>
        <v>0</v>
      </c>
      <c r="D959" s="3">
        <f>IFERROR(COUNTIFS('Issuance Log'!$B:$B,A959,'Issuance Log'!$G:$G,$B$4),0)</f>
        <v>0</v>
      </c>
      <c r="E959" s="3" t="str">
        <f ca="1">IFERROR(INDEX('Issuance Log'!$E:$E,MATCH(MAXIFS('Issuance Log'!$D:$D,'Issuance Log'!$B:$B,A959,'Issuance Log'!$G:$G,$B$4),IF(('Issuance Log'!$B:$B=A959)*('Issuance Log'!$G:$G=$B$4),'Issuance Log'!$D:$D),0)),"-")</f>
        <v>-</v>
      </c>
    </row>
    <row r="960" spans="1:5" x14ac:dyDescent="0.25">
      <c r="A960" s="4" t="s">
        <v>1865</v>
      </c>
      <c r="B960" s="4" t="s">
        <v>1866</v>
      </c>
      <c r="C960" s="5">
        <f>IFERROR(SUMIFS('Issuance Log'!$D:$D,'Issuance Log'!$B:$B,A960,'Issuance Log'!$G:$G,$B$4),0)</f>
        <v>0</v>
      </c>
      <c r="D960" s="5">
        <f>IFERROR(COUNTIFS('Issuance Log'!$B:$B,A960,'Issuance Log'!$G:$G,$B$4),0)</f>
        <v>0</v>
      </c>
      <c r="E960" s="5" t="str">
        <f ca="1">IFERROR(INDEX('Issuance Log'!$E:$E,MATCH(MAXIFS('Issuance Log'!$D:$D,'Issuance Log'!$B:$B,A960,'Issuance Log'!$G:$G,$B$4),IF(('Issuance Log'!$B:$B=A960)*('Issuance Log'!$G:$G=$B$4),'Issuance Log'!$D:$D),0)),"-")</f>
        <v>-</v>
      </c>
    </row>
    <row r="961" spans="1:5" x14ac:dyDescent="0.25">
      <c r="A961" s="2" t="s">
        <v>1867</v>
      </c>
      <c r="B961" s="2" t="s">
        <v>1868</v>
      </c>
      <c r="C961" s="3">
        <f>IFERROR(SUMIFS('Issuance Log'!$D:$D,'Issuance Log'!$B:$B,A961,'Issuance Log'!$G:$G,$B$4),0)</f>
        <v>0</v>
      </c>
      <c r="D961" s="3">
        <f>IFERROR(COUNTIFS('Issuance Log'!$B:$B,A961,'Issuance Log'!$G:$G,$B$4),0)</f>
        <v>0</v>
      </c>
      <c r="E961" s="3" t="str">
        <f ca="1">IFERROR(INDEX('Issuance Log'!$E:$E,MATCH(MAXIFS('Issuance Log'!$D:$D,'Issuance Log'!$B:$B,A961,'Issuance Log'!$G:$G,$B$4),IF(('Issuance Log'!$B:$B=A961)*('Issuance Log'!$G:$G=$B$4),'Issuance Log'!$D:$D),0)),"-")</f>
        <v>-</v>
      </c>
    </row>
    <row r="962" spans="1:5" x14ac:dyDescent="0.25">
      <c r="A962" s="4" t="s">
        <v>1869</v>
      </c>
      <c r="B962" s="4" t="s">
        <v>1870</v>
      </c>
      <c r="C962" s="5">
        <f>IFERROR(SUMIFS('Issuance Log'!$D:$D,'Issuance Log'!$B:$B,A962,'Issuance Log'!$G:$G,$B$4),0)</f>
        <v>0</v>
      </c>
      <c r="D962" s="5">
        <f>IFERROR(COUNTIFS('Issuance Log'!$B:$B,A962,'Issuance Log'!$G:$G,$B$4),0)</f>
        <v>0</v>
      </c>
      <c r="E962" s="5" t="str">
        <f ca="1">IFERROR(INDEX('Issuance Log'!$E:$E,MATCH(MAXIFS('Issuance Log'!$D:$D,'Issuance Log'!$B:$B,A962,'Issuance Log'!$G:$G,$B$4),IF(('Issuance Log'!$B:$B=A962)*('Issuance Log'!$G:$G=$B$4),'Issuance Log'!$D:$D),0)),"-")</f>
        <v>-</v>
      </c>
    </row>
    <row r="963" spans="1:5" x14ac:dyDescent="0.25">
      <c r="A963" s="2" t="s">
        <v>1871</v>
      </c>
      <c r="B963" s="2" t="s">
        <v>1872</v>
      </c>
      <c r="C963" s="3">
        <f>IFERROR(SUMIFS('Issuance Log'!$D:$D,'Issuance Log'!$B:$B,A963,'Issuance Log'!$G:$G,$B$4),0)</f>
        <v>0</v>
      </c>
      <c r="D963" s="3">
        <f>IFERROR(COUNTIFS('Issuance Log'!$B:$B,A963,'Issuance Log'!$G:$G,$B$4),0)</f>
        <v>0</v>
      </c>
      <c r="E963" s="3" t="str">
        <f ca="1">IFERROR(INDEX('Issuance Log'!$E:$E,MATCH(MAXIFS('Issuance Log'!$D:$D,'Issuance Log'!$B:$B,A963,'Issuance Log'!$G:$G,$B$4),IF(('Issuance Log'!$B:$B=A963)*('Issuance Log'!$G:$G=$B$4),'Issuance Log'!$D:$D),0)),"-")</f>
        <v>-</v>
      </c>
    </row>
    <row r="964" spans="1:5" x14ac:dyDescent="0.25">
      <c r="A964" s="4" t="s">
        <v>1873</v>
      </c>
      <c r="B964" s="4" t="s">
        <v>1874</v>
      </c>
      <c r="C964" s="5">
        <f>IFERROR(SUMIFS('Issuance Log'!$D:$D,'Issuance Log'!$B:$B,A964,'Issuance Log'!$G:$G,$B$4),0)</f>
        <v>0</v>
      </c>
      <c r="D964" s="5">
        <f>IFERROR(COUNTIFS('Issuance Log'!$B:$B,A964,'Issuance Log'!$G:$G,$B$4),0)</f>
        <v>0</v>
      </c>
      <c r="E964" s="5" t="str">
        <f ca="1">IFERROR(INDEX('Issuance Log'!$E:$E,MATCH(MAXIFS('Issuance Log'!$D:$D,'Issuance Log'!$B:$B,A964,'Issuance Log'!$G:$G,$B$4),IF(('Issuance Log'!$B:$B=A964)*('Issuance Log'!$G:$G=$B$4),'Issuance Log'!$D:$D),0)),"-")</f>
        <v>-</v>
      </c>
    </row>
    <row r="965" spans="1:5" x14ac:dyDescent="0.25">
      <c r="A965" s="2" t="s">
        <v>1875</v>
      </c>
      <c r="B965" s="2" t="s">
        <v>1876</v>
      </c>
      <c r="C965" s="3">
        <f>IFERROR(SUMIFS('Issuance Log'!$D:$D,'Issuance Log'!$B:$B,A965,'Issuance Log'!$G:$G,$B$4),0)</f>
        <v>0</v>
      </c>
      <c r="D965" s="3">
        <f>IFERROR(COUNTIFS('Issuance Log'!$B:$B,A965,'Issuance Log'!$G:$G,$B$4),0)</f>
        <v>0</v>
      </c>
      <c r="E965" s="3" t="str">
        <f ca="1">IFERROR(INDEX('Issuance Log'!$E:$E,MATCH(MAXIFS('Issuance Log'!$D:$D,'Issuance Log'!$B:$B,A965,'Issuance Log'!$G:$G,$B$4),IF(('Issuance Log'!$B:$B=A965)*('Issuance Log'!$G:$G=$B$4),'Issuance Log'!$D:$D),0)),"-")</f>
        <v>-</v>
      </c>
    </row>
    <row r="966" spans="1:5" x14ac:dyDescent="0.25">
      <c r="A966" s="4" t="s">
        <v>1877</v>
      </c>
      <c r="B966" s="4" t="s">
        <v>1878</v>
      </c>
      <c r="C966" s="5">
        <f>IFERROR(SUMIFS('Issuance Log'!$D:$D,'Issuance Log'!$B:$B,A966,'Issuance Log'!$G:$G,$B$4),0)</f>
        <v>0</v>
      </c>
      <c r="D966" s="5">
        <f>IFERROR(COUNTIFS('Issuance Log'!$B:$B,A966,'Issuance Log'!$G:$G,$B$4),0)</f>
        <v>0</v>
      </c>
      <c r="E966" s="5" t="str">
        <f ca="1">IFERROR(INDEX('Issuance Log'!$E:$E,MATCH(MAXIFS('Issuance Log'!$D:$D,'Issuance Log'!$B:$B,A966,'Issuance Log'!$G:$G,$B$4),IF(('Issuance Log'!$B:$B=A966)*('Issuance Log'!$G:$G=$B$4),'Issuance Log'!$D:$D),0)),"-")</f>
        <v>-</v>
      </c>
    </row>
    <row r="967" spans="1:5" x14ac:dyDescent="0.25">
      <c r="A967" s="2" t="s">
        <v>1879</v>
      </c>
      <c r="B967" s="2" t="s">
        <v>1880</v>
      </c>
      <c r="C967" s="3">
        <f>IFERROR(SUMIFS('Issuance Log'!$D:$D,'Issuance Log'!$B:$B,A967,'Issuance Log'!$G:$G,$B$4),0)</f>
        <v>0</v>
      </c>
      <c r="D967" s="3">
        <f>IFERROR(COUNTIFS('Issuance Log'!$B:$B,A967,'Issuance Log'!$G:$G,$B$4),0)</f>
        <v>0</v>
      </c>
      <c r="E967" s="3" t="str">
        <f ca="1">IFERROR(INDEX('Issuance Log'!$E:$E,MATCH(MAXIFS('Issuance Log'!$D:$D,'Issuance Log'!$B:$B,A967,'Issuance Log'!$G:$G,$B$4),IF(('Issuance Log'!$B:$B=A967)*('Issuance Log'!$G:$G=$B$4),'Issuance Log'!$D:$D),0)),"-")</f>
        <v>-</v>
      </c>
    </row>
    <row r="968" spans="1:5" x14ac:dyDescent="0.25">
      <c r="A968" s="4" t="s">
        <v>1881</v>
      </c>
      <c r="B968" s="4" t="s">
        <v>1882</v>
      </c>
      <c r="C968" s="5">
        <f>IFERROR(SUMIFS('Issuance Log'!$D:$D,'Issuance Log'!$B:$B,A968,'Issuance Log'!$G:$G,$B$4),0)</f>
        <v>0</v>
      </c>
      <c r="D968" s="5">
        <f>IFERROR(COUNTIFS('Issuance Log'!$B:$B,A968,'Issuance Log'!$G:$G,$B$4),0)</f>
        <v>0</v>
      </c>
      <c r="E968" s="5" t="str">
        <f ca="1">IFERROR(INDEX('Issuance Log'!$E:$E,MATCH(MAXIFS('Issuance Log'!$D:$D,'Issuance Log'!$B:$B,A968,'Issuance Log'!$G:$G,$B$4),IF(('Issuance Log'!$B:$B=A968)*('Issuance Log'!$G:$G=$B$4),'Issuance Log'!$D:$D),0)),"-")</f>
        <v>-</v>
      </c>
    </row>
    <row r="969" spans="1:5" x14ac:dyDescent="0.25">
      <c r="A969" s="2" t="s">
        <v>1883</v>
      </c>
      <c r="B969" s="2" t="s">
        <v>1884</v>
      </c>
      <c r="C969" s="3">
        <f>IFERROR(SUMIFS('Issuance Log'!$D:$D,'Issuance Log'!$B:$B,A969,'Issuance Log'!$G:$G,$B$4),0)</f>
        <v>0</v>
      </c>
      <c r="D969" s="3">
        <f>IFERROR(COUNTIFS('Issuance Log'!$B:$B,A969,'Issuance Log'!$G:$G,$B$4),0)</f>
        <v>0</v>
      </c>
      <c r="E969" s="3" t="str">
        <f ca="1">IFERROR(INDEX('Issuance Log'!$E:$E,MATCH(MAXIFS('Issuance Log'!$D:$D,'Issuance Log'!$B:$B,A969,'Issuance Log'!$G:$G,$B$4),IF(('Issuance Log'!$B:$B=A969)*('Issuance Log'!$G:$G=$B$4),'Issuance Log'!$D:$D),0)),"-")</f>
        <v>-</v>
      </c>
    </row>
    <row r="970" spans="1:5" x14ac:dyDescent="0.25">
      <c r="A970" s="4" t="s">
        <v>1885</v>
      </c>
      <c r="B970" s="4" t="s">
        <v>1886</v>
      </c>
      <c r="C970" s="5">
        <f>IFERROR(SUMIFS('Issuance Log'!$D:$D,'Issuance Log'!$B:$B,A970,'Issuance Log'!$G:$G,$B$4),0)</f>
        <v>0</v>
      </c>
      <c r="D970" s="5">
        <f>IFERROR(COUNTIFS('Issuance Log'!$B:$B,A970,'Issuance Log'!$G:$G,$B$4),0)</f>
        <v>0</v>
      </c>
      <c r="E970" s="5" t="str">
        <f ca="1">IFERROR(INDEX('Issuance Log'!$E:$E,MATCH(MAXIFS('Issuance Log'!$D:$D,'Issuance Log'!$B:$B,A970,'Issuance Log'!$G:$G,$B$4),IF(('Issuance Log'!$B:$B=A970)*('Issuance Log'!$G:$G=$B$4),'Issuance Log'!$D:$D),0)),"-")</f>
        <v>-</v>
      </c>
    </row>
    <row r="971" spans="1:5" x14ac:dyDescent="0.25">
      <c r="A971" s="2" t="s">
        <v>1887</v>
      </c>
      <c r="B971" s="2" t="s">
        <v>1888</v>
      </c>
      <c r="C971" s="3">
        <f>IFERROR(SUMIFS('Issuance Log'!$D:$D,'Issuance Log'!$B:$B,A971,'Issuance Log'!$G:$G,$B$4),0)</f>
        <v>0</v>
      </c>
      <c r="D971" s="3">
        <f>IFERROR(COUNTIFS('Issuance Log'!$B:$B,A971,'Issuance Log'!$G:$G,$B$4),0)</f>
        <v>0</v>
      </c>
      <c r="E971" s="3" t="str">
        <f ca="1">IFERROR(INDEX('Issuance Log'!$E:$E,MATCH(MAXIFS('Issuance Log'!$D:$D,'Issuance Log'!$B:$B,A971,'Issuance Log'!$G:$G,$B$4),IF(('Issuance Log'!$B:$B=A971)*('Issuance Log'!$G:$G=$B$4),'Issuance Log'!$D:$D),0)),"-")</f>
        <v>-</v>
      </c>
    </row>
    <row r="972" spans="1:5" x14ac:dyDescent="0.25">
      <c r="A972" s="4" t="s">
        <v>1889</v>
      </c>
      <c r="B972" s="4" t="s">
        <v>1890</v>
      </c>
      <c r="C972" s="5">
        <f>IFERROR(SUMIFS('Issuance Log'!$D:$D,'Issuance Log'!$B:$B,A972,'Issuance Log'!$G:$G,$B$4),0)</f>
        <v>0</v>
      </c>
      <c r="D972" s="5">
        <f>IFERROR(COUNTIFS('Issuance Log'!$B:$B,A972,'Issuance Log'!$G:$G,$B$4),0)</f>
        <v>0</v>
      </c>
      <c r="E972" s="5" t="str">
        <f ca="1">IFERROR(INDEX('Issuance Log'!$E:$E,MATCH(MAXIFS('Issuance Log'!$D:$D,'Issuance Log'!$B:$B,A972,'Issuance Log'!$G:$G,$B$4),IF(('Issuance Log'!$B:$B=A972)*('Issuance Log'!$G:$G=$B$4),'Issuance Log'!$D:$D),0)),"-")</f>
        <v>-</v>
      </c>
    </row>
    <row r="973" spans="1:5" x14ac:dyDescent="0.25">
      <c r="A973" s="2" t="s">
        <v>1891</v>
      </c>
      <c r="B973" s="2" t="s">
        <v>1892</v>
      </c>
      <c r="C973" s="3">
        <f>IFERROR(SUMIFS('Issuance Log'!$D:$D,'Issuance Log'!$B:$B,A973,'Issuance Log'!$G:$G,$B$4),0)</f>
        <v>0</v>
      </c>
      <c r="D973" s="3">
        <f>IFERROR(COUNTIFS('Issuance Log'!$B:$B,A973,'Issuance Log'!$G:$G,$B$4),0)</f>
        <v>0</v>
      </c>
      <c r="E973" s="3" t="str">
        <f ca="1">IFERROR(INDEX('Issuance Log'!$E:$E,MATCH(MAXIFS('Issuance Log'!$D:$D,'Issuance Log'!$B:$B,A973,'Issuance Log'!$G:$G,$B$4),IF(('Issuance Log'!$B:$B=A973)*('Issuance Log'!$G:$G=$B$4),'Issuance Log'!$D:$D),0)),"-")</f>
        <v>-</v>
      </c>
    </row>
    <row r="974" spans="1:5" x14ac:dyDescent="0.25">
      <c r="A974" s="4" t="s">
        <v>1893</v>
      </c>
      <c r="B974" s="4" t="s">
        <v>1894</v>
      </c>
      <c r="C974" s="5">
        <f>IFERROR(SUMIFS('Issuance Log'!$D:$D,'Issuance Log'!$B:$B,A974,'Issuance Log'!$G:$G,$B$4),0)</f>
        <v>0</v>
      </c>
      <c r="D974" s="5">
        <f>IFERROR(COUNTIFS('Issuance Log'!$B:$B,A974,'Issuance Log'!$G:$G,$B$4),0)</f>
        <v>0</v>
      </c>
      <c r="E974" s="5" t="str">
        <f ca="1">IFERROR(INDEX('Issuance Log'!$E:$E,MATCH(MAXIFS('Issuance Log'!$D:$D,'Issuance Log'!$B:$B,A974,'Issuance Log'!$G:$G,$B$4),IF(('Issuance Log'!$B:$B=A974)*('Issuance Log'!$G:$G=$B$4),'Issuance Log'!$D:$D),0)),"-")</f>
        <v>-</v>
      </c>
    </row>
    <row r="975" spans="1:5" x14ac:dyDescent="0.25">
      <c r="A975" s="2" t="s">
        <v>1895</v>
      </c>
      <c r="B975" s="2" t="s">
        <v>1896</v>
      </c>
      <c r="C975" s="3">
        <f>IFERROR(SUMIFS('Issuance Log'!$D:$D,'Issuance Log'!$B:$B,A975,'Issuance Log'!$G:$G,$B$4),0)</f>
        <v>0</v>
      </c>
      <c r="D975" s="3">
        <f>IFERROR(COUNTIFS('Issuance Log'!$B:$B,A975,'Issuance Log'!$G:$G,$B$4),0)</f>
        <v>0</v>
      </c>
      <c r="E975" s="3" t="str">
        <f ca="1">IFERROR(INDEX('Issuance Log'!$E:$E,MATCH(MAXIFS('Issuance Log'!$D:$D,'Issuance Log'!$B:$B,A975,'Issuance Log'!$G:$G,$B$4),IF(('Issuance Log'!$B:$B=A975)*('Issuance Log'!$G:$G=$B$4),'Issuance Log'!$D:$D),0)),"-")</f>
        <v>-</v>
      </c>
    </row>
    <row r="976" spans="1:5" x14ac:dyDescent="0.25">
      <c r="A976" s="4" t="s">
        <v>1897</v>
      </c>
      <c r="B976" s="4" t="s">
        <v>1898</v>
      </c>
      <c r="C976" s="5">
        <f>IFERROR(SUMIFS('Issuance Log'!$D:$D,'Issuance Log'!$B:$B,A976,'Issuance Log'!$G:$G,$B$4),0)</f>
        <v>0</v>
      </c>
      <c r="D976" s="5">
        <f>IFERROR(COUNTIFS('Issuance Log'!$B:$B,A976,'Issuance Log'!$G:$G,$B$4),0)</f>
        <v>0</v>
      </c>
      <c r="E976" s="5" t="str">
        <f ca="1">IFERROR(INDEX('Issuance Log'!$E:$E,MATCH(MAXIFS('Issuance Log'!$D:$D,'Issuance Log'!$B:$B,A976,'Issuance Log'!$G:$G,$B$4),IF(('Issuance Log'!$B:$B=A976)*('Issuance Log'!$G:$G=$B$4),'Issuance Log'!$D:$D),0)),"-")</f>
        <v>-</v>
      </c>
    </row>
    <row r="977" spans="1:5" x14ac:dyDescent="0.25">
      <c r="A977" s="2" t="s">
        <v>1899</v>
      </c>
      <c r="B977" s="2" t="s">
        <v>1900</v>
      </c>
      <c r="C977" s="3">
        <f>IFERROR(SUMIFS('Issuance Log'!$D:$D,'Issuance Log'!$B:$B,A977,'Issuance Log'!$G:$G,$B$4),0)</f>
        <v>0</v>
      </c>
      <c r="D977" s="3">
        <f>IFERROR(COUNTIFS('Issuance Log'!$B:$B,A977,'Issuance Log'!$G:$G,$B$4),0)</f>
        <v>0</v>
      </c>
      <c r="E977" s="3" t="str">
        <f ca="1">IFERROR(INDEX('Issuance Log'!$E:$E,MATCH(MAXIFS('Issuance Log'!$D:$D,'Issuance Log'!$B:$B,A977,'Issuance Log'!$G:$G,$B$4),IF(('Issuance Log'!$B:$B=A977)*('Issuance Log'!$G:$G=$B$4),'Issuance Log'!$D:$D),0)),"-")</f>
        <v>-</v>
      </c>
    </row>
    <row r="978" spans="1:5" x14ac:dyDescent="0.25">
      <c r="A978" s="4" t="s">
        <v>1901</v>
      </c>
      <c r="B978" s="4" t="s">
        <v>1902</v>
      </c>
      <c r="C978" s="5">
        <f>IFERROR(SUMIFS('Issuance Log'!$D:$D,'Issuance Log'!$B:$B,A978,'Issuance Log'!$G:$G,$B$4),0)</f>
        <v>0</v>
      </c>
      <c r="D978" s="5">
        <f>IFERROR(COUNTIFS('Issuance Log'!$B:$B,A978,'Issuance Log'!$G:$G,$B$4),0)</f>
        <v>0</v>
      </c>
      <c r="E978" s="5" t="str">
        <f ca="1">IFERROR(INDEX('Issuance Log'!$E:$E,MATCH(MAXIFS('Issuance Log'!$D:$D,'Issuance Log'!$B:$B,A978,'Issuance Log'!$G:$G,$B$4),IF(('Issuance Log'!$B:$B=A978)*('Issuance Log'!$G:$G=$B$4),'Issuance Log'!$D:$D),0)),"-")</f>
        <v>-</v>
      </c>
    </row>
    <row r="979" spans="1:5" x14ac:dyDescent="0.25">
      <c r="A979" s="2" t="s">
        <v>1903</v>
      </c>
      <c r="B979" s="2" t="s">
        <v>1904</v>
      </c>
      <c r="C979" s="3">
        <f>IFERROR(SUMIFS('Issuance Log'!$D:$D,'Issuance Log'!$B:$B,A979,'Issuance Log'!$G:$G,$B$4),0)</f>
        <v>0</v>
      </c>
      <c r="D979" s="3">
        <f>IFERROR(COUNTIFS('Issuance Log'!$B:$B,A979,'Issuance Log'!$G:$G,$B$4),0)</f>
        <v>0</v>
      </c>
      <c r="E979" s="3" t="str">
        <f ca="1">IFERROR(INDEX('Issuance Log'!$E:$E,MATCH(MAXIFS('Issuance Log'!$D:$D,'Issuance Log'!$B:$B,A979,'Issuance Log'!$G:$G,$B$4),IF(('Issuance Log'!$B:$B=A979)*('Issuance Log'!$G:$G=$B$4),'Issuance Log'!$D:$D),0)),"-")</f>
        <v>-</v>
      </c>
    </row>
    <row r="980" spans="1:5" x14ac:dyDescent="0.25">
      <c r="A980" s="4" t="s">
        <v>1905</v>
      </c>
      <c r="B980" s="4" t="s">
        <v>1906</v>
      </c>
      <c r="C980" s="5">
        <f>IFERROR(SUMIFS('Issuance Log'!$D:$D,'Issuance Log'!$B:$B,A980,'Issuance Log'!$G:$G,$B$4),0)</f>
        <v>0</v>
      </c>
      <c r="D980" s="5">
        <f>IFERROR(COUNTIFS('Issuance Log'!$B:$B,A980,'Issuance Log'!$G:$G,$B$4),0)</f>
        <v>0</v>
      </c>
      <c r="E980" s="5" t="str">
        <f ca="1">IFERROR(INDEX('Issuance Log'!$E:$E,MATCH(MAXIFS('Issuance Log'!$D:$D,'Issuance Log'!$B:$B,A980,'Issuance Log'!$G:$G,$B$4),IF(('Issuance Log'!$B:$B=A980)*('Issuance Log'!$G:$G=$B$4),'Issuance Log'!$D:$D),0)),"-")</f>
        <v>-</v>
      </c>
    </row>
    <row r="981" spans="1:5" x14ac:dyDescent="0.25">
      <c r="A981" s="2" t="s">
        <v>1907</v>
      </c>
      <c r="B981" s="2" t="s">
        <v>1908</v>
      </c>
      <c r="C981" s="3">
        <f>IFERROR(SUMIFS('Issuance Log'!$D:$D,'Issuance Log'!$B:$B,A981,'Issuance Log'!$G:$G,$B$4),0)</f>
        <v>0</v>
      </c>
      <c r="D981" s="3">
        <f>IFERROR(COUNTIFS('Issuance Log'!$B:$B,A981,'Issuance Log'!$G:$G,$B$4),0)</f>
        <v>0</v>
      </c>
      <c r="E981" s="3" t="str">
        <f ca="1">IFERROR(INDEX('Issuance Log'!$E:$E,MATCH(MAXIFS('Issuance Log'!$D:$D,'Issuance Log'!$B:$B,A981,'Issuance Log'!$G:$G,$B$4),IF(('Issuance Log'!$B:$B=A981)*('Issuance Log'!$G:$G=$B$4),'Issuance Log'!$D:$D),0)),"-")</f>
        <v>-</v>
      </c>
    </row>
    <row r="982" spans="1:5" x14ac:dyDescent="0.25">
      <c r="A982" s="4" t="s">
        <v>1909</v>
      </c>
      <c r="B982" s="4" t="s">
        <v>1910</v>
      </c>
      <c r="C982" s="5">
        <f>IFERROR(SUMIFS('Issuance Log'!$D:$D,'Issuance Log'!$B:$B,A982,'Issuance Log'!$G:$G,$B$4),0)</f>
        <v>0</v>
      </c>
      <c r="D982" s="5">
        <f>IFERROR(COUNTIFS('Issuance Log'!$B:$B,A982,'Issuance Log'!$G:$G,$B$4),0)</f>
        <v>0</v>
      </c>
      <c r="E982" s="5" t="str">
        <f ca="1">IFERROR(INDEX('Issuance Log'!$E:$E,MATCH(MAXIFS('Issuance Log'!$D:$D,'Issuance Log'!$B:$B,A982,'Issuance Log'!$G:$G,$B$4),IF(('Issuance Log'!$B:$B=A982)*('Issuance Log'!$G:$G=$B$4),'Issuance Log'!$D:$D),0)),"-")</f>
        <v>-</v>
      </c>
    </row>
    <row r="983" spans="1:5" x14ac:dyDescent="0.25">
      <c r="A983" s="2" t="s">
        <v>1911</v>
      </c>
      <c r="B983" s="2" t="s">
        <v>1912</v>
      </c>
      <c r="C983" s="3">
        <f>IFERROR(SUMIFS('Issuance Log'!$D:$D,'Issuance Log'!$B:$B,A983,'Issuance Log'!$G:$G,$B$4),0)</f>
        <v>0</v>
      </c>
      <c r="D983" s="3">
        <f>IFERROR(COUNTIFS('Issuance Log'!$B:$B,A983,'Issuance Log'!$G:$G,$B$4),0)</f>
        <v>0</v>
      </c>
      <c r="E983" s="3" t="str">
        <f ca="1">IFERROR(INDEX('Issuance Log'!$E:$E,MATCH(MAXIFS('Issuance Log'!$D:$D,'Issuance Log'!$B:$B,A983,'Issuance Log'!$G:$G,$B$4),IF(('Issuance Log'!$B:$B=A983)*('Issuance Log'!$G:$G=$B$4),'Issuance Log'!$D:$D),0)),"-")</f>
        <v>-</v>
      </c>
    </row>
    <row r="984" spans="1:5" x14ac:dyDescent="0.25">
      <c r="A984" s="4" t="s">
        <v>1913</v>
      </c>
      <c r="B984" s="4" t="s">
        <v>1914</v>
      </c>
      <c r="C984" s="5">
        <f>IFERROR(SUMIFS('Issuance Log'!$D:$D,'Issuance Log'!$B:$B,A984,'Issuance Log'!$G:$G,$B$4),0)</f>
        <v>0</v>
      </c>
      <c r="D984" s="5">
        <f>IFERROR(COUNTIFS('Issuance Log'!$B:$B,A984,'Issuance Log'!$G:$G,$B$4),0)</f>
        <v>0</v>
      </c>
      <c r="E984" s="5" t="str">
        <f ca="1">IFERROR(INDEX('Issuance Log'!$E:$E,MATCH(MAXIFS('Issuance Log'!$D:$D,'Issuance Log'!$B:$B,A984,'Issuance Log'!$G:$G,$B$4),IF(('Issuance Log'!$B:$B=A984)*('Issuance Log'!$G:$G=$B$4),'Issuance Log'!$D:$D),0)),"-")</f>
        <v>-</v>
      </c>
    </row>
    <row r="985" spans="1:5" x14ac:dyDescent="0.25">
      <c r="A985" s="2" t="s">
        <v>1915</v>
      </c>
      <c r="B985" s="2" t="s">
        <v>1916</v>
      </c>
      <c r="C985" s="3">
        <f>IFERROR(SUMIFS('Issuance Log'!$D:$D,'Issuance Log'!$B:$B,A985,'Issuance Log'!$G:$G,$B$4),0)</f>
        <v>0</v>
      </c>
      <c r="D985" s="3">
        <f>IFERROR(COUNTIFS('Issuance Log'!$B:$B,A985,'Issuance Log'!$G:$G,$B$4),0)</f>
        <v>0</v>
      </c>
      <c r="E985" s="3" t="str">
        <f ca="1">IFERROR(INDEX('Issuance Log'!$E:$E,MATCH(MAXIFS('Issuance Log'!$D:$D,'Issuance Log'!$B:$B,A985,'Issuance Log'!$G:$G,$B$4),IF(('Issuance Log'!$B:$B=A985)*('Issuance Log'!$G:$G=$B$4),'Issuance Log'!$D:$D),0)),"-")</f>
        <v>-</v>
      </c>
    </row>
    <row r="986" spans="1:5" x14ac:dyDescent="0.25">
      <c r="A986" s="4" t="s">
        <v>1917</v>
      </c>
      <c r="B986" s="4" t="s">
        <v>1918</v>
      </c>
      <c r="C986" s="5">
        <f>IFERROR(SUMIFS('Issuance Log'!$D:$D,'Issuance Log'!$B:$B,A986,'Issuance Log'!$G:$G,$B$4),0)</f>
        <v>0</v>
      </c>
      <c r="D986" s="5">
        <f>IFERROR(COUNTIFS('Issuance Log'!$B:$B,A986,'Issuance Log'!$G:$G,$B$4),0)</f>
        <v>0</v>
      </c>
      <c r="E986" s="5" t="str">
        <f ca="1">IFERROR(INDEX('Issuance Log'!$E:$E,MATCH(MAXIFS('Issuance Log'!$D:$D,'Issuance Log'!$B:$B,A986,'Issuance Log'!$G:$G,$B$4),IF(('Issuance Log'!$B:$B=A986)*('Issuance Log'!$G:$G=$B$4),'Issuance Log'!$D:$D),0)),"-")</f>
        <v>-</v>
      </c>
    </row>
    <row r="987" spans="1:5" x14ac:dyDescent="0.25">
      <c r="A987" s="2" t="s">
        <v>1919</v>
      </c>
      <c r="B987" s="2" t="s">
        <v>1920</v>
      </c>
      <c r="C987" s="3">
        <f>IFERROR(SUMIFS('Issuance Log'!$D:$D,'Issuance Log'!$B:$B,A987,'Issuance Log'!$G:$G,$B$4),0)</f>
        <v>0</v>
      </c>
      <c r="D987" s="3">
        <f>IFERROR(COUNTIFS('Issuance Log'!$B:$B,A987,'Issuance Log'!$G:$G,$B$4),0)</f>
        <v>0</v>
      </c>
      <c r="E987" s="3" t="str">
        <f ca="1">IFERROR(INDEX('Issuance Log'!$E:$E,MATCH(MAXIFS('Issuance Log'!$D:$D,'Issuance Log'!$B:$B,A987,'Issuance Log'!$G:$G,$B$4),IF(('Issuance Log'!$B:$B=A987)*('Issuance Log'!$G:$G=$B$4),'Issuance Log'!$D:$D),0)),"-")</f>
        <v>-</v>
      </c>
    </row>
    <row r="988" spans="1:5" x14ac:dyDescent="0.25">
      <c r="A988" s="4" t="s">
        <v>1921</v>
      </c>
      <c r="B988" s="4" t="s">
        <v>1922</v>
      </c>
      <c r="C988" s="5">
        <f>IFERROR(SUMIFS('Issuance Log'!$D:$D,'Issuance Log'!$B:$B,A988,'Issuance Log'!$G:$G,$B$4),0)</f>
        <v>0</v>
      </c>
      <c r="D988" s="5">
        <f>IFERROR(COUNTIFS('Issuance Log'!$B:$B,A988,'Issuance Log'!$G:$G,$B$4),0)</f>
        <v>0</v>
      </c>
      <c r="E988" s="5" t="str">
        <f ca="1">IFERROR(INDEX('Issuance Log'!$E:$E,MATCH(MAXIFS('Issuance Log'!$D:$D,'Issuance Log'!$B:$B,A988,'Issuance Log'!$G:$G,$B$4),IF(('Issuance Log'!$B:$B=A988)*('Issuance Log'!$G:$G=$B$4),'Issuance Log'!$D:$D),0)),"-")</f>
        <v>-</v>
      </c>
    </row>
    <row r="989" spans="1:5" x14ac:dyDescent="0.25">
      <c r="A989" s="2" t="s">
        <v>1923</v>
      </c>
      <c r="B989" s="2" t="s">
        <v>1924</v>
      </c>
      <c r="C989" s="3">
        <f>IFERROR(SUMIFS('Issuance Log'!$D:$D,'Issuance Log'!$B:$B,A989,'Issuance Log'!$G:$G,$B$4),0)</f>
        <v>0</v>
      </c>
      <c r="D989" s="3">
        <f>IFERROR(COUNTIFS('Issuance Log'!$B:$B,A989,'Issuance Log'!$G:$G,$B$4),0)</f>
        <v>0</v>
      </c>
      <c r="E989" s="3" t="str">
        <f ca="1">IFERROR(INDEX('Issuance Log'!$E:$E,MATCH(MAXIFS('Issuance Log'!$D:$D,'Issuance Log'!$B:$B,A989,'Issuance Log'!$G:$G,$B$4),IF(('Issuance Log'!$B:$B=A989)*('Issuance Log'!$G:$G=$B$4),'Issuance Log'!$D:$D),0)),"-")</f>
        <v>-</v>
      </c>
    </row>
    <row r="990" spans="1:5" x14ac:dyDescent="0.25">
      <c r="A990" s="4" t="s">
        <v>1925</v>
      </c>
      <c r="B990" s="4" t="s">
        <v>1926</v>
      </c>
      <c r="C990" s="5">
        <f>IFERROR(SUMIFS('Issuance Log'!$D:$D,'Issuance Log'!$B:$B,A990,'Issuance Log'!$G:$G,$B$4),0)</f>
        <v>0</v>
      </c>
      <c r="D990" s="5">
        <f>IFERROR(COUNTIFS('Issuance Log'!$B:$B,A990,'Issuance Log'!$G:$G,$B$4),0)</f>
        <v>0</v>
      </c>
      <c r="E990" s="5" t="str">
        <f ca="1">IFERROR(INDEX('Issuance Log'!$E:$E,MATCH(MAXIFS('Issuance Log'!$D:$D,'Issuance Log'!$B:$B,A990,'Issuance Log'!$G:$G,$B$4),IF(('Issuance Log'!$B:$B=A990)*('Issuance Log'!$G:$G=$B$4),'Issuance Log'!$D:$D),0)),"-")</f>
        <v>-</v>
      </c>
    </row>
    <row r="991" spans="1:5" x14ac:dyDescent="0.25">
      <c r="A991" s="2" t="s">
        <v>1927</v>
      </c>
      <c r="B991" s="2" t="s">
        <v>449</v>
      </c>
      <c r="C991" s="3">
        <f>IFERROR(SUMIFS('Issuance Log'!$D:$D,'Issuance Log'!$B:$B,A991,'Issuance Log'!$G:$G,$B$4),0)</f>
        <v>0</v>
      </c>
      <c r="D991" s="3">
        <f>IFERROR(COUNTIFS('Issuance Log'!$B:$B,A991,'Issuance Log'!$G:$G,$B$4),0)</f>
        <v>0</v>
      </c>
      <c r="E991" s="3" t="str">
        <f ca="1">IFERROR(INDEX('Issuance Log'!$E:$E,MATCH(MAXIFS('Issuance Log'!$D:$D,'Issuance Log'!$B:$B,A991,'Issuance Log'!$G:$G,$B$4),IF(('Issuance Log'!$B:$B=A991)*('Issuance Log'!$G:$G=$B$4),'Issuance Log'!$D:$D),0)),"-")</f>
        <v>-</v>
      </c>
    </row>
    <row r="992" spans="1:5" x14ac:dyDescent="0.25">
      <c r="A992" s="4" t="s">
        <v>1928</v>
      </c>
      <c r="B992" s="4" t="s">
        <v>1929</v>
      </c>
      <c r="C992" s="5">
        <f>IFERROR(SUMIFS('Issuance Log'!$D:$D,'Issuance Log'!$B:$B,A992,'Issuance Log'!$G:$G,$B$4),0)</f>
        <v>0</v>
      </c>
      <c r="D992" s="5">
        <f>IFERROR(COUNTIFS('Issuance Log'!$B:$B,A992,'Issuance Log'!$G:$G,$B$4),0)</f>
        <v>0</v>
      </c>
      <c r="E992" s="5" t="str">
        <f ca="1">IFERROR(INDEX('Issuance Log'!$E:$E,MATCH(MAXIFS('Issuance Log'!$D:$D,'Issuance Log'!$B:$B,A992,'Issuance Log'!$G:$G,$B$4),IF(('Issuance Log'!$B:$B=A992)*('Issuance Log'!$G:$G=$B$4),'Issuance Log'!$D:$D),0)),"-")</f>
        <v>-</v>
      </c>
    </row>
    <row r="993" spans="1:5" x14ac:dyDescent="0.25">
      <c r="A993" s="2" t="s">
        <v>1930</v>
      </c>
      <c r="B993" s="2" t="s">
        <v>1931</v>
      </c>
      <c r="C993" s="3">
        <f>IFERROR(SUMIFS('Issuance Log'!$D:$D,'Issuance Log'!$B:$B,A993,'Issuance Log'!$G:$G,$B$4),0)</f>
        <v>0</v>
      </c>
      <c r="D993" s="3">
        <f>IFERROR(COUNTIFS('Issuance Log'!$B:$B,A993,'Issuance Log'!$G:$G,$B$4),0)</f>
        <v>0</v>
      </c>
      <c r="E993" s="3" t="str">
        <f ca="1">IFERROR(INDEX('Issuance Log'!$E:$E,MATCH(MAXIFS('Issuance Log'!$D:$D,'Issuance Log'!$B:$B,A993,'Issuance Log'!$G:$G,$B$4),IF(('Issuance Log'!$B:$B=A993)*('Issuance Log'!$G:$G=$B$4),'Issuance Log'!$D:$D),0)),"-")</f>
        <v>-</v>
      </c>
    </row>
    <row r="994" spans="1:5" x14ac:dyDescent="0.25">
      <c r="A994" s="4" t="s">
        <v>1932</v>
      </c>
      <c r="B994" s="4" t="s">
        <v>1933</v>
      </c>
      <c r="C994" s="5">
        <f>IFERROR(SUMIFS('Issuance Log'!$D:$D,'Issuance Log'!$B:$B,A994,'Issuance Log'!$G:$G,$B$4),0)</f>
        <v>0</v>
      </c>
      <c r="D994" s="5">
        <f>IFERROR(COUNTIFS('Issuance Log'!$B:$B,A994,'Issuance Log'!$G:$G,$B$4),0)</f>
        <v>0</v>
      </c>
      <c r="E994" s="5" t="str">
        <f ca="1">IFERROR(INDEX('Issuance Log'!$E:$E,MATCH(MAXIFS('Issuance Log'!$D:$D,'Issuance Log'!$B:$B,A994,'Issuance Log'!$G:$G,$B$4),IF(('Issuance Log'!$B:$B=A994)*('Issuance Log'!$G:$G=$B$4),'Issuance Log'!$D:$D),0)),"-")</f>
        <v>-</v>
      </c>
    </row>
    <row r="995" spans="1:5" x14ac:dyDescent="0.25">
      <c r="A995" s="2" t="s">
        <v>1934</v>
      </c>
      <c r="B995" s="2" t="s">
        <v>1935</v>
      </c>
      <c r="C995" s="3">
        <f>IFERROR(SUMIFS('Issuance Log'!$D:$D,'Issuance Log'!$B:$B,A995,'Issuance Log'!$G:$G,$B$4),0)</f>
        <v>0</v>
      </c>
      <c r="D995" s="3">
        <f>IFERROR(COUNTIFS('Issuance Log'!$B:$B,A995,'Issuance Log'!$G:$G,$B$4),0)</f>
        <v>0</v>
      </c>
      <c r="E995" s="3" t="str">
        <f ca="1">IFERROR(INDEX('Issuance Log'!$E:$E,MATCH(MAXIFS('Issuance Log'!$D:$D,'Issuance Log'!$B:$B,A995,'Issuance Log'!$G:$G,$B$4),IF(('Issuance Log'!$B:$B=A995)*('Issuance Log'!$G:$G=$B$4),'Issuance Log'!$D:$D),0)),"-")</f>
        <v>-</v>
      </c>
    </row>
    <row r="996" spans="1:5" x14ac:dyDescent="0.25">
      <c r="A996" s="4" t="s">
        <v>1936</v>
      </c>
      <c r="B996" s="4" t="s">
        <v>1937</v>
      </c>
      <c r="C996" s="5">
        <f>IFERROR(SUMIFS('Issuance Log'!$D:$D,'Issuance Log'!$B:$B,A996,'Issuance Log'!$G:$G,$B$4),0)</f>
        <v>0</v>
      </c>
      <c r="D996" s="5">
        <f>IFERROR(COUNTIFS('Issuance Log'!$B:$B,A996,'Issuance Log'!$G:$G,$B$4),0)</f>
        <v>0</v>
      </c>
      <c r="E996" s="5" t="str">
        <f ca="1">IFERROR(INDEX('Issuance Log'!$E:$E,MATCH(MAXIFS('Issuance Log'!$D:$D,'Issuance Log'!$B:$B,A996,'Issuance Log'!$G:$G,$B$4),IF(('Issuance Log'!$B:$B=A996)*('Issuance Log'!$G:$G=$B$4),'Issuance Log'!$D:$D),0)),"-")</f>
        <v>-</v>
      </c>
    </row>
    <row r="997" spans="1:5" x14ac:dyDescent="0.25">
      <c r="A997" s="2" t="s">
        <v>1938</v>
      </c>
      <c r="B997" s="2" t="s">
        <v>1939</v>
      </c>
      <c r="C997" s="3">
        <f>IFERROR(SUMIFS('Issuance Log'!$D:$D,'Issuance Log'!$B:$B,A997,'Issuance Log'!$G:$G,$B$4),0)</f>
        <v>0</v>
      </c>
      <c r="D997" s="3">
        <f>IFERROR(COUNTIFS('Issuance Log'!$B:$B,A997,'Issuance Log'!$G:$G,$B$4),0)</f>
        <v>0</v>
      </c>
      <c r="E997" s="3" t="str">
        <f ca="1">IFERROR(INDEX('Issuance Log'!$E:$E,MATCH(MAXIFS('Issuance Log'!$D:$D,'Issuance Log'!$B:$B,A997,'Issuance Log'!$G:$G,$B$4),IF(('Issuance Log'!$B:$B=A997)*('Issuance Log'!$G:$G=$B$4),'Issuance Log'!$D:$D),0)),"-")</f>
        <v>-</v>
      </c>
    </row>
    <row r="998" spans="1:5" x14ac:dyDescent="0.25">
      <c r="A998" s="4" t="s">
        <v>1940</v>
      </c>
      <c r="B998" s="4" t="s">
        <v>1941</v>
      </c>
      <c r="C998" s="5">
        <f>IFERROR(SUMIFS('Issuance Log'!$D:$D,'Issuance Log'!$B:$B,A998,'Issuance Log'!$G:$G,$B$4),0)</f>
        <v>0</v>
      </c>
      <c r="D998" s="5">
        <f>IFERROR(COUNTIFS('Issuance Log'!$B:$B,A998,'Issuance Log'!$G:$G,$B$4),0)</f>
        <v>0</v>
      </c>
      <c r="E998" s="5" t="str">
        <f ca="1">IFERROR(INDEX('Issuance Log'!$E:$E,MATCH(MAXIFS('Issuance Log'!$D:$D,'Issuance Log'!$B:$B,A998,'Issuance Log'!$G:$G,$B$4),IF(('Issuance Log'!$B:$B=A998)*('Issuance Log'!$G:$G=$B$4),'Issuance Log'!$D:$D),0)),"-")</f>
        <v>-</v>
      </c>
    </row>
    <row r="999" spans="1:5" x14ac:dyDescent="0.25">
      <c r="A999" s="2" t="s">
        <v>1942</v>
      </c>
      <c r="B999" s="2" t="s">
        <v>1943</v>
      </c>
      <c r="C999" s="3">
        <f>IFERROR(SUMIFS('Issuance Log'!$D:$D,'Issuance Log'!$B:$B,A999,'Issuance Log'!$G:$G,$B$4),0)</f>
        <v>0</v>
      </c>
      <c r="D999" s="3">
        <f>IFERROR(COUNTIFS('Issuance Log'!$B:$B,A999,'Issuance Log'!$G:$G,$B$4),0)</f>
        <v>0</v>
      </c>
      <c r="E999" s="3" t="str">
        <f ca="1">IFERROR(INDEX('Issuance Log'!$E:$E,MATCH(MAXIFS('Issuance Log'!$D:$D,'Issuance Log'!$B:$B,A999,'Issuance Log'!$G:$G,$B$4),IF(('Issuance Log'!$B:$B=A999)*('Issuance Log'!$G:$G=$B$4),'Issuance Log'!$D:$D),0)),"-")</f>
        <v>-</v>
      </c>
    </row>
    <row r="1000" spans="1:5" x14ac:dyDescent="0.25">
      <c r="A1000" s="4" t="s">
        <v>1944</v>
      </c>
      <c r="B1000" s="4" t="s">
        <v>1945</v>
      </c>
      <c r="C1000" s="5">
        <f>IFERROR(SUMIFS('Issuance Log'!$D:$D,'Issuance Log'!$B:$B,A1000,'Issuance Log'!$G:$G,$B$4),0)</f>
        <v>0</v>
      </c>
      <c r="D1000" s="5">
        <f>IFERROR(COUNTIFS('Issuance Log'!$B:$B,A1000,'Issuance Log'!$G:$G,$B$4),0)</f>
        <v>0</v>
      </c>
      <c r="E1000" s="5" t="str">
        <f ca="1">IFERROR(INDEX('Issuance Log'!$E:$E,MATCH(MAXIFS('Issuance Log'!$D:$D,'Issuance Log'!$B:$B,A1000,'Issuance Log'!$G:$G,$B$4),IF(('Issuance Log'!$B:$B=A1000)*('Issuance Log'!$G:$G=$B$4),'Issuance Log'!$D:$D),0)),"-")</f>
        <v>-</v>
      </c>
    </row>
    <row r="1001" spans="1:5" x14ac:dyDescent="0.25">
      <c r="A1001" s="2" t="s">
        <v>1946</v>
      </c>
      <c r="B1001" s="2" t="s">
        <v>1947</v>
      </c>
      <c r="C1001" s="3">
        <f>IFERROR(SUMIFS('Issuance Log'!$D:$D,'Issuance Log'!$B:$B,A1001,'Issuance Log'!$G:$G,$B$4),0)</f>
        <v>0</v>
      </c>
      <c r="D1001" s="3">
        <f>IFERROR(COUNTIFS('Issuance Log'!$B:$B,A1001,'Issuance Log'!$G:$G,$B$4),0)</f>
        <v>0</v>
      </c>
      <c r="E1001" s="3" t="str">
        <f ca="1">IFERROR(INDEX('Issuance Log'!$E:$E,MATCH(MAXIFS('Issuance Log'!$D:$D,'Issuance Log'!$B:$B,A1001,'Issuance Log'!$G:$G,$B$4),IF(('Issuance Log'!$B:$B=A1001)*('Issuance Log'!$G:$G=$B$4),'Issuance Log'!$D:$D),0)),"-")</f>
        <v>-</v>
      </c>
    </row>
    <row r="1002" spans="1:5" x14ac:dyDescent="0.25">
      <c r="A1002" s="4" t="s">
        <v>1948</v>
      </c>
      <c r="B1002" s="4" t="s">
        <v>1949</v>
      </c>
      <c r="C1002" s="5">
        <f>IFERROR(SUMIFS('Issuance Log'!$D:$D,'Issuance Log'!$B:$B,A1002,'Issuance Log'!$G:$G,$B$4),0)</f>
        <v>0</v>
      </c>
      <c r="D1002" s="5">
        <f>IFERROR(COUNTIFS('Issuance Log'!$B:$B,A1002,'Issuance Log'!$G:$G,$B$4),0)</f>
        <v>0</v>
      </c>
      <c r="E1002" s="5" t="str">
        <f ca="1">IFERROR(INDEX('Issuance Log'!$E:$E,MATCH(MAXIFS('Issuance Log'!$D:$D,'Issuance Log'!$B:$B,A1002,'Issuance Log'!$G:$G,$B$4),IF(('Issuance Log'!$B:$B=A1002)*('Issuance Log'!$G:$G=$B$4),'Issuance Log'!$D:$D),0)),"-")</f>
        <v>-</v>
      </c>
    </row>
    <row r="1003" spans="1:5" x14ac:dyDescent="0.25">
      <c r="A1003" s="2" t="s">
        <v>1950</v>
      </c>
      <c r="B1003" s="2" t="s">
        <v>1951</v>
      </c>
      <c r="C1003" s="3">
        <f>IFERROR(SUMIFS('Issuance Log'!$D:$D,'Issuance Log'!$B:$B,A1003,'Issuance Log'!$G:$G,$B$4),0)</f>
        <v>0</v>
      </c>
      <c r="D1003" s="3">
        <f>IFERROR(COUNTIFS('Issuance Log'!$B:$B,A1003,'Issuance Log'!$G:$G,$B$4),0)</f>
        <v>0</v>
      </c>
      <c r="E1003" s="3" t="str">
        <f ca="1">IFERROR(INDEX('Issuance Log'!$E:$E,MATCH(MAXIFS('Issuance Log'!$D:$D,'Issuance Log'!$B:$B,A1003,'Issuance Log'!$G:$G,$B$4),IF(('Issuance Log'!$B:$B=A1003)*('Issuance Log'!$G:$G=$B$4),'Issuance Log'!$D:$D),0)),"-")</f>
        <v>-</v>
      </c>
    </row>
    <row r="1004" spans="1:5" x14ac:dyDescent="0.25">
      <c r="A1004" s="4" t="s">
        <v>1952</v>
      </c>
      <c r="B1004" s="4" t="s">
        <v>1953</v>
      </c>
      <c r="C1004" s="5">
        <f>IFERROR(SUMIFS('Issuance Log'!$D:$D,'Issuance Log'!$B:$B,A1004,'Issuance Log'!$G:$G,$B$4),0)</f>
        <v>0</v>
      </c>
      <c r="D1004" s="5">
        <f>IFERROR(COUNTIFS('Issuance Log'!$B:$B,A1004,'Issuance Log'!$G:$G,$B$4),0)</f>
        <v>0</v>
      </c>
      <c r="E1004" s="5" t="str">
        <f ca="1">IFERROR(INDEX('Issuance Log'!$E:$E,MATCH(MAXIFS('Issuance Log'!$D:$D,'Issuance Log'!$B:$B,A1004,'Issuance Log'!$G:$G,$B$4),IF(('Issuance Log'!$B:$B=A1004)*('Issuance Log'!$G:$G=$B$4),'Issuance Log'!$D:$D),0)),"-")</f>
        <v>-</v>
      </c>
    </row>
    <row r="1005" spans="1:5" x14ac:dyDescent="0.25">
      <c r="A1005" s="2" t="s">
        <v>1954</v>
      </c>
      <c r="B1005" s="2" t="s">
        <v>1955</v>
      </c>
      <c r="C1005" s="3">
        <f>IFERROR(SUMIFS('Issuance Log'!$D:$D,'Issuance Log'!$B:$B,A1005,'Issuance Log'!$G:$G,$B$4),0)</f>
        <v>0</v>
      </c>
      <c r="D1005" s="3">
        <f>IFERROR(COUNTIFS('Issuance Log'!$B:$B,A1005,'Issuance Log'!$G:$G,$B$4),0)</f>
        <v>0</v>
      </c>
      <c r="E1005" s="3" t="str">
        <f ca="1">IFERROR(INDEX('Issuance Log'!$E:$E,MATCH(MAXIFS('Issuance Log'!$D:$D,'Issuance Log'!$B:$B,A1005,'Issuance Log'!$G:$G,$B$4),IF(('Issuance Log'!$B:$B=A1005)*('Issuance Log'!$G:$G=$B$4),'Issuance Log'!$D:$D),0)),"-")</f>
        <v>-</v>
      </c>
    </row>
    <row r="1006" spans="1:5" x14ac:dyDescent="0.25">
      <c r="A1006" s="4" t="s">
        <v>1956</v>
      </c>
      <c r="B1006" s="4" t="s">
        <v>1957</v>
      </c>
      <c r="C1006" s="5">
        <f>IFERROR(SUMIFS('Issuance Log'!$D:$D,'Issuance Log'!$B:$B,A1006,'Issuance Log'!$G:$G,$B$4),0)</f>
        <v>0</v>
      </c>
      <c r="D1006" s="5">
        <f>IFERROR(COUNTIFS('Issuance Log'!$B:$B,A1006,'Issuance Log'!$G:$G,$B$4),0)</f>
        <v>0</v>
      </c>
      <c r="E1006" s="5" t="str">
        <f ca="1">IFERROR(INDEX('Issuance Log'!$E:$E,MATCH(MAXIFS('Issuance Log'!$D:$D,'Issuance Log'!$B:$B,A1006,'Issuance Log'!$G:$G,$B$4),IF(('Issuance Log'!$B:$B=A1006)*('Issuance Log'!$G:$G=$B$4),'Issuance Log'!$D:$D),0)),"-")</f>
        <v>-</v>
      </c>
    </row>
    <row r="1007" spans="1:5" x14ac:dyDescent="0.25">
      <c r="A1007" s="2" t="s">
        <v>1958</v>
      </c>
      <c r="B1007" s="2" t="s">
        <v>1959</v>
      </c>
      <c r="C1007" s="3">
        <f>IFERROR(SUMIFS('Issuance Log'!$D:$D,'Issuance Log'!$B:$B,A1007,'Issuance Log'!$G:$G,$B$4),0)</f>
        <v>0</v>
      </c>
      <c r="D1007" s="3">
        <f>IFERROR(COUNTIFS('Issuance Log'!$B:$B,A1007,'Issuance Log'!$G:$G,$B$4),0)</f>
        <v>0</v>
      </c>
      <c r="E1007" s="3" t="str">
        <f ca="1">IFERROR(INDEX('Issuance Log'!$E:$E,MATCH(MAXIFS('Issuance Log'!$D:$D,'Issuance Log'!$B:$B,A1007,'Issuance Log'!$G:$G,$B$4),IF(('Issuance Log'!$B:$B=A1007)*('Issuance Log'!$G:$G=$B$4),'Issuance Log'!$D:$D),0)),"-")</f>
        <v>-</v>
      </c>
    </row>
    <row r="1008" spans="1:5" x14ac:dyDescent="0.25">
      <c r="A1008" s="4" t="s">
        <v>1960</v>
      </c>
      <c r="B1008" s="4" t="s">
        <v>1961</v>
      </c>
      <c r="C1008" s="5">
        <f>IFERROR(SUMIFS('Issuance Log'!$D:$D,'Issuance Log'!$B:$B,A1008,'Issuance Log'!$G:$G,$B$4),0)</f>
        <v>0</v>
      </c>
      <c r="D1008" s="5">
        <f>IFERROR(COUNTIFS('Issuance Log'!$B:$B,A1008,'Issuance Log'!$G:$G,$B$4),0)</f>
        <v>0</v>
      </c>
      <c r="E1008" s="5" t="str">
        <f ca="1">IFERROR(INDEX('Issuance Log'!$E:$E,MATCH(MAXIFS('Issuance Log'!$D:$D,'Issuance Log'!$B:$B,A1008,'Issuance Log'!$G:$G,$B$4),IF(('Issuance Log'!$B:$B=A1008)*('Issuance Log'!$G:$G=$B$4),'Issuance Log'!$D:$D),0)),"-")</f>
        <v>-</v>
      </c>
    </row>
    <row r="1009" spans="1:5" x14ac:dyDescent="0.25">
      <c r="A1009" s="2" t="s">
        <v>1962</v>
      </c>
      <c r="B1009" s="2" t="s">
        <v>1963</v>
      </c>
      <c r="C1009" s="3">
        <f>IFERROR(SUMIFS('Issuance Log'!$D:$D,'Issuance Log'!$B:$B,A1009,'Issuance Log'!$G:$G,$B$4),0)</f>
        <v>0</v>
      </c>
      <c r="D1009" s="3">
        <f>IFERROR(COUNTIFS('Issuance Log'!$B:$B,A1009,'Issuance Log'!$G:$G,$B$4),0)</f>
        <v>0</v>
      </c>
      <c r="E1009" s="3" t="str">
        <f ca="1">IFERROR(INDEX('Issuance Log'!$E:$E,MATCH(MAXIFS('Issuance Log'!$D:$D,'Issuance Log'!$B:$B,A1009,'Issuance Log'!$G:$G,$B$4),IF(('Issuance Log'!$B:$B=A1009)*('Issuance Log'!$G:$G=$B$4),'Issuance Log'!$D:$D),0)),"-")</f>
        <v>-</v>
      </c>
    </row>
    <row r="1010" spans="1:5" x14ac:dyDescent="0.25">
      <c r="A1010" s="4" t="s">
        <v>1964</v>
      </c>
      <c r="B1010" s="4" t="s">
        <v>1965</v>
      </c>
      <c r="C1010" s="5">
        <f>IFERROR(SUMIFS('Issuance Log'!$D:$D,'Issuance Log'!$B:$B,A1010,'Issuance Log'!$G:$G,$B$4),0)</f>
        <v>0</v>
      </c>
      <c r="D1010" s="5">
        <f>IFERROR(COUNTIFS('Issuance Log'!$B:$B,A1010,'Issuance Log'!$G:$G,$B$4),0)</f>
        <v>0</v>
      </c>
      <c r="E1010" s="5" t="str">
        <f ca="1">IFERROR(INDEX('Issuance Log'!$E:$E,MATCH(MAXIFS('Issuance Log'!$D:$D,'Issuance Log'!$B:$B,A1010,'Issuance Log'!$G:$G,$B$4),IF(('Issuance Log'!$B:$B=A1010)*('Issuance Log'!$G:$G=$B$4),'Issuance Log'!$D:$D),0)),"-")</f>
        <v>-</v>
      </c>
    </row>
    <row r="1011" spans="1:5" x14ac:dyDescent="0.25">
      <c r="A1011" s="2" t="s">
        <v>1966</v>
      </c>
      <c r="B1011" s="2" t="s">
        <v>1967</v>
      </c>
      <c r="C1011" s="3">
        <f>IFERROR(SUMIFS('Issuance Log'!$D:$D,'Issuance Log'!$B:$B,A1011,'Issuance Log'!$G:$G,$B$4),0)</f>
        <v>0</v>
      </c>
      <c r="D1011" s="3">
        <f>IFERROR(COUNTIFS('Issuance Log'!$B:$B,A1011,'Issuance Log'!$G:$G,$B$4),0)</f>
        <v>0</v>
      </c>
      <c r="E1011" s="3" t="str">
        <f ca="1">IFERROR(INDEX('Issuance Log'!$E:$E,MATCH(MAXIFS('Issuance Log'!$D:$D,'Issuance Log'!$B:$B,A1011,'Issuance Log'!$G:$G,$B$4),IF(('Issuance Log'!$B:$B=A1011)*('Issuance Log'!$G:$G=$B$4),'Issuance Log'!$D:$D),0)),"-")</f>
        <v>-</v>
      </c>
    </row>
    <row r="1012" spans="1:5" x14ac:dyDescent="0.25">
      <c r="A1012" s="4" t="s">
        <v>1968</v>
      </c>
      <c r="B1012" s="4" t="s">
        <v>1969</v>
      </c>
      <c r="C1012" s="5">
        <f>IFERROR(SUMIFS('Issuance Log'!$D:$D,'Issuance Log'!$B:$B,A1012,'Issuance Log'!$G:$G,$B$4),0)</f>
        <v>0</v>
      </c>
      <c r="D1012" s="5">
        <f>IFERROR(COUNTIFS('Issuance Log'!$B:$B,A1012,'Issuance Log'!$G:$G,$B$4),0)</f>
        <v>0</v>
      </c>
      <c r="E1012" s="5" t="str">
        <f ca="1">IFERROR(INDEX('Issuance Log'!$E:$E,MATCH(MAXIFS('Issuance Log'!$D:$D,'Issuance Log'!$B:$B,A1012,'Issuance Log'!$G:$G,$B$4),IF(('Issuance Log'!$B:$B=A1012)*('Issuance Log'!$G:$G=$B$4),'Issuance Log'!$D:$D),0)),"-")</f>
        <v>-</v>
      </c>
    </row>
    <row r="1013" spans="1:5" x14ac:dyDescent="0.25">
      <c r="A1013" s="2" t="s">
        <v>1970</v>
      </c>
      <c r="B1013" s="2" t="s">
        <v>1971</v>
      </c>
      <c r="C1013" s="3">
        <f>IFERROR(SUMIFS('Issuance Log'!$D:$D,'Issuance Log'!$B:$B,A1013,'Issuance Log'!$G:$G,$B$4),0)</f>
        <v>0</v>
      </c>
      <c r="D1013" s="3">
        <f>IFERROR(COUNTIFS('Issuance Log'!$B:$B,A1013,'Issuance Log'!$G:$G,$B$4),0)</f>
        <v>0</v>
      </c>
      <c r="E1013" s="3" t="str">
        <f ca="1">IFERROR(INDEX('Issuance Log'!$E:$E,MATCH(MAXIFS('Issuance Log'!$D:$D,'Issuance Log'!$B:$B,A1013,'Issuance Log'!$G:$G,$B$4),IF(('Issuance Log'!$B:$B=A1013)*('Issuance Log'!$G:$G=$B$4),'Issuance Log'!$D:$D),0)),"-")</f>
        <v>-</v>
      </c>
    </row>
    <row r="1014" spans="1:5" x14ac:dyDescent="0.25">
      <c r="A1014" s="4" t="s">
        <v>1972</v>
      </c>
      <c r="B1014" s="4" t="s">
        <v>1973</v>
      </c>
      <c r="C1014" s="5">
        <f>IFERROR(SUMIFS('Issuance Log'!$D:$D,'Issuance Log'!$B:$B,A1014,'Issuance Log'!$G:$G,$B$4),0)</f>
        <v>0</v>
      </c>
      <c r="D1014" s="5">
        <f>IFERROR(COUNTIFS('Issuance Log'!$B:$B,A1014,'Issuance Log'!$G:$G,$B$4),0)</f>
        <v>0</v>
      </c>
      <c r="E1014" s="5" t="str">
        <f ca="1">IFERROR(INDEX('Issuance Log'!$E:$E,MATCH(MAXIFS('Issuance Log'!$D:$D,'Issuance Log'!$B:$B,A1014,'Issuance Log'!$G:$G,$B$4),IF(('Issuance Log'!$B:$B=A1014)*('Issuance Log'!$G:$G=$B$4),'Issuance Log'!$D:$D),0)),"-")</f>
        <v>-</v>
      </c>
    </row>
    <row r="1015" spans="1:5" x14ac:dyDescent="0.25">
      <c r="A1015" s="2" t="s">
        <v>1974</v>
      </c>
      <c r="B1015" s="2" t="s">
        <v>1975</v>
      </c>
      <c r="C1015" s="3">
        <f>IFERROR(SUMIFS('Issuance Log'!$D:$D,'Issuance Log'!$B:$B,A1015,'Issuance Log'!$G:$G,$B$4),0)</f>
        <v>0</v>
      </c>
      <c r="D1015" s="3">
        <f>IFERROR(COUNTIFS('Issuance Log'!$B:$B,A1015,'Issuance Log'!$G:$G,$B$4),0)</f>
        <v>0</v>
      </c>
      <c r="E1015" s="3" t="str">
        <f ca="1">IFERROR(INDEX('Issuance Log'!$E:$E,MATCH(MAXIFS('Issuance Log'!$D:$D,'Issuance Log'!$B:$B,A1015,'Issuance Log'!$G:$G,$B$4),IF(('Issuance Log'!$B:$B=A1015)*('Issuance Log'!$G:$G=$B$4),'Issuance Log'!$D:$D),0)),"-")</f>
        <v>-</v>
      </c>
    </row>
    <row r="1016" spans="1:5" x14ac:dyDescent="0.25">
      <c r="A1016" s="4" t="s">
        <v>1976</v>
      </c>
      <c r="B1016" s="4" t="s">
        <v>1977</v>
      </c>
      <c r="C1016" s="5">
        <f>IFERROR(SUMIFS('Issuance Log'!$D:$D,'Issuance Log'!$B:$B,A1016,'Issuance Log'!$G:$G,$B$4),0)</f>
        <v>0</v>
      </c>
      <c r="D1016" s="5">
        <f>IFERROR(COUNTIFS('Issuance Log'!$B:$B,A1016,'Issuance Log'!$G:$G,$B$4),0)</f>
        <v>0</v>
      </c>
      <c r="E1016" s="5" t="str">
        <f ca="1">IFERROR(INDEX('Issuance Log'!$E:$E,MATCH(MAXIFS('Issuance Log'!$D:$D,'Issuance Log'!$B:$B,A1016,'Issuance Log'!$G:$G,$B$4),IF(('Issuance Log'!$B:$B=A1016)*('Issuance Log'!$G:$G=$B$4),'Issuance Log'!$D:$D),0)),"-")</f>
        <v>-</v>
      </c>
    </row>
    <row r="1017" spans="1:5" x14ac:dyDescent="0.25">
      <c r="A1017" s="2" t="s">
        <v>1978</v>
      </c>
      <c r="B1017" s="2" t="s">
        <v>1979</v>
      </c>
      <c r="C1017" s="3">
        <f>IFERROR(SUMIFS('Issuance Log'!$D:$D,'Issuance Log'!$B:$B,A1017,'Issuance Log'!$G:$G,$B$4),0)</f>
        <v>0</v>
      </c>
      <c r="D1017" s="3">
        <f>IFERROR(COUNTIFS('Issuance Log'!$B:$B,A1017,'Issuance Log'!$G:$G,$B$4),0)</f>
        <v>0</v>
      </c>
      <c r="E1017" s="3" t="str">
        <f ca="1">IFERROR(INDEX('Issuance Log'!$E:$E,MATCH(MAXIFS('Issuance Log'!$D:$D,'Issuance Log'!$B:$B,A1017,'Issuance Log'!$G:$G,$B$4),IF(('Issuance Log'!$B:$B=A1017)*('Issuance Log'!$G:$G=$B$4),'Issuance Log'!$D:$D),0)),"-")</f>
        <v>-</v>
      </c>
    </row>
    <row r="1018" spans="1:5" x14ac:dyDescent="0.25">
      <c r="A1018" s="4" t="s">
        <v>1980</v>
      </c>
      <c r="B1018" s="4" t="s">
        <v>1981</v>
      </c>
      <c r="C1018" s="5">
        <f>IFERROR(SUMIFS('Issuance Log'!$D:$D,'Issuance Log'!$B:$B,A1018,'Issuance Log'!$G:$G,$B$4),0)</f>
        <v>0</v>
      </c>
      <c r="D1018" s="5">
        <f>IFERROR(COUNTIFS('Issuance Log'!$B:$B,A1018,'Issuance Log'!$G:$G,$B$4),0)</f>
        <v>0</v>
      </c>
      <c r="E1018" s="5" t="str">
        <f ca="1">IFERROR(INDEX('Issuance Log'!$E:$E,MATCH(MAXIFS('Issuance Log'!$D:$D,'Issuance Log'!$B:$B,A1018,'Issuance Log'!$G:$G,$B$4),IF(('Issuance Log'!$B:$B=A1018)*('Issuance Log'!$G:$G=$B$4),'Issuance Log'!$D:$D),0)),"-")</f>
        <v>-</v>
      </c>
    </row>
    <row r="1019" spans="1:5" x14ac:dyDescent="0.25">
      <c r="A1019" s="2" t="s">
        <v>1982</v>
      </c>
      <c r="B1019" s="2" t="s">
        <v>1983</v>
      </c>
      <c r="C1019" s="3">
        <f>IFERROR(SUMIFS('Issuance Log'!$D:$D,'Issuance Log'!$B:$B,A1019,'Issuance Log'!$G:$G,$B$4),0)</f>
        <v>0</v>
      </c>
      <c r="D1019" s="3">
        <f>IFERROR(COUNTIFS('Issuance Log'!$B:$B,A1019,'Issuance Log'!$G:$G,$B$4),0)</f>
        <v>0</v>
      </c>
      <c r="E1019" s="3" t="str">
        <f ca="1">IFERROR(INDEX('Issuance Log'!$E:$E,MATCH(MAXIFS('Issuance Log'!$D:$D,'Issuance Log'!$B:$B,A1019,'Issuance Log'!$G:$G,$B$4),IF(('Issuance Log'!$B:$B=A1019)*('Issuance Log'!$G:$G=$B$4),'Issuance Log'!$D:$D),0)),"-")</f>
        <v>-</v>
      </c>
    </row>
    <row r="1020" spans="1:5" x14ac:dyDescent="0.25">
      <c r="A1020" s="4" t="s">
        <v>1984</v>
      </c>
      <c r="B1020" s="4" t="s">
        <v>1985</v>
      </c>
      <c r="C1020" s="5">
        <f>IFERROR(SUMIFS('Issuance Log'!$D:$D,'Issuance Log'!$B:$B,A1020,'Issuance Log'!$G:$G,$B$4),0)</f>
        <v>0</v>
      </c>
      <c r="D1020" s="5">
        <f>IFERROR(COUNTIFS('Issuance Log'!$B:$B,A1020,'Issuance Log'!$G:$G,$B$4),0)</f>
        <v>0</v>
      </c>
      <c r="E1020" s="5" t="str">
        <f ca="1">IFERROR(INDEX('Issuance Log'!$E:$E,MATCH(MAXIFS('Issuance Log'!$D:$D,'Issuance Log'!$B:$B,A1020,'Issuance Log'!$G:$G,$B$4),IF(('Issuance Log'!$B:$B=A1020)*('Issuance Log'!$G:$G=$B$4),'Issuance Log'!$D:$D),0)),"-")</f>
        <v>-</v>
      </c>
    </row>
    <row r="1021" spans="1:5" x14ac:dyDescent="0.25">
      <c r="A1021" s="2" t="s">
        <v>1986</v>
      </c>
      <c r="B1021" s="2" t="s">
        <v>1987</v>
      </c>
      <c r="C1021" s="3">
        <f>IFERROR(SUMIFS('Issuance Log'!$D:$D,'Issuance Log'!$B:$B,A1021,'Issuance Log'!$G:$G,$B$4),0)</f>
        <v>0</v>
      </c>
      <c r="D1021" s="3">
        <f>IFERROR(COUNTIFS('Issuance Log'!$B:$B,A1021,'Issuance Log'!$G:$G,$B$4),0)</f>
        <v>0</v>
      </c>
      <c r="E1021" s="3" t="str">
        <f ca="1">IFERROR(INDEX('Issuance Log'!$E:$E,MATCH(MAXIFS('Issuance Log'!$D:$D,'Issuance Log'!$B:$B,A1021,'Issuance Log'!$G:$G,$B$4),IF(('Issuance Log'!$B:$B=A1021)*('Issuance Log'!$G:$G=$B$4),'Issuance Log'!$D:$D),0)),"-")</f>
        <v>-</v>
      </c>
    </row>
    <row r="1022" spans="1:5" x14ac:dyDescent="0.25">
      <c r="A1022" s="4" t="s">
        <v>1988</v>
      </c>
      <c r="B1022" s="4" t="s">
        <v>1989</v>
      </c>
      <c r="C1022" s="5">
        <f>IFERROR(SUMIFS('Issuance Log'!$D:$D,'Issuance Log'!$B:$B,A1022,'Issuance Log'!$G:$G,$B$4),0)</f>
        <v>0</v>
      </c>
      <c r="D1022" s="5">
        <f>IFERROR(COUNTIFS('Issuance Log'!$B:$B,A1022,'Issuance Log'!$G:$G,$B$4),0)</f>
        <v>0</v>
      </c>
      <c r="E1022" s="5" t="str">
        <f ca="1">IFERROR(INDEX('Issuance Log'!$E:$E,MATCH(MAXIFS('Issuance Log'!$D:$D,'Issuance Log'!$B:$B,A1022,'Issuance Log'!$G:$G,$B$4),IF(('Issuance Log'!$B:$B=A1022)*('Issuance Log'!$G:$G=$B$4),'Issuance Log'!$D:$D),0)),"-")</f>
        <v>-</v>
      </c>
    </row>
    <row r="1023" spans="1:5" x14ac:dyDescent="0.25">
      <c r="A1023" s="2" t="s">
        <v>1990</v>
      </c>
      <c r="B1023" s="2" t="s">
        <v>1991</v>
      </c>
      <c r="C1023" s="3">
        <f>IFERROR(SUMIFS('Issuance Log'!$D:$D,'Issuance Log'!$B:$B,A1023,'Issuance Log'!$G:$G,$B$4),0)</f>
        <v>0</v>
      </c>
      <c r="D1023" s="3">
        <f>IFERROR(COUNTIFS('Issuance Log'!$B:$B,A1023,'Issuance Log'!$G:$G,$B$4),0)</f>
        <v>0</v>
      </c>
      <c r="E1023" s="3" t="str">
        <f ca="1">IFERROR(INDEX('Issuance Log'!$E:$E,MATCH(MAXIFS('Issuance Log'!$D:$D,'Issuance Log'!$B:$B,A1023,'Issuance Log'!$G:$G,$B$4),IF(('Issuance Log'!$B:$B=A1023)*('Issuance Log'!$G:$G=$B$4),'Issuance Log'!$D:$D),0)),"-")</f>
        <v>-</v>
      </c>
    </row>
    <row r="1024" spans="1:5" x14ac:dyDescent="0.25">
      <c r="A1024" s="4" t="s">
        <v>1992</v>
      </c>
      <c r="B1024" s="4" t="s">
        <v>1993</v>
      </c>
      <c r="C1024" s="5">
        <f>IFERROR(SUMIFS('Issuance Log'!$D:$D,'Issuance Log'!$B:$B,A1024,'Issuance Log'!$G:$G,$B$4),0)</f>
        <v>0</v>
      </c>
      <c r="D1024" s="5">
        <f>IFERROR(COUNTIFS('Issuance Log'!$B:$B,A1024,'Issuance Log'!$G:$G,$B$4),0)</f>
        <v>0</v>
      </c>
      <c r="E1024" s="5" t="str">
        <f ca="1">IFERROR(INDEX('Issuance Log'!$E:$E,MATCH(MAXIFS('Issuance Log'!$D:$D,'Issuance Log'!$B:$B,A1024,'Issuance Log'!$G:$G,$B$4),IF(('Issuance Log'!$B:$B=A1024)*('Issuance Log'!$G:$G=$B$4),'Issuance Log'!$D:$D),0)),"-")</f>
        <v>-</v>
      </c>
    </row>
    <row r="1025" spans="1:5" x14ac:dyDescent="0.25">
      <c r="A1025" s="2" t="s">
        <v>1994</v>
      </c>
      <c r="B1025" s="2" t="s">
        <v>1995</v>
      </c>
      <c r="C1025" s="3">
        <f>IFERROR(SUMIFS('Issuance Log'!$D:$D,'Issuance Log'!$B:$B,A1025,'Issuance Log'!$G:$G,$B$4),0)</f>
        <v>0</v>
      </c>
      <c r="D1025" s="3">
        <f>IFERROR(COUNTIFS('Issuance Log'!$B:$B,A1025,'Issuance Log'!$G:$G,$B$4),0)</f>
        <v>0</v>
      </c>
      <c r="E1025" s="3" t="str">
        <f ca="1">IFERROR(INDEX('Issuance Log'!$E:$E,MATCH(MAXIFS('Issuance Log'!$D:$D,'Issuance Log'!$B:$B,A1025,'Issuance Log'!$G:$G,$B$4),IF(('Issuance Log'!$B:$B=A1025)*('Issuance Log'!$G:$G=$B$4),'Issuance Log'!$D:$D),0)),"-")</f>
        <v>-</v>
      </c>
    </row>
    <row r="1026" spans="1:5" x14ac:dyDescent="0.25">
      <c r="A1026" s="4" t="s">
        <v>1996</v>
      </c>
      <c r="B1026" s="4" t="s">
        <v>1997</v>
      </c>
      <c r="C1026" s="5">
        <f>IFERROR(SUMIFS('Issuance Log'!$D:$D,'Issuance Log'!$B:$B,A1026,'Issuance Log'!$G:$G,$B$4),0)</f>
        <v>0</v>
      </c>
      <c r="D1026" s="5">
        <f>IFERROR(COUNTIFS('Issuance Log'!$B:$B,A1026,'Issuance Log'!$G:$G,$B$4),0)</f>
        <v>0</v>
      </c>
      <c r="E1026" s="5" t="str">
        <f ca="1">IFERROR(INDEX('Issuance Log'!$E:$E,MATCH(MAXIFS('Issuance Log'!$D:$D,'Issuance Log'!$B:$B,A1026,'Issuance Log'!$G:$G,$B$4),IF(('Issuance Log'!$B:$B=A1026)*('Issuance Log'!$G:$G=$B$4),'Issuance Log'!$D:$D),0)),"-")</f>
        <v>-</v>
      </c>
    </row>
    <row r="1027" spans="1:5" x14ac:dyDescent="0.25">
      <c r="A1027" s="2" t="s">
        <v>1998</v>
      </c>
      <c r="B1027" s="2" t="s">
        <v>1999</v>
      </c>
      <c r="C1027" s="3">
        <f>IFERROR(SUMIFS('Issuance Log'!$D:$D,'Issuance Log'!$B:$B,A1027,'Issuance Log'!$G:$G,$B$4),0)</f>
        <v>0</v>
      </c>
      <c r="D1027" s="3">
        <f>IFERROR(COUNTIFS('Issuance Log'!$B:$B,A1027,'Issuance Log'!$G:$G,$B$4),0)</f>
        <v>0</v>
      </c>
      <c r="E1027" s="3" t="str">
        <f ca="1">IFERROR(INDEX('Issuance Log'!$E:$E,MATCH(MAXIFS('Issuance Log'!$D:$D,'Issuance Log'!$B:$B,A1027,'Issuance Log'!$G:$G,$B$4),IF(('Issuance Log'!$B:$B=A1027)*('Issuance Log'!$G:$G=$B$4),'Issuance Log'!$D:$D),0)),"-")</f>
        <v>-</v>
      </c>
    </row>
    <row r="1028" spans="1:5" x14ac:dyDescent="0.25">
      <c r="A1028" s="4" t="s">
        <v>2000</v>
      </c>
      <c r="B1028" s="4" t="s">
        <v>2001</v>
      </c>
      <c r="C1028" s="5">
        <f>IFERROR(SUMIFS('Issuance Log'!$D:$D,'Issuance Log'!$B:$B,A1028,'Issuance Log'!$G:$G,$B$4),0)</f>
        <v>0</v>
      </c>
      <c r="D1028" s="5">
        <f>IFERROR(COUNTIFS('Issuance Log'!$B:$B,A1028,'Issuance Log'!$G:$G,$B$4),0)</f>
        <v>0</v>
      </c>
      <c r="E1028" s="5" t="str">
        <f ca="1">IFERROR(INDEX('Issuance Log'!$E:$E,MATCH(MAXIFS('Issuance Log'!$D:$D,'Issuance Log'!$B:$B,A1028,'Issuance Log'!$G:$G,$B$4),IF(('Issuance Log'!$B:$B=A1028)*('Issuance Log'!$G:$G=$B$4),'Issuance Log'!$D:$D),0)),"-")</f>
        <v>-</v>
      </c>
    </row>
    <row r="1029" spans="1:5" x14ac:dyDescent="0.25">
      <c r="A1029" s="2" t="s">
        <v>2002</v>
      </c>
      <c r="B1029" s="2" t="s">
        <v>2003</v>
      </c>
      <c r="C1029" s="3">
        <f>IFERROR(SUMIFS('Issuance Log'!$D:$D,'Issuance Log'!$B:$B,A1029,'Issuance Log'!$G:$G,$B$4),0)</f>
        <v>0</v>
      </c>
      <c r="D1029" s="3">
        <f>IFERROR(COUNTIFS('Issuance Log'!$B:$B,A1029,'Issuance Log'!$G:$G,$B$4),0)</f>
        <v>0</v>
      </c>
      <c r="E1029" s="3" t="str">
        <f ca="1">IFERROR(INDEX('Issuance Log'!$E:$E,MATCH(MAXIFS('Issuance Log'!$D:$D,'Issuance Log'!$B:$B,A1029,'Issuance Log'!$G:$G,$B$4),IF(('Issuance Log'!$B:$B=A1029)*('Issuance Log'!$G:$G=$B$4),'Issuance Log'!$D:$D),0)),"-")</f>
        <v>-</v>
      </c>
    </row>
    <row r="1030" spans="1:5" x14ac:dyDescent="0.25">
      <c r="A1030" s="4" t="s">
        <v>2004</v>
      </c>
      <c r="B1030" s="4" t="s">
        <v>2005</v>
      </c>
      <c r="C1030" s="5">
        <f>IFERROR(SUMIFS('Issuance Log'!$D:$D,'Issuance Log'!$B:$B,A1030,'Issuance Log'!$G:$G,$B$4),0)</f>
        <v>0</v>
      </c>
      <c r="D1030" s="5">
        <f>IFERROR(COUNTIFS('Issuance Log'!$B:$B,A1030,'Issuance Log'!$G:$G,$B$4),0)</f>
        <v>0</v>
      </c>
      <c r="E1030" s="5" t="str">
        <f ca="1">IFERROR(INDEX('Issuance Log'!$E:$E,MATCH(MAXIFS('Issuance Log'!$D:$D,'Issuance Log'!$B:$B,A1030,'Issuance Log'!$G:$G,$B$4),IF(('Issuance Log'!$B:$B=A1030)*('Issuance Log'!$G:$G=$B$4),'Issuance Log'!$D:$D),0)),"-")</f>
        <v>-</v>
      </c>
    </row>
    <row r="1031" spans="1:5" x14ac:dyDescent="0.25">
      <c r="A1031" s="2" t="s">
        <v>2006</v>
      </c>
      <c r="B1031" s="2" t="s">
        <v>2007</v>
      </c>
      <c r="C1031" s="3">
        <f>IFERROR(SUMIFS('Issuance Log'!$D:$D,'Issuance Log'!$B:$B,A1031,'Issuance Log'!$G:$G,$B$4),0)</f>
        <v>0</v>
      </c>
      <c r="D1031" s="3">
        <f>IFERROR(COUNTIFS('Issuance Log'!$B:$B,A1031,'Issuance Log'!$G:$G,$B$4),0)</f>
        <v>0</v>
      </c>
      <c r="E1031" s="3" t="str">
        <f ca="1">IFERROR(INDEX('Issuance Log'!$E:$E,MATCH(MAXIFS('Issuance Log'!$D:$D,'Issuance Log'!$B:$B,A1031,'Issuance Log'!$G:$G,$B$4),IF(('Issuance Log'!$B:$B=A1031)*('Issuance Log'!$G:$G=$B$4),'Issuance Log'!$D:$D),0)),"-")</f>
        <v>-</v>
      </c>
    </row>
    <row r="1032" spans="1:5" x14ac:dyDescent="0.25">
      <c r="A1032" s="4" t="s">
        <v>2008</v>
      </c>
      <c r="B1032" s="4" t="s">
        <v>2009</v>
      </c>
      <c r="C1032" s="5">
        <f>IFERROR(SUMIFS('Issuance Log'!$D:$D,'Issuance Log'!$B:$B,A1032,'Issuance Log'!$G:$G,$B$4),0)</f>
        <v>0</v>
      </c>
      <c r="D1032" s="5">
        <f>IFERROR(COUNTIFS('Issuance Log'!$B:$B,A1032,'Issuance Log'!$G:$G,$B$4),0)</f>
        <v>0</v>
      </c>
      <c r="E1032" s="5" t="str">
        <f ca="1">IFERROR(INDEX('Issuance Log'!$E:$E,MATCH(MAXIFS('Issuance Log'!$D:$D,'Issuance Log'!$B:$B,A1032,'Issuance Log'!$G:$G,$B$4),IF(('Issuance Log'!$B:$B=A1032)*('Issuance Log'!$G:$G=$B$4),'Issuance Log'!$D:$D),0)),"-")</f>
        <v>-</v>
      </c>
    </row>
    <row r="1033" spans="1:5" x14ac:dyDescent="0.25">
      <c r="A1033" s="2" t="s">
        <v>2010</v>
      </c>
      <c r="B1033" s="2" t="s">
        <v>2011</v>
      </c>
      <c r="C1033" s="3">
        <f>IFERROR(SUMIFS('Issuance Log'!$D:$D,'Issuance Log'!$B:$B,A1033,'Issuance Log'!$G:$G,$B$4),0)</f>
        <v>0</v>
      </c>
      <c r="D1033" s="3">
        <f>IFERROR(COUNTIFS('Issuance Log'!$B:$B,A1033,'Issuance Log'!$G:$G,$B$4),0)</f>
        <v>0</v>
      </c>
      <c r="E1033" s="3" t="str">
        <f ca="1">IFERROR(INDEX('Issuance Log'!$E:$E,MATCH(MAXIFS('Issuance Log'!$D:$D,'Issuance Log'!$B:$B,A1033,'Issuance Log'!$G:$G,$B$4),IF(('Issuance Log'!$B:$B=A1033)*('Issuance Log'!$G:$G=$B$4),'Issuance Log'!$D:$D),0)),"-")</f>
        <v>-</v>
      </c>
    </row>
    <row r="1034" spans="1:5" x14ac:dyDescent="0.25">
      <c r="A1034" s="4" t="s">
        <v>2012</v>
      </c>
      <c r="B1034" s="4" t="s">
        <v>2013</v>
      </c>
      <c r="C1034" s="5">
        <f>IFERROR(SUMIFS('Issuance Log'!$D:$D,'Issuance Log'!$B:$B,A1034,'Issuance Log'!$G:$G,$B$4),0)</f>
        <v>0</v>
      </c>
      <c r="D1034" s="5">
        <f>IFERROR(COUNTIFS('Issuance Log'!$B:$B,A1034,'Issuance Log'!$G:$G,$B$4),0)</f>
        <v>0</v>
      </c>
      <c r="E1034" s="5" t="str">
        <f ca="1">IFERROR(INDEX('Issuance Log'!$E:$E,MATCH(MAXIFS('Issuance Log'!$D:$D,'Issuance Log'!$B:$B,A1034,'Issuance Log'!$G:$G,$B$4),IF(('Issuance Log'!$B:$B=A1034)*('Issuance Log'!$G:$G=$B$4),'Issuance Log'!$D:$D),0)),"-")</f>
        <v>-</v>
      </c>
    </row>
    <row r="1035" spans="1:5" x14ac:dyDescent="0.25">
      <c r="A1035" s="2" t="s">
        <v>2014</v>
      </c>
      <c r="B1035" s="2" t="s">
        <v>2015</v>
      </c>
      <c r="C1035" s="3">
        <f>IFERROR(SUMIFS('Issuance Log'!$D:$D,'Issuance Log'!$B:$B,A1035,'Issuance Log'!$G:$G,$B$4),0)</f>
        <v>0</v>
      </c>
      <c r="D1035" s="3">
        <f>IFERROR(COUNTIFS('Issuance Log'!$B:$B,A1035,'Issuance Log'!$G:$G,$B$4),0)</f>
        <v>0</v>
      </c>
      <c r="E1035" s="3" t="str">
        <f ca="1">IFERROR(INDEX('Issuance Log'!$E:$E,MATCH(MAXIFS('Issuance Log'!$D:$D,'Issuance Log'!$B:$B,A1035,'Issuance Log'!$G:$G,$B$4),IF(('Issuance Log'!$B:$B=A1035)*('Issuance Log'!$G:$G=$B$4),'Issuance Log'!$D:$D),0)),"-")</f>
        <v>-</v>
      </c>
    </row>
    <row r="1036" spans="1:5" x14ac:dyDescent="0.25">
      <c r="A1036" s="4" t="s">
        <v>2016</v>
      </c>
      <c r="B1036" s="4" t="s">
        <v>2017</v>
      </c>
      <c r="C1036" s="5">
        <f>IFERROR(SUMIFS('Issuance Log'!$D:$D,'Issuance Log'!$B:$B,A1036,'Issuance Log'!$G:$G,$B$4),0)</f>
        <v>0</v>
      </c>
      <c r="D1036" s="5">
        <f>IFERROR(COUNTIFS('Issuance Log'!$B:$B,A1036,'Issuance Log'!$G:$G,$B$4),0)</f>
        <v>0</v>
      </c>
      <c r="E1036" s="5" t="str">
        <f ca="1">IFERROR(INDEX('Issuance Log'!$E:$E,MATCH(MAXIFS('Issuance Log'!$D:$D,'Issuance Log'!$B:$B,A1036,'Issuance Log'!$G:$G,$B$4),IF(('Issuance Log'!$B:$B=A1036)*('Issuance Log'!$G:$G=$B$4),'Issuance Log'!$D:$D),0)),"-")</f>
        <v>-</v>
      </c>
    </row>
    <row r="1037" spans="1:5" x14ac:dyDescent="0.25">
      <c r="A1037" s="2" t="s">
        <v>2018</v>
      </c>
      <c r="B1037" s="2" t="s">
        <v>2019</v>
      </c>
      <c r="C1037" s="3">
        <f>IFERROR(SUMIFS('Issuance Log'!$D:$D,'Issuance Log'!$B:$B,A1037,'Issuance Log'!$G:$G,$B$4),0)</f>
        <v>0</v>
      </c>
      <c r="D1037" s="3">
        <f>IFERROR(COUNTIFS('Issuance Log'!$B:$B,A1037,'Issuance Log'!$G:$G,$B$4),0)</f>
        <v>0</v>
      </c>
      <c r="E1037" s="3" t="str">
        <f ca="1">IFERROR(INDEX('Issuance Log'!$E:$E,MATCH(MAXIFS('Issuance Log'!$D:$D,'Issuance Log'!$B:$B,A1037,'Issuance Log'!$G:$G,$B$4),IF(('Issuance Log'!$B:$B=A1037)*('Issuance Log'!$G:$G=$B$4),'Issuance Log'!$D:$D),0)),"-")</f>
        <v>-</v>
      </c>
    </row>
    <row r="1038" spans="1:5" x14ac:dyDescent="0.25">
      <c r="A1038" s="4" t="s">
        <v>2020</v>
      </c>
      <c r="B1038" s="4" t="s">
        <v>2021</v>
      </c>
      <c r="C1038" s="5">
        <f>IFERROR(SUMIFS('Issuance Log'!$D:$D,'Issuance Log'!$B:$B,A1038,'Issuance Log'!$G:$G,$B$4),0)</f>
        <v>0</v>
      </c>
      <c r="D1038" s="5">
        <f>IFERROR(COUNTIFS('Issuance Log'!$B:$B,A1038,'Issuance Log'!$G:$G,$B$4),0)</f>
        <v>0</v>
      </c>
      <c r="E1038" s="5" t="str">
        <f ca="1">IFERROR(INDEX('Issuance Log'!$E:$E,MATCH(MAXIFS('Issuance Log'!$D:$D,'Issuance Log'!$B:$B,A1038,'Issuance Log'!$G:$G,$B$4),IF(('Issuance Log'!$B:$B=A1038)*('Issuance Log'!$G:$G=$B$4),'Issuance Log'!$D:$D),0)),"-")</f>
        <v>-</v>
      </c>
    </row>
    <row r="1039" spans="1:5" x14ac:dyDescent="0.25">
      <c r="A1039" s="2" t="s">
        <v>2022</v>
      </c>
      <c r="B1039" s="2" t="s">
        <v>2023</v>
      </c>
      <c r="C1039" s="3">
        <f>IFERROR(SUMIFS('Issuance Log'!$D:$D,'Issuance Log'!$B:$B,A1039,'Issuance Log'!$G:$G,$B$4),0)</f>
        <v>0</v>
      </c>
      <c r="D1039" s="3">
        <f>IFERROR(COUNTIFS('Issuance Log'!$B:$B,A1039,'Issuance Log'!$G:$G,$B$4),0)</f>
        <v>0</v>
      </c>
      <c r="E1039" s="3" t="str">
        <f ca="1">IFERROR(INDEX('Issuance Log'!$E:$E,MATCH(MAXIFS('Issuance Log'!$D:$D,'Issuance Log'!$B:$B,A1039,'Issuance Log'!$G:$G,$B$4),IF(('Issuance Log'!$B:$B=A1039)*('Issuance Log'!$G:$G=$B$4),'Issuance Log'!$D:$D),0)),"-")</f>
        <v>-</v>
      </c>
    </row>
    <row r="1040" spans="1:5" x14ac:dyDescent="0.25">
      <c r="A1040" s="4" t="s">
        <v>2024</v>
      </c>
      <c r="B1040" s="4" t="s">
        <v>2025</v>
      </c>
      <c r="C1040" s="5">
        <f>IFERROR(SUMIFS('Issuance Log'!$D:$D,'Issuance Log'!$B:$B,A1040,'Issuance Log'!$G:$G,$B$4),0)</f>
        <v>0</v>
      </c>
      <c r="D1040" s="5">
        <f>IFERROR(COUNTIFS('Issuance Log'!$B:$B,A1040,'Issuance Log'!$G:$G,$B$4),0)</f>
        <v>0</v>
      </c>
      <c r="E1040" s="5" t="str">
        <f ca="1">IFERROR(INDEX('Issuance Log'!$E:$E,MATCH(MAXIFS('Issuance Log'!$D:$D,'Issuance Log'!$B:$B,A1040,'Issuance Log'!$G:$G,$B$4),IF(('Issuance Log'!$B:$B=A1040)*('Issuance Log'!$G:$G=$B$4),'Issuance Log'!$D:$D),0)),"-")</f>
        <v>-</v>
      </c>
    </row>
    <row r="1041" spans="1:5" x14ac:dyDescent="0.25">
      <c r="A1041" s="2" t="s">
        <v>2026</v>
      </c>
      <c r="B1041" s="2" t="s">
        <v>2027</v>
      </c>
      <c r="C1041" s="3">
        <f>IFERROR(SUMIFS('Issuance Log'!$D:$D,'Issuance Log'!$B:$B,A1041,'Issuance Log'!$G:$G,$B$4),0)</f>
        <v>0</v>
      </c>
      <c r="D1041" s="3">
        <f>IFERROR(COUNTIFS('Issuance Log'!$B:$B,A1041,'Issuance Log'!$G:$G,$B$4),0)</f>
        <v>0</v>
      </c>
      <c r="E1041" s="3" t="str">
        <f ca="1">IFERROR(INDEX('Issuance Log'!$E:$E,MATCH(MAXIFS('Issuance Log'!$D:$D,'Issuance Log'!$B:$B,A1041,'Issuance Log'!$G:$G,$B$4),IF(('Issuance Log'!$B:$B=A1041)*('Issuance Log'!$G:$G=$B$4),'Issuance Log'!$D:$D),0)),"-")</f>
        <v>-</v>
      </c>
    </row>
    <row r="1042" spans="1:5" x14ac:dyDescent="0.25">
      <c r="A1042" s="4" t="s">
        <v>2028</v>
      </c>
      <c r="B1042" s="4" t="s">
        <v>2029</v>
      </c>
      <c r="C1042" s="5">
        <f>IFERROR(SUMIFS('Issuance Log'!$D:$D,'Issuance Log'!$B:$B,A1042,'Issuance Log'!$G:$G,$B$4),0)</f>
        <v>0</v>
      </c>
      <c r="D1042" s="5">
        <f>IFERROR(COUNTIFS('Issuance Log'!$B:$B,A1042,'Issuance Log'!$G:$G,$B$4),0)</f>
        <v>0</v>
      </c>
      <c r="E1042" s="5" t="str">
        <f ca="1">IFERROR(INDEX('Issuance Log'!$E:$E,MATCH(MAXIFS('Issuance Log'!$D:$D,'Issuance Log'!$B:$B,A1042,'Issuance Log'!$G:$G,$B$4),IF(('Issuance Log'!$B:$B=A1042)*('Issuance Log'!$G:$G=$B$4),'Issuance Log'!$D:$D),0)),"-")</f>
        <v>-</v>
      </c>
    </row>
    <row r="1043" spans="1:5" x14ac:dyDescent="0.25">
      <c r="A1043" s="2" t="s">
        <v>2030</v>
      </c>
      <c r="B1043" s="2" t="s">
        <v>1095</v>
      </c>
      <c r="C1043" s="3">
        <f>IFERROR(SUMIFS('Issuance Log'!$D:$D,'Issuance Log'!$B:$B,A1043,'Issuance Log'!$G:$G,$B$4),0)</f>
        <v>0</v>
      </c>
      <c r="D1043" s="3">
        <f>IFERROR(COUNTIFS('Issuance Log'!$B:$B,A1043,'Issuance Log'!$G:$G,$B$4),0)</f>
        <v>0</v>
      </c>
      <c r="E1043" s="3" t="str">
        <f ca="1">IFERROR(INDEX('Issuance Log'!$E:$E,MATCH(MAXIFS('Issuance Log'!$D:$D,'Issuance Log'!$B:$B,A1043,'Issuance Log'!$G:$G,$B$4),IF(('Issuance Log'!$B:$B=A1043)*('Issuance Log'!$G:$G=$B$4),'Issuance Log'!$D:$D),0)),"-")</f>
        <v>-</v>
      </c>
    </row>
    <row r="1044" spans="1:5" x14ac:dyDescent="0.25">
      <c r="A1044" s="4" t="s">
        <v>2031</v>
      </c>
      <c r="B1044" s="4" t="s">
        <v>2032</v>
      </c>
      <c r="C1044" s="5">
        <f>IFERROR(SUMIFS('Issuance Log'!$D:$D,'Issuance Log'!$B:$B,A1044,'Issuance Log'!$G:$G,$B$4),0)</f>
        <v>0</v>
      </c>
      <c r="D1044" s="5">
        <f>IFERROR(COUNTIFS('Issuance Log'!$B:$B,A1044,'Issuance Log'!$G:$G,$B$4),0)</f>
        <v>0</v>
      </c>
      <c r="E1044" s="5" t="str">
        <f ca="1">IFERROR(INDEX('Issuance Log'!$E:$E,MATCH(MAXIFS('Issuance Log'!$D:$D,'Issuance Log'!$B:$B,A1044,'Issuance Log'!$G:$G,$B$4),IF(('Issuance Log'!$B:$B=A1044)*('Issuance Log'!$G:$G=$B$4),'Issuance Log'!$D:$D),0)),"-")</f>
        <v>-</v>
      </c>
    </row>
    <row r="1045" spans="1:5" x14ac:dyDescent="0.25">
      <c r="A1045" s="2" t="s">
        <v>2033</v>
      </c>
      <c r="B1045" s="2" t="s">
        <v>88</v>
      </c>
      <c r="C1045" s="3">
        <f>IFERROR(SUMIFS('Issuance Log'!$D:$D,'Issuance Log'!$B:$B,A1045,'Issuance Log'!$G:$G,$B$4),0)</f>
        <v>0</v>
      </c>
      <c r="D1045" s="3">
        <f>IFERROR(COUNTIFS('Issuance Log'!$B:$B,A1045,'Issuance Log'!$G:$G,$B$4),0)</f>
        <v>0</v>
      </c>
      <c r="E1045" s="3" t="str">
        <f ca="1">IFERROR(INDEX('Issuance Log'!$E:$E,MATCH(MAXIFS('Issuance Log'!$D:$D,'Issuance Log'!$B:$B,A1045,'Issuance Log'!$G:$G,$B$4),IF(('Issuance Log'!$B:$B=A1045)*('Issuance Log'!$G:$G=$B$4),'Issuance Log'!$D:$D),0)),"-")</f>
        <v>-</v>
      </c>
    </row>
    <row r="1046" spans="1:5" x14ac:dyDescent="0.25">
      <c r="A1046" s="4" t="s">
        <v>2034</v>
      </c>
      <c r="B1046" s="4" t="s">
        <v>138</v>
      </c>
      <c r="C1046" s="5">
        <f>IFERROR(SUMIFS('Issuance Log'!$D:$D,'Issuance Log'!$B:$B,A1046,'Issuance Log'!$G:$G,$B$4),0)</f>
        <v>0</v>
      </c>
      <c r="D1046" s="5">
        <f>IFERROR(COUNTIFS('Issuance Log'!$B:$B,A1046,'Issuance Log'!$G:$G,$B$4),0)</f>
        <v>0</v>
      </c>
      <c r="E1046" s="5" t="str">
        <f ca="1">IFERROR(INDEX('Issuance Log'!$E:$E,MATCH(MAXIFS('Issuance Log'!$D:$D,'Issuance Log'!$B:$B,A1046,'Issuance Log'!$G:$G,$B$4),IF(('Issuance Log'!$B:$B=A1046)*('Issuance Log'!$G:$G=$B$4),'Issuance Log'!$D:$D),0)),"-")</f>
        <v>-</v>
      </c>
    </row>
    <row r="1047" spans="1:5" x14ac:dyDescent="0.25">
      <c r="A1047" s="2" t="s">
        <v>2035</v>
      </c>
      <c r="B1047" s="2" t="s">
        <v>107</v>
      </c>
      <c r="C1047" s="3">
        <f>IFERROR(SUMIFS('Issuance Log'!$D:$D,'Issuance Log'!$B:$B,A1047,'Issuance Log'!$G:$G,$B$4),0)</f>
        <v>0</v>
      </c>
      <c r="D1047" s="3">
        <f>IFERROR(COUNTIFS('Issuance Log'!$B:$B,A1047,'Issuance Log'!$G:$G,$B$4),0)</f>
        <v>0</v>
      </c>
      <c r="E1047" s="3" t="str">
        <f ca="1">IFERROR(INDEX('Issuance Log'!$E:$E,MATCH(MAXIFS('Issuance Log'!$D:$D,'Issuance Log'!$B:$B,A1047,'Issuance Log'!$G:$G,$B$4),IF(('Issuance Log'!$B:$B=A1047)*('Issuance Log'!$G:$G=$B$4),'Issuance Log'!$D:$D),0)),"-")</f>
        <v>-</v>
      </c>
    </row>
    <row r="1048" spans="1:5" x14ac:dyDescent="0.25">
      <c r="A1048" s="4" t="s">
        <v>2036</v>
      </c>
      <c r="B1048" s="4" t="s">
        <v>107</v>
      </c>
      <c r="C1048" s="5">
        <f>IFERROR(SUMIFS('Issuance Log'!$D:$D,'Issuance Log'!$B:$B,A1048,'Issuance Log'!$G:$G,$B$4),0)</f>
        <v>0</v>
      </c>
      <c r="D1048" s="5">
        <f>IFERROR(COUNTIFS('Issuance Log'!$B:$B,A1048,'Issuance Log'!$G:$G,$B$4),0)</f>
        <v>0</v>
      </c>
      <c r="E1048" s="5" t="str">
        <f ca="1">IFERROR(INDEX('Issuance Log'!$E:$E,MATCH(MAXIFS('Issuance Log'!$D:$D,'Issuance Log'!$B:$B,A1048,'Issuance Log'!$G:$G,$B$4),IF(('Issuance Log'!$B:$B=A1048)*('Issuance Log'!$G:$G=$B$4),'Issuance Log'!$D:$D),0)),"-")</f>
        <v>-</v>
      </c>
    </row>
    <row r="1049" spans="1:5" x14ac:dyDescent="0.25">
      <c r="A1049" s="2" t="s">
        <v>2037</v>
      </c>
      <c r="B1049" s="2" t="s">
        <v>2038</v>
      </c>
      <c r="C1049" s="3">
        <f>IFERROR(SUMIFS('Issuance Log'!$D:$D,'Issuance Log'!$B:$B,A1049,'Issuance Log'!$G:$G,$B$4),0)</f>
        <v>0</v>
      </c>
      <c r="D1049" s="3">
        <f>IFERROR(COUNTIFS('Issuance Log'!$B:$B,A1049,'Issuance Log'!$G:$G,$B$4),0)</f>
        <v>0</v>
      </c>
      <c r="E1049" s="3" t="str">
        <f ca="1">IFERROR(INDEX('Issuance Log'!$E:$E,MATCH(MAXIFS('Issuance Log'!$D:$D,'Issuance Log'!$B:$B,A1049,'Issuance Log'!$G:$G,$B$4),IF(('Issuance Log'!$B:$B=A1049)*('Issuance Log'!$G:$G=$B$4),'Issuance Log'!$D:$D),0)),"-")</f>
        <v>-</v>
      </c>
    </row>
    <row r="1050" spans="1:5" x14ac:dyDescent="0.25">
      <c r="A1050" s="4" t="s">
        <v>2039</v>
      </c>
      <c r="B1050" s="4" t="s">
        <v>2040</v>
      </c>
      <c r="C1050" s="5">
        <f>IFERROR(SUMIFS('Issuance Log'!$D:$D,'Issuance Log'!$B:$B,A1050,'Issuance Log'!$G:$G,$B$4),0)</f>
        <v>0</v>
      </c>
      <c r="D1050" s="5">
        <f>IFERROR(COUNTIFS('Issuance Log'!$B:$B,A1050,'Issuance Log'!$G:$G,$B$4),0)</f>
        <v>0</v>
      </c>
      <c r="E1050" s="5" t="str">
        <f ca="1">IFERROR(INDEX('Issuance Log'!$E:$E,MATCH(MAXIFS('Issuance Log'!$D:$D,'Issuance Log'!$B:$B,A1050,'Issuance Log'!$G:$G,$B$4),IF(('Issuance Log'!$B:$B=A1050)*('Issuance Log'!$G:$G=$B$4),'Issuance Log'!$D:$D),0)),"-")</f>
        <v>-</v>
      </c>
    </row>
    <row r="1051" spans="1:5" x14ac:dyDescent="0.25">
      <c r="A1051" s="2" t="s">
        <v>2041</v>
      </c>
      <c r="B1051" s="2" t="s">
        <v>2042</v>
      </c>
      <c r="C1051" s="3">
        <f>IFERROR(SUMIFS('Issuance Log'!$D:$D,'Issuance Log'!$B:$B,A1051,'Issuance Log'!$G:$G,$B$4),0)</f>
        <v>0</v>
      </c>
      <c r="D1051" s="3">
        <f>IFERROR(COUNTIFS('Issuance Log'!$B:$B,A1051,'Issuance Log'!$G:$G,$B$4),0)</f>
        <v>0</v>
      </c>
      <c r="E1051" s="3" t="str">
        <f ca="1">IFERROR(INDEX('Issuance Log'!$E:$E,MATCH(MAXIFS('Issuance Log'!$D:$D,'Issuance Log'!$B:$B,A1051,'Issuance Log'!$G:$G,$B$4),IF(('Issuance Log'!$B:$B=A1051)*('Issuance Log'!$G:$G=$B$4),'Issuance Log'!$D:$D),0)),"-")</f>
        <v>-</v>
      </c>
    </row>
    <row r="1052" spans="1:5" x14ac:dyDescent="0.25">
      <c r="A1052" s="4" t="s">
        <v>2043</v>
      </c>
      <c r="B1052" s="4" t="s">
        <v>2044</v>
      </c>
      <c r="C1052" s="5">
        <f>IFERROR(SUMIFS('Issuance Log'!$D:$D,'Issuance Log'!$B:$B,A1052,'Issuance Log'!$G:$G,$B$4),0)</f>
        <v>0</v>
      </c>
      <c r="D1052" s="5">
        <f>IFERROR(COUNTIFS('Issuance Log'!$B:$B,A1052,'Issuance Log'!$G:$G,$B$4),0)</f>
        <v>0</v>
      </c>
      <c r="E1052" s="5" t="str">
        <f ca="1">IFERROR(INDEX('Issuance Log'!$E:$E,MATCH(MAXIFS('Issuance Log'!$D:$D,'Issuance Log'!$B:$B,A1052,'Issuance Log'!$G:$G,$B$4),IF(('Issuance Log'!$B:$B=A1052)*('Issuance Log'!$G:$G=$B$4),'Issuance Log'!$D:$D),0)),"-")</f>
        <v>-</v>
      </c>
    </row>
    <row r="1053" spans="1:5" x14ac:dyDescent="0.25">
      <c r="A1053" s="2" t="s">
        <v>2045</v>
      </c>
      <c r="B1053" s="2" t="s">
        <v>2046</v>
      </c>
      <c r="C1053" s="3">
        <f>IFERROR(SUMIFS('Issuance Log'!$D:$D,'Issuance Log'!$B:$B,A1053,'Issuance Log'!$G:$G,$B$4),0)</f>
        <v>0</v>
      </c>
      <c r="D1053" s="3">
        <f>IFERROR(COUNTIFS('Issuance Log'!$B:$B,A1053,'Issuance Log'!$G:$G,$B$4),0)</f>
        <v>0</v>
      </c>
      <c r="E1053" s="3" t="str">
        <f ca="1">IFERROR(INDEX('Issuance Log'!$E:$E,MATCH(MAXIFS('Issuance Log'!$D:$D,'Issuance Log'!$B:$B,A1053,'Issuance Log'!$G:$G,$B$4),IF(('Issuance Log'!$B:$B=A1053)*('Issuance Log'!$G:$G=$B$4),'Issuance Log'!$D:$D),0)),"-")</f>
        <v>-</v>
      </c>
    </row>
    <row r="1054" spans="1:5" x14ac:dyDescent="0.25">
      <c r="A1054" s="4" t="s">
        <v>2047</v>
      </c>
      <c r="B1054" s="4" t="s">
        <v>2048</v>
      </c>
      <c r="C1054" s="5">
        <f>IFERROR(SUMIFS('Issuance Log'!$D:$D,'Issuance Log'!$B:$B,A1054,'Issuance Log'!$G:$G,$B$4),0)</f>
        <v>0</v>
      </c>
      <c r="D1054" s="5">
        <f>IFERROR(COUNTIFS('Issuance Log'!$B:$B,A1054,'Issuance Log'!$G:$G,$B$4),0)</f>
        <v>0</v>
      </c>
      <c r="E1054" s="5" t="str">
        <f ca="1">IFERROR(INDEX('Issuance Log'!$E:$E,MATCH(MAXIFS('Issuance Log'!$D:$D,'Issuance Log'!$B:$B,A1054,'Issuance Log'!$G:$G,$B$4),IF(('Issuance Log'!$B:$B=A1054)*('Issuance Log'!$G:$G=$B$4),'Issuance Log'!$D:$D),0)),"-")</f>
        <v>-</v>
      </c>
    </row>
    <row r="1055" spans="1:5" x14ac:dyDescent="0.25">
      <c r="A1055" s="2" t="s">
        <v>2049</v>
      </c>
      <c r="B1055" s="2" t="s">
        <v>2050</v>
      </c>
      <c r="C1055" s="3">
        <f>IFERROR(SUMIFS('Issuance Log'!$D:$D,'Issuance Log'!$B:$B,A1055,'Issuance Log'!$G:$G,$B$4),0)</f>
        <v>0</v>
      </c>
      <c r="D1055" s="3">
        <f>IFERROR(COUNTIFS('Issuance Log'!$B:$B,A1055,'Issuance Log'!$G:$G,$B$4),0)</f>
        <v>0</v>
      </c>
      <c r="E1055" s="3" t="str">
        <f ca="1">IFERROR(INDEX('Issuance Log'!$E:$E,MATCH(MAXIFS('Issuance Log'!$D:$D,'Issuance Log'!$B:$B,A1055,'Issuance Log'!$G:$G,$B$4),IF(('Issuance Log'!$B:$B=A1055)*('Issuance Log'!$G:$G=$B$4),'Issuance Log'!$D:$D),0)),"-")</f>
        <v>-</v>
      </c>
    </row>
    <row r="1056" spans="1:5" x14ac:dyDescent="0.25">
      <c r="A1056" s="4" t="s">
        <v>2051</v>
      </c>
      <c r="B1056" s="4" t="s">
        <v>2052</v>
      </c>
      <c r="C1056" s="5">
        <f>IFERROR(SUMIFS('Issuance Log'!$D:$D,'Issuance Log'!$B:$B,A1056,'Issuance Log'!$G:$G,$B$4),0)</f>
        <v>0</v>
      </c>
      <c r="D1056" s="5">
        <f>IFERROR(COUNTIFS('Issuance Log'!$B:$B,A1056,'Issuance Log'!$G:$G,$B$4),0)</f>
        <v>0</v>
      </c>
      <c r="E1056" s="5" t="str">
        <f ca="1">IFERROR(INDEX('Issuance Log'!$E:$E,MATCH(MAXIFS('Issuance Log'!$D:$D,'Issuance Log'!$B:$B,A1056,'Issuance Log'!$G:$G,$B$4),IF(('Issuance Log'!$B:$B=A1056)*('Issuance Log'!$G:$G=$B$4),'Issuance Log'!$D:$D),0)),"-")</f>
        <v>-</v>
      </c>
    </row>
    <row r="1057" spans="1:5" x14ac:dyDescent="0.25">
      <c r="A1057" s="2" t="s">
        <v>2053</v>
      </c>
      <c r="B1057" s="2" t="s">
        <v>2054</v>
      </c>
      <c r="C1057" s="3">
        <f>IFERROR(SUMIFS('Issuance Log'!$D:$D,'Issuance Log'!$B:$B,A1057,'Issuance Log'!$G:$G,$B$4),0)</f>
        <v>0</v>
      </c>
      <c r="D1057" s="3">
        <f>IFERROR(COUNTIFS('Issuance Log'!$B:$B,A1057,'Issuance Log'!$G:$G,$B$4),0)</f>
        <v>0</v>
      </c>
      <c r="E1057" s="3" t="str">
        <f ca="1">IFERROR(INDEX('Issuance Log'!$E:$E,MATCH(MAXIFS('Issuance Log'!$D:$D,'Issuance Log'!$B:$B,A1057,'Issuance Log'!$G:$G,$B$4),IF(('Issuance Log'!$B:$B=A1057)*('Issuance Log'!$G:$G=$B$4),'Issuance Log'!$D:$D),0)),"-")</f>
        <v>-</v>
      </c>
    </row>
    <row r="1058" spans="1:5" x14ac:dyDescent="0.25">
      <c r="A1058" s="4" t="s">
        <v>2055</v>
      </c>
      <c r="B1058" s="4" t="s">
        <v>2056</v>
      </c>
      <c r="C1058" s="5">
        <f>IFERROR(SUMIFS('Issuance Log'!$D:$D,'Issuance Log'!$B:$B,A1058,'Issuance Log'!$G:$G,$B$4),0)</f>
        <v>0</v>
      </c>
      <c r="D1058" s="5">
        <f>IFERROR(COUNTIFS('Issuance Log'!$B:$B,A1058,'Issuance Log'!$G:$G,$B$4),0)</f>
        <v>0</v>
      </c>
      <c r="E1058" s="5" t="str">
        <f ca="1">IFERROR(INDEX('Issuance Log'!$E:$E,MATCH(MAXIFS('Issuance Log'!$D:$D,'Issuance Log'!$B:$B,A1058,'Issuance Log'!$G:$G,$B$4),IF(('Issuance Log'!$B:$B=A1058)*('Issuance Log'!$G:$G=$B$4),'Issuance Log'!$D:$D),0)),"-")</f>
        <v>-</v>
      </c>
    </row>
    <row r="1059" spans="1:5" x14ac:dyDescent="0.25">
      <c r="A1059" s="2" t="s">
        <v>2057</v>
      </c>
      <c r="B1059" s="2" t="s">
        <v>2058</v>
      </c>
      <c r="C1059" s="3">
        <f>IFERROR(SUMIFS('Issuance Log'!$D:$D,'Issuance Log'!$B:$B,A1059,'Issuance Log'!$G:$G,$B$4),0)</f>
        <v>0</v>
      </c>
      <c r="D1059" s="3">
        <f>IFERROR(COUNTIFS('Issuance Log'!$B:$B,A1059,'Issuance Log'!$G:$G,$B$4),0)</f>
        <v>0</v>
      </c>
      <c r="E1059" s="3" t="str">
        <f ca="1">IFERROR(INDEX('Issuance Log'!$E:$E,MATCH(MAXIFS('Issuance Log'!$D:$D,'Issuance Log'!$B:$B,A1059,'Issuance Log'!$G:$G,$B$4),IF(('Issuance Log'!$B:$B=A1059)*('Issuance Log'!$G:$G=$B$4),'Issuance Log'!$D:$D),0)),"-")</f>
        <v>-</v>
      </c>
    </row>
    <row r="1060" spans="1:5" x14ac:dyDescent="0.25">
      <c r="A1060" s="4" t="s">
        <v>2059</v>
      </c>
      <c r="B1060" s="4" t="s">
        <v>2060</v>
      </c>
      <c r="C1060" s="5">
        <f>IFERROR(SUMIFS('Issuance Log'!$D:$D,'Issuance Log'!$B:$B,A1060,'Issuance Log'!$G:$G,$B$4),0)</f>
        <v>0</v>
      </c>
      <c r="D1060" s="5">
        <f>IFERROR(COUNTIFS('Issuance Log'!$B:$B,A1060,'Issuance Log'!$G:$G,$B$4),0)</f>
        <v>0</v>
      </c>
      <c r="E1060" s="5" t="str">
        <f ca="1">IFERROR(INDEX('Issuance Log'!$E:$E,MATCH(MAXIFS('Issuance Log'!$D:$D,'Issuance Log'!$B:$B,A1060,'Issuance Log'!$G:$G,$B$4),IF(('Issuance Log'!$B:$B=A1060)*('Issuance Log'!$G:$G=$B$4),'Issuance Log'!$D:$D),0)),"-")</f>
        <v>-</v>
      </c>
    </row>
    <row r="1061" spans="1:5" x14ac:dyDescent="0.25">
      <c r="A1061" s="2" t="s">
        <v>2061</v>
      </c>
      <c r="B1061" s="2" t="s">
        <v>2062</v>
      </c>
      <c r="C1061" s="3">
        <f>IFERROR(SUMIFS('Issuance Log'!$D:$D,'Issuance Log'!$B:$B,A1061,'Issuance Log'!$G:$G,$B$4),0)</f>
        <v>0</v>
      </c>
      <c r="D1061" s="3">
        <f>IFERROR(COUNTIFS('Issuance Log'!$B:$B,A1061,'Issuance Log'!$G:$G,$B$4),0)</f>
        <v>0</v>
      </c>
      <c r="E1061" s="3" t="str">
        <f ca="1">IFERROR(INDEX('Issuance Log'!$E:$E,MATCH(MAXIFS('Issuance Log'!$D:$D,'Issuance Log'!$B:$B,A1061,'Issuance Log'!$G:$G,$B$4),IF(('Issuance Log'!$B:$B=A1061)*('Issuance Log'!$G:$G=$B$4),'Issuance Log'!$D:$D),0)),"-")</f>
        <v>-</v>
      </c>
    </row>
    <row r="1062" spans="1:5" x14ac:dyDescent="0.25">
      <c r="A1062" s="4" t="s">
        <v>2063</v>
      </c>
      <c r="B1062" s="4" t="s">
        <v>2064</v>
      </c>
      <c r="C1062" s="5">
        <f>IFERROR(SUMIFS('Issuance Log'!$D:$D,'Issuance Log'!$B:$B,A1062,'Issuance Log'!$G:$G,$B$4),0)</f>
        <v>0</v>
      </c>
      <c r="D1062" s="5">
        <f>IFERROR(COUNTIFS('Issuance Log'!$B:$B,A1062,'Issuance Log'!$G:$G,$B$4),0)</f>
        <v>0</v>
      </c>
      <c r="E1062" s="5" t="str">
        <f ca="1">IFERROR(INDEX('Issuance Log'!$E:$E,MATCH(MAXIFS('Issuance Log'!$D:$D,'Issuance Log'!$B:$B,A1062,'Issuance Log'!$G:$G,$B$4),IF(('Issuance Log'!$B:$B=A1062)*('Issuance Log'!$G:$G=$B$4),'Issuance Log'!$D:$D),0)),"-")</f>
        <v>-</v>
      </c>
    </row>
    <row r="1063" spans="1:5" x14ac:dyDescent="0.25">
      <c r="A1063" s="2" t="s">
        <v>2065</v>
      </c>
      <c r="B1063" s="2" t="s">
        <v>2066</v>
      </c>
      <c r="C1063" s="3">
        <f>IFERROR(SUMIFS('Issuance Log'!$D:$D,'Issuance Log'!$B:$B,A1063,'Issuance Log'!$G:$G,$B$4),0)</f>
        <v>0</v>
      </c>
      <c r="D1063" s="3">
        <f>IFERROR(COUNTIFS('Issuance Log'!$B:$B,A1063,'Issuance Log'!$G:$G,$B$4),0)</f>
        <v>0</v>
      </c>
      <c r="E1063" s="3" t="str">
        <f ca="1">IFERROR(INDEX('Issuance Log'!$E:$E,MATCH(MAXIFS('Issuance Log'!$D:$D,'Issuance Log'!$B:$B,A1063,'Issuance Log'!$G:$G,$B$4),IF(('Issuance Log'!$B:$B=A1063)*('Issuance Log'!$G:$G=$B$4),'Issuance Log'!$D:$D),0)),"-")</f>
        <v>-</v>
      </c>
    </row>
    <row r="1064" spans="1:5" x14ac:dyDescent="0.25">
      <c r="A1064" s="4" t="s">
        <v>2067</v>
      </c>
      <c r="B1064" s="4" t="s">
        <v>2068</v>
      </c>
      <c r="C1064" s="5">
        <f>IFERROR(SUMIFS('Issuance Log'!$D:$D,'Issuance Log'!$B:$B,A1064,'Issuance Log'!$G:$G,$B$4),0)</f>
        <v>0</v>
      </c>
      <c r="D1064" s="5">
        <f>IFERROR(COUNTIFS('Issuance Log'!$B:$B,A1064,'Issuance Log'!$G:$G,$B$4),0)</f>
        <v>0</v>
      </c>
      <c r="E1064" s="5" t="str">
        <f ca="1">IFERROR(INDEX('Issuance Log'!$E:$E,MATCH(MAXIFS('Issuance Log'!$D:$D,'Issuance Log'!$B:$B,A1064,'Issuance Log'!$G:$G,$B$4),IF(('Issuance Log'!$B:$B=A1064)*('Issuance Log'!$G:$G=$B$4),'Issuance Log'!$D:$D),0)),"-")</f>
        <v>-</v>
      </c>
    </row>
    <row r="1065" spans="1:5" x14ac:dyDescent="0.25">
      <c r="A1065" s="2" t="s">
        <v>2069</v>
      </c>
      <c r="B1065" s="2" t="s">
        <v>2070</v>
      </c>
      <c r="C1065" s="3">
        <f>IFERROR(SUMIFS('Issuance Log'!$D:$D,'Issuance Log'!$B:$B,A1065,'Issuance Log'!$G:$G,$B$4),0)</f>
        <v>0</v>
      </c>
      <c r="D1065" s="3">
        <f>IFERROR(COUNTIFS('Issuance Log'!$B:$B,A1065,'Issuance Log'!$G:$G,$B$4),0)</f>
        <v>0</v>
      </c>
      <c r="E1065" s="3" t="str">
        <f ca="1">IFERROR(INDEX('Issuance Log'!$E:$E,MATCH(MAXIFS('Issuance Log'!$D:$D,'Issuance Log'!$B:$B,A1065,'Issuance Log'!$G:$G,$B$4),IF(('Issuance Log'!$B:$B=A1065)*('Issuance Log'!$G:$G=$B$4),'Issuance Log'!$D:$D),0)),"-")</f>
        <v>-</v>
      </c>
    </row>
    <row r="1066" spans="1:5" x14ac:dyDescent="0.25">
      <c r="A1066" s="4" t="s">
        <v>2071</v>
      </c>
      <c r="B1066" s="4" t="s">
        <v>2072</v>
      </c>
      <c r="C1066" s="5">
        <f>IFERROR(SUMIFS('Issuance Log'!$D:$D,'Issuance Log'!$B:$B,A1066,'Issuance Log'!$G:$G,$B$4),0)</f>
        <v>0</v>
      </c>
      <c r="D1066" s="5">
        <f>IFERROR(COUNTIFS('Issuance Log'!$B:$B,A1066,'Issuance Log'!$G:$G,$B$4),0)</f>
        <v>0</v>
      </c>
      <c r="E1066" s="5" t="str">
        <f ca="1">IFERROR(INDEX('Issuance Log'!$E:$E,MATCH(MAXIFS('Issuance Log'!$D:$D,'Issuance Log'!$B:$B,A1066,'Issuance Log'!$G:$G,$B$4),IF(('Issuance Log'!$B:$B=A1066)*('Issuance Log'!$G:$G=$B$4),'Issuance Log'!$D:$D),0)),"-")</f>
        <v>-</v>
      </c>
    </row>
    <row r="1067" spans="1:5" x14ac:dyDescent="0.25">
      <c r="A1067" s="2" t="s">
        <v>2073</v>
      </c>
      <c r="B1067" s="2" t="s">
        <v>2074</v>
      </c>
      <c r="C1067" s="3">
        <f>IFERROR(SUMIFS('Issuance Log'!$D:$D,'Issuance Log'!$B:$B,A1067,'Issuance Log'!$G:$G,$B$4),0)</f>
        <v>0</v>
      </c>
      <c r="D1067" s="3">
        <f>IFERROR(COUNTIFS('Issuance Log'!$B:$B,A1067,'Issuance Log'!$G:$G,$B$4),0)</f>
        <v>0</v>
      </c>
      <c r="E1067" s="3" t="str">
        <f ca="1">IFERROR(INDEX('Issuance Log'!$E:$E,MATCH(MAXIFS('Issuance Log'!$D:$D,'Issuance Log'!$B:$B,A1067,'Issuance Log'!$G:$G,$B$4),IF(('Issuance Log'!$B:$B=A1067)*('Issuance Log'!$G:$G=$B$4),'Issuance Log'!$D:$D),0)),"-")</f>
        <v>-</v>
      </c>
    </row>
    <row r="1068" spans="1:5" x14ac:dyDescent="0.25">
      <c r="A1068" s="4" t="s">
        <v>2075</v>
      </c>
      <c r="B1068" s="4" t="s">
        <v>2076</v>
      </c>
      <c r="C1068" s="5">
        <f>IFERROR(SUMIFS('Issuance Log'!$D:$D,'Issuance Log'!$B:$B,A1068,'Issuance Log'!$G:$G,$B$4),0)</f>
        <v>0</v>
      </c>
      <c r="D1068" s="5">
        <f>IFERROR(COUNTIFS('Issuance Log'!$B:$B,A1068,'Issuance Log'!$G:$G,$B$4),0)</f>
        <v>0</v>
      </c>
      <c r="E1068" s="5" t="str">
        <f ca="1">IFERROR(INDEX('Issuance Log'!$E:$E,MATCH(MAXIFS('Issuance Log'!$D:$D,'Issuance Log'!$B:$B,A1068,'Issuance Log'!$G:$G,$B$4),IF(('Issuance Log'!$B:$B=A1068)*('Issuance Log'!$G:$G=$B$4),'Issuance Log'!$D:$D),0)),"-")</f>
        <v>-</v>
      </c>
    </row>
    <row r="1069" spans="1:5" x14ac:dyDescent="0.25">
      <c r="A1069" s="2" t="s">
        <v>2077</v>
      </c>
      <c r="B1069" s="2" t="s">
        <v>2078</v>
      </c>
      <c r="C1069" s="3">
        <f>IFERROR(SUMIFS('Issuance Log'!$D:$D,'Issuance Log'!$B:$B,A1069,'Issuance Log'!$G:$G,$B$4),0)</f>
        <v>0</v>
      </c>
      <c r="D1069" s="3">
        <f>IFERROR(COUNTIFS('Issuance Log'!$B:$B,A1069,'Issuance Log'!$G:$G,$B$4),0)</f>
        <v>0</v>
      </c>
      <c r="E1069" s="3" t="str">
        <f ca="1">IFERROR(INDEX('Issuance Log'!$E:$E,MATCH(MAXIFS('Issuance Log'!$D:$D,'Issuance Log'!$B:$B,A1069,'Issuance Log'!$G:$G,$B$4),IF(('Issuance Log'!$B:$B=A1069)*('Issuance Log'!$G:$G=$B$4),'Issuance Log'!$D:$D),0)),"-")</f>
        <v>-</v>
      </c>
    </row>
    <row r="1070" spans="1:5" x14ac:dyDescent="0.25">
      <c r="A1070" s="4" t="s">
        <v>2079</v>
      </c>
      <c r="B1070" s="4" t="s">
        <v>2080</v>
      </c>
      <c r="C1070" s="5">
        <f>IFERROR(SUMIFS('Issuance Log'!$D:$D,'Issuance Log'!$B:$B,A1070,'Issuance Log'!$G:$G,$B$4),0)</f>
        <v>0</v>
      </c>
      <c r="D1070" s="5">
        <f>IFERROR(COUNTIFS('Issuance Log'!$B:$B,A1070,'Issuance Log'!$G:$G,$B$4),0)</f>
        <v>0</v>
      </c>
      <c r="E1070" s="5" t="str">
        <f ca="1">IFERROR(INDEX('Issuance Log'!$E:$E,MATCH(MAXIFS('Issuance Log'!$D:$D,'Issuance Log'!$B:$B,A1070,'Issuance Log'!$G:$G,$B$4),IF(('Issuance Log'!$B:$B=A1070)*('Issuance Log'!$G:$G=$B$4),'Issuance Log'!$D:$D),0)),"-")</f>
        <v>-</v>
      </c>
    </row>
    <row r="1071" spans="1:5" x14ac:dyDescent="0.25">
      <c r="A1071" s="2" t="s">
        <v>2081</v>
      </c>
      <c r="B1071" s="2" t="s">
        <v>2082</v>
      </c>
      <c r="C1071" s="3">
        <f>IFERROR(SUMIFS('Issuance Log'!$D:$D,'Issuance Log'!$B:$B,A1071,'Issuance Log'!$G:$G,$B$4),0)</f>
        <v>0</v>
      </c>
      <c r="D1071" s="3">
        <f>IFERROR(COUNTIFS('Issuance Log'!$B:$B,A1071,'Issuance Log'!$G:$G,$B$4),0)</f>
        <v>0</v>
      </c>
      <c r="E1071" s="3" t="str">
        <f ca="1">IFERROR(INDEX('Issuance Log'!$E:$E,MATCH(MAXIFS('Issuance Log'!$D:$D,'Issuance Log'!$B:$B,A1071,'Issuance Log'!$G:$G,$B$4),IF(('Issuance Log'!$B:$B=A1071)*('Issuance Log'!$G:$G=$B$4),'Issuance Log'!$D:$D),0)),"-")</f>
        <v>-</v>
      </c>
    </row>
    <row r="1072" spans="1:5" x14ac:dyDescent="0.25">
      <c r="A1072" s="4" t="s">
        <v>2083</v>
      </c>
      <c r="B1072" s="4" t="s">
        <v>2084</v>
      </c>
      <c r="C1072" s="5">
        <f>IFERROR(SUMIFS('Issuance Log'!$D:$D,'Issuance Log'!$B:$B,A1072,'Issuance Log'!$G:$G,$B$4),0)</f>
        <v>0</v>
      </c>
      <c r="D1072" s="5">
        <f>IFERROR(COUNTIFS('Issuance Log'!$B:$B,A1072,'Issuance Log'!$G:$G,$B$4),0)</f>
        <v>0</v>
      </c>
      <c r="E1072" s="5" t="str">
        <f ca="1">IFERROR(INDEX('Issuance Log'!$E:$E,MATCH(MAXIFS('Issuance Log'!$D:$D,'Issuance Log'!$B:$B,A1072,'Issuance Log'!$G:$G,$B$4),IF(('Issuance Log'!$B:$B=A1072)*('Issuance Log'!$G:$G=$B$4),'Issuance Log'!$D:$D),0)),"-")</f>
        <v>-</v>
      </c>
    </row>
    <row r="1073" spans="1:5" x14ac:dyDescent="0.25">
      <c r="A1073" s="2" t="s">
        <v>2085</v>
      </c>
      <c r="B1073" s="2" t="s">
        <v>2086</v>
      </c>
      <c r="C1073" s="3">
        <f>IFERROR(SUMIFS('Issuance Log'!$D:$D,'Issuance Log'!$B:$B,A1073,'Issuance Log'!$G:$G,$B$4),0)</f>
        <v>0</v>
      </c>
      <c r="D1073" s="3">
        <f>IFERROR(COUNTIFS('Issuance Log'!$B:$B,A1073,'Issuance Log'!$G:$G,$B$4),0)</f>
        <v>0</v>
      </c>
      <c r="E1073" s="3" t="str">
        <f ca="1">IFERROR(INDEX('Issuance Log'!$E:$E,MATCH(MAXIFS('Issuance Log'!$D:$D,'Issuance Log'!$B:$B,A1073,'Issuance Log'!$G:$G,$B$4),IF(('Issuance Log'!$B:$B=A1073)*('Issuance Log'!$G:$G=$B$4),'Issuance Log'!$D:$D),0)),"-")</f>
        <v>-</v>
      </c>
    </row>
    <row r="1074" spans="1:5" x14ac:dyDescent="0.25">
      <c r="A1074" s="4" t="s">
        <v>2087</v>
      </c>
      <c r="B1074" s="4" t="s">
        <v>2088</v>
      </c>
      <c r="C1074" s="5">
        <f>IFERROR(SUMIFS('Issuance Log'!$D:$D,'Issuance Log'!$B:$B,A1074,'Issuance Log'!$G:$G,$B$4),0)</f>
        <v>0</v>
      </c>
      <c r="D1074" s="5">
        <f>IFERROR(COUNTIFS('Issuance Log'!$B:$B,A1074,'Issuance Log'!$G:$G,$B$4),0)</f>
        <v>0</v>
      </c>
      <c r="E1074" s="5" t="str">
        <f ca="1">IFERROR(INDEX('Issuance Log'!$E:$E,MATCH(MAXIFS('Issuance Log'!$D:$D,'Issuance Log'!$B:$B,A1074,'Issuance Log'!$G:$G,$B$4),IF(('Issuance Log'!$B:$B=A1074)*('Issuance Log'!$G:$G=$B$4),'Issuance Log'!$D:$D),0)),"-")</f>
        <v>-</v>
      </c>
    </row>
    <row r="1075" spans="1:5" x14ac:dyDescent="0.25">
      <c r="A1075" s="2" t="s">
        <v>2089</v>
      </c>
      <c r="B1075" s="2" t="s">
        <v>2090</v>
      </c>
      <c r="C1075" s="3">
        <f>IFERROR(SUMIFS('Issuance Log'!$D:$D,'Issuance Log'!$B:$B,A1075,'Issuance Log'!$G:$G,$B$4),0)</f>
        <v>0</v>
      </c>
      <c r="D1075" s="3">
        <f>IFERROR(COUNTIFS('Issuance Log'!$B:$B,A1075,'Issuance Log'!$G:$G,$B$4),0)</f>
        <v>0</v>
      </c>
      <c r="E1075" s="3" t="str">
        <f ca="1">IFERROR(INDEX('Issuance Log'!$E:$E,MATCH(MAXIFS('Issuance Log'!$D:$D,'Issuance Log'!$B:$B,A1075,'Issuance Log'!$G:$G,$B$4),IF(('Issuance Log'!$B:$B=A1075)*('Issuance Log'!$G:$G=$B$4),'Issuance Log'!$D:$D),0)),"-")</f>
        <v>-</v>
      </c>
    </row>
    <row r="1076" spans="1:5" x14ac:dyDescent="0.25">
      <c r="A1076" s="4" t="s">
        <v>2091</v>
      </c>
      <c r="B1076" s="4" t="s">
        <v>2092</v>
      </c>
      <c r="C1076" s="5">
        <f>IFERROR(SUMIFS('Issuance Log'!$D:$D,'Issuance Log'!$B:$B,A1076,'Issuance Log'!$G:$G,$B$4),0)</f>
        <v>0</v>
      </c>
      <c r="D1076" s="5">
        <f>IFERROR(COUNTIFS('Issuance Log'!$B:$B,A1076,'Issuance Log'!$G:$G,$B$4),0)</f>
        <v>0</v>
      </c>
      <c r="E1076" s="5" t="str">
        <f ca="1">IFERROR(INDEX('Issuance Log'!$E:$E,MATCH(MAXIFS('Issuance Log'!$D:$D,'Issuance Log'!$B:$B,A1076,'Issuance Log'!$G:$G,$B$4),IF(('Issuance Log'!$B:$B=A1076)*('Issuance Log'!$G:$G=$B$4),'Issuance Log'!$D:$D),0)),"-")</f>
        <v>-</v>
      </c>
    </row>
    <row r="1077" spans="1:5" x14ac:dyDescent="0.25">
      <c r="A1077" s="2" t="s">
        <v>2093</v>
      </c>
      <c r="B1077" s="2" t="s">
        <v>2094</v>
      </c>
      <c r="C1077" s="3">
        <f>IFERROR(SUMIFS('Issuance Log'!$D:$D,'Issuance Log'!$B:$B,A1077,'Issuance Log'!$G:$G,$B$4),0)</f>
        <v>0</v>
      </c>
      <c r="D1077" s="3">
        <f>IFERROR(COUNTIFS('Issuance Log'!$B:$B,A1077,'Issuance Log'!$G:$G,$B$4),0)</f>
        <v>0</v>
      </c>
      <c r="E1077" s="3" t="str">
        <f ca="1">IFERROR(INDEX('Issuance Log'!$E:$E,MATCH(MAXIFS('Issuance Log'!$D:$D,'Issuance Log'!$B:$B,A1077,'Issuance Log'!$G:$G,$B$4),IF(('Issuance Log'!$B:$B=A1077)*('Issuance Log'!$G:$G=$B$4),'Issuance Log'!$D:$D),0)),"-")</f>
        <v>-</v>
      </c>
    </row>
    <row r="1078" spans="1:5" x14ac:dyDescent="0.25">
      <c r="A1078" s="4" t="s">
        <v>2095</v>
      </c>
      <c r="B1078" s="4" t="s">
        <v>2096</v>
      </c>
      <c r="C1078" s="5">
        <f>IFERROR(SUMIFS('Issuance Log'!$D:$D,'Issuance Log'!$B:$B,A1078,'Issuance Log'!$G:$G,$B$4),0)</f>
        <v>0</v>
      </c>
      <c r="D1078" s="5">
        <f>IFERROR(COUNTIFS('Issuance Log'!$B:$B,A1078,'Issuance Log'!$G:$G,$B$4),0)</f>
        <v>0</v>
      </c>
      <c r="E1078" s="5" t="str">
        <f ca="1">IFERROR(INDEX('Issuance Log'!$E:$E,MATCH(MAXIFS('Issuance Log'!$D:$D,'Issuance Log'!$B:$B,A1078,'Issuance Log'!$G:$G,$B$4),IF(('Issuance Log'!$B:$B=A1078)*('Issuance Log'!$G:$G=$B$4),'Issuance Log'!$D:$D),0)),"-")</f>
        <v>-</v>
      </c>
    </row>
    <row r="1079" spans="1:5" x14ac:dyDescent="0.25">
      <c r="A1079" s="2" t="s">
        <v>2097</v>
      </c>
      <c r="B1079" s="2" t="s">
        <v>2098</v>
      </c>
      <c r="C1079" s="3">
        <f>IFERROR(SUMIFS('Issuance Log'!$D:$D,'Issuance Log'!$B:$B,A1079,'Issuance Log'!$G:$G,$B$4),0)</f>
        <v>0</v>
      </c>
      <c r="D1079" s="3">
        <f>IFERROR(COUNTIFS('Issuance Log'!$B:$B,A1079,'Issuance Log'!$G:$G,$B$4),0)</f>
        <v>0</v>
      </c>
      <c r="E1079" s="3" t="str">
        <f ca="1">IFERROR(INDEX('Issuance Log'!$E:$E,MATCH(MAXIFS('Issuance Log'!$D:$D,'Issuance Log'!$B:$B,A1079,'Issuance Log'!$G:$G,$B$4),IF(('Issuance Log'!$B:$B=A1079)*('Issuance Log'!$G:$G=$B$4),'Issuance Log'!$D:$D),0)),"-")</f>
        <v>-</v>
      </c>
    </row>
    <row r="1080" spans="1:5" x14ac:dyDescent="0.25">
      <c r="A1080" s="4" t="s">
        <v>2099</v>
      </c>
      <c r="B1080" s="4" t="s">
        <v>2100</v>
      </c>
      <c r="C1080" s="5">
        <f>IFERROR(SUMIFS('Issuance Log'!$D:$D,'Issuance Log'!$B:$B,A1080,'Issuance Log'!$G:$G,$B$4),0)</f>
        <v>0</v>
      </c>
      <c r="D1080" s="5">
        <f>IFERROR(COUNTIFS('Issuance Log'!$B:$B,A1080,'Issuance Log'!$G:$G,$B$4),0)</f>
        <v>0</v>
      </c>
      <c r="E1080" s="5" t="str">
        <f ca="1">IFERROR(INDEX('Issuance Log'!$E:$E,MATCH(MAXIFS('Issuance Log'!$D:$D,'Issuance Log'!$B:$B,A1080,'Issuance Log'!$G:$G,$B$4),IF(('Issuance Log'!$B:$B=A1080)*('Issuance Log'!$G:$G=$B$4),'Issuance Log'!$D:$D),0)),"-")</f>
        <v>-</v>
      </c>
    </row>
    <row r="1081" spans="1:5" x14ac:dyDescent="0.25">
      <c r="A1081" s="2" t="s">
        <v>2101</v>
      </c>
      <c r="B1081" s="2" t="s">
        <v>2102</v>
      </c>
      <c r="C1081" s="3">
        <f>IFERROR(SUMIFS('Issuance Log'!$D:$D,'Issuance Log'!$B:$B,A1081,'Issuance Log'!$G:$G,$B$4),0)</f>
        <v>0</v>
      </c>
      <c r="D1081" s="3">
        <f>IFERROR(COUNTIFS('Issuance Log'!$B:$B,A1081,'Issuance Log'!$G:$G,$B$4),0)</f>
        <v>0</v>
      </c>
      <c r="E1081" s="3" t="str">
        <f ca="1">IFERROR(INDEX('Issuance Log'!$E:$E,MATCH(MAXIFS('Issuance Log'!$D:$D,'Issuance Log'!$B:$B,A1081,'Issuance Log'!$G:$G,$B$4),IF(('Issuance Log'!$B:$B=A1081)*('Issuance Log'!$G:$G=$B$4),'Issuance Log'!$D:$D),0)),"-")</f>
        <v>-</v>
      </c>
    </row>
    <row r="1082" spans="1:5" x14ac:dyDescent="0.25">
      <c r="A1082" s="4" t="s">
        <v>2103</v>
      </c>
      <c r="B1082" s="4" t="s">
        <v>2104</v>
      </c>
      <c r="C1082" s="5">
        <f>IFERROR(SUMIFS('Issuance Log'!$D:$D,'Issuance Log'!$B:$B,A1082,'Issuance Log'!$G:$G,$B$4),0)</f>
        <v>0</v>
      </c>
      <c r="D1082" s="5">
        <f>IFERROR(COUNTIFS('Issuance Log'!$B:$B,A1082,'Issuance Log'!$G:$G,$B$4),0)</f>
        <v>0</v>
      </c>
      <c r="E1082" s="5" t="str">
        <f ca="1">IFERROR(INDEX('Issuance Log'!$E:$E,MATCH(MAXIFS('Issuance Log'!$D:$D,'Issuance Log'!$B:$B,A1082,'Issuance Log'!$G:$G,$B$4),IF(('Issuance Log'!$B:$B=A1082)*('Issuance Log'!$G:$G=$B$4),'Issuance Log'!$D:$D),0)),"-")</f>
        <v>-</v>
      </c>
    </row>
    <row r="1083" spans="1:5" x14ac:dyDescent="0.25">
      <c r="A1083" s="2" t="s">
        <v>2105</v>
      </c>
      <c r="B1083" s="2" t="s">
        <v>2106</v>
      </c>
      <c r="C1083" s="3">
        <f>IFERROR(SUMIFS('Issuance Log'!$D:$D,'Issuance Log'!$B:$B,A1083,'Issuance Log'!$G:$G,$B$4),0)</f>
        <v>0</v>
      </c>
      <c r="D1083" s="3">
        <f>IFERROR(COUNTIFS('Issuance Log'!$B:$B,A1083,'Issuance Log'!$G:$G,$B$4),0)</f>
        <v>0</v>
      </c>
      <c r="E1083" s="3" t="str">
        <f ca="1">IFERROR(INDEX('Issuance Log'!$E:$E,MATCH(MAXIFS('Issuance Log'!$D:$D,'Issuance Log'!$B:$B,A1083,'Issuance Log'!$G:$G,$B$4),IF(('Issuance Log'!$B:$B=A1083)*('Issuance Log'!$G:$G=$B$4),'Issuance Log'!$D:$D),0)),"-")</f>
        <v>-</v>
      </c>
    </row>
    <row r="1084" spans="1:5" x14ac:dyDescent="0.25">
      <c r="A1084" s="4" t="s">
        <v>2107</v>
      </c>
      <c r="B1084" s="4" t="s">
        <v>2108</v>
      </c>
      <c r="C1084" s="5">
        <f>IFERROR(SUMIFS('Issuance Log'!$D:$D,'Issuance Log'!$B:$B,A1084,'Issuance Log'!$G:$G,$B$4),0)</f>
        <v>0</v>
      </c>
      <c r="D1084" s="5">
        <f>IFERROR(COUNTIFS('Issuance Log'!$B:$B,A1084,'Issuance Log'!$G:$G,$B$4),0)</f>
        <v>0</v>
      </c>
      <c r="E1084" s="5" t="str">
        <f ca="1">IFERROR(INDEX('Issuance Log'!$E:$E,MATCH(MAXIFS('Issuance Log'!$D:$D,'Issuance Log'!$B:$B,A1084,'Issuance Log'!$G:$G,$B$4),IF(('Issuance Log'!$B:$B=A1084)*('Issuance Log'!$G:$G=$B$4),'Issuance Log'!$D:$D),0)),"-")</f>
        <v>-</v>
      </c>
    </row>
    <row r="1085" spans="1:5" x14ac:dyDescent="0.25">
      <c r="A1085" s="2" t="s">
        <v>2109</v>
      </c>
      <c r="B1085" s="2" t="s">
        <v>2110</v>
      </c>
      <c r="C1085" s="3">
        <f>IFERROR(SUMIFS('Issuance Log'!$D:$D,'Issuance Log'!$B:$B,A1085,'Issuance Log'!$G:$G,$B$4),0)</f>
        <v>0</v>
      </c>
      <c r="D1085" s="3">
        <f>IFERROR(COUNTIFS('Issuance Log'!$B:$B,A1085,'Issuance Log'!$G:$G,$B$4),0)</f>
        <v>0</v>
      </c>
      <c r="E1085" s="3" t="str">
        <f ca="1">IFERROR(INDEX('Issuance Log'!$E:$E,MATCH(MAXIFS('Issuance Log'!$D:$D,'Issuance Log'!$B:$B,A1085,'Issuance Log'!$G:$G,$B$4),IF(('Issuance Log'!$B:$B=A1085)*('Issuance Log'!$G:$G=$B$4),'Issuance Log'!$D:$D),0)),"-")</f>
        <v>-</v>
      </c>
    </row>
    <row r="1086" spans="1:5" x14ac:dyDescent="0.25">
      <c r="A1086" s="4" t="s">
        <v>2111</v>
      </c>
      <c r="B1086" s="4" t="s">
        <v>2112</v>
      </c>
      <c r="C1086" s="5">
        <f>IFERROR(SUMIFS('Issuance Log'!$D:$D,'Issuance Log'!$B:$B,A1086,'Issuance Log'!$G:$G,$B$4),0)</f>
        <v>0</v>
      </c>
      <c r="D1086" s="5">
        <f>IFERROR(COUNTIFS('Issuance Log'!$B:$B,A1086,'Issuance Log'!$G:$G,$B$4),0)</f>
        <v>0</v>
      </c>
      <c r="E1086" s="5" t="str">
        <f ca="1">IFERROR(INDEX('Issuance Log'!$E:$E,MATCH(MAXIFS('Issuance Log'!$D:$D,'Issuance Log'!$B:$B,A1086,'Issuance Log'!$G:$G,$B$4),IF(('Issuance Log'!$B:$B=A1086)*('Issuance Log'!$G:$G=$B$4),'Issuance Log'!$D:$D),0)),"-")</f>
        <v>-</v>
      </c>
    </row>
    <row r="1087" spans="1:5" x14ac:dyDescent="0.25">
      <c r="A1087" s="2" t="s">
        <v>2113</v>
      </c>
      <c r="B1087" s="2" t="s">
        <v>2114</v>
      </c>
      <c r="C1087" s="3">
        <f>IFERROR(SUMIFS('Issuance Log'!$D:$D,'Issuance Log'!$B:$B,A1087,'Issuance Log'!$G:$G,$B$4),0)</f>
        <v>0</v>
      </c>
      <c r="D1087" s="3">
        <f>IFERROR(COUNTIFS('Issuance Log'!$B:$B,A1087,'Issuance Log'!$G:$G,$B$4),0)</f>
        <v>0</v>
      </c>
      <c r="E1087" s="3" t="str">
        <f ca="1">IFERROR(INDEX('Issuance Log'!$E:$E,MATCH(MAXIFS('Issuance Log'!$D:$D,'Issuance Log'!$B:$B,A1087,'Issuance Log'!$G:$G,$B$4),IF(('Issuance Log'!$B:$B=A1087)*('Issuance Log'!$G:$G=$B$4),'Issuance Log'!$D:$D),0)),"-")</f>
        <v>-</v>
      </c>
    </row>
    <row r="1088" spans="1:5" x14ac:dyDescent="0.25">
      <c r="A1088" s="4" t="s">
        <v>2115</v>
      </c>
      <c r="B1088" s="4" t="s">
        <v>2116</v>
      </c>
      <c r="C1088" s="5">
        <f>IFERROR(SUMIFS('Issuance Log'!$D:$D,'Issuance Log'!$B:$B,A1088,'Issuance Log'!$G:$G,$B$4),0)</f>
        <v>0</v>
      </c>
      <c r="D1088" s="5">
        <f>IFERROR(COUNTIFS('Issuance Log'!$B:$B,A1088,'Issuance Log'!$G:$G,$B$4),0)</f>
        <v>0</v>
      </c>
      <c r="E1088" s="5" t="str">
        <f ca="1">IFERROR(INDEX('Issuance Log'!$E:$E,MATCH(MAXIFS('Issuance Log'!$D:$D,'Issuance Log'!$B:$B,A1088,'Issuance Log'!$G:$G,$B$4),IF(('Issuance Log'!$B:$B=A1088)*('Issuance Log'!$G:$G=$B$4),'Issuance Log'!$D:$D),0)),"-")</f>
        <v>-</v>
      </c>
    </row>
    <row r="1089" spans="1:5" x14ac:dyDescent="0.25">
      <c r="A1089" s="2" t="s">
        <v>2117</v>
      </c>
      <c r="B1089" s="2" t="s">
        <v>2118</v>
      </c>
      <c r="C1089" s="3">
        <f>IFERROR(SUMIFS('Issuance Log'!$D:$D,'Issuance Log'!$B:$B,A1089,'Issuance Log'!$G:$G,$B$4),0)</f>
        <v>0</v>
      </c>
      <c r="D1089" s="3">
        <f>IFERROR(COUNTIFS('Issuance Log'!$B:$B,A1089,'Issuance Log'!$G:$G,$B$4),0)</f>
        <v>0</v>
      </c>
      <c r="E1089" s="3" t="str">
        <f ca="1">IFERROR(INDEX('Issuance Log'!$E:$E,MATCH(MAXIFS('Issuance Log'!$D:$D,'Issuance Log'!$B:$B,A1089,'Issuance Log'!$G:$G,$B$4),IF(('Issuance Log'!$B:$B=A1089)*('Issuance Log'!$G:$G=$B$4),'Issuance Log'!$D:$D),0)),"-")</f>
        <v>-</v>
      </c>
    </row>
    <row r="1090" spans="1:5" x14ac:dyDescent="0.25">
      <c r="A1090" s="4" t="s">
        <v>2119</v>
      </c>
      <c r="B1090" s="4" t="s">
        <v>2120</v>
      </c>
      <c r="C1090" s="5">
        <f>IFERROR(SUMIFS('Issuance Log'!$D:$D,'Issuance Log'!$B:$B,A1090,'Issuance Log'!$G:$G,$B$4),0)</f>
        <v>0</v>
      </c>
      <c r="D1090" s="5">
        <f>IFERROR(COUNTIFS('Issuance Log'!$B:$B,A1090,'Issuance Log'!$G:$G,$B$4),0)</f>
        <v>0</v>
      </c>
      <c r="E1090" s="5" t="str">
        <f ca="1">IFERROR(INDEX('Issuance Log'!$E:$E,MATCH(MAXIFS('Issuance Log'!$D:$D,'Issuance Log'!$B:$B,A1090,'Issuance Log'!$G:$G,$B$4),IF(('Issuance Log'!$B:$B=A1090)*('Issuance Log'!$G:$G=$B$4),'Issuance Log'!$D:$D),0)),"-")</f>
        <v>-</v>
      </c>
    </row>
    <row r="1091" spans="1:5" x14ac:dyDescent="0.25">
      <c r="A1091" s="2" t="s">
        <v>2121</v>
      </c>
      <c r="B1091" s="2" t="s">
        <v>2122</v>
      </c>
      <c r="C1091" s="3">
        <f>IFERROR(SUMIFS('Issuance Log'!$D:$D,'Issuance Log'!$B:$B,A1091,'Issuance Log'!$G:$G,$B$4),0)</f>
        <v>0</v>
      </c>
      <c r="D1091" s="3">
        <f>IFERROR(COUNTIFS('Issuance Log'!$B:$B,A1091,'Issuance Log'!$G:$G,$B$4),0)</f>
        <v>0</v>
      </c>
      <c r="E1091" s="3" t="str">
        <f ca="1">IFERROR(INDEX('Issuance Log'!$E:$E,MATCH(MAXIFS('Issuance Log'!$D:$D,'Issuance Log'!$B:$B,A1091,'Issuance Log'!$G:$G,$B$4),IF(('Issuance Log'!$B:$B=A1091)*('Issuance Log'!$G:$G=$B$4),'Issuance Log'!$D:$D),0)),"-")</f>
        <v>-</v>
      </c>
    </row>
    <row r="1092" spans="1:5" x14ac:dyDescent="0.25">
      <c r="A1092" s="4" t="s">
        <v>2123</v>
      </c>
      <c r="B1092" s="4" t="s">
        <v>2124</v>
      </c>
      <c r="C1092" s="5">
        <f>IFERROR(SUMIFS('Issuance Log'!$D:$D,'Issuance Log'!$B:$B,A1092,'Issuance Log'!$G:$G,$B$4),0)</f>
        <v>0</v>
      </c>
      <c r="D1092" s="5">
        <f>IFERROR(COUNTIFS('Issuance Log'!$B:$B,A1092,'Issuance Log'!$G:$G,$B$4),0)</f>
        <v>0</v>
      </c>
      <c r="E1092" s="5" t="str">
        <f ca="1">IFERROR(INDEX('Issuance Log'!$E:$E,MATCH(MAXIFS('Issuance Log'!$D:$D,'Issuance Log'!$B:$B,A1092,'Issuance Log'!$G:$G,$B$4),IF(('Issuance Log'!$B:$B=A1092)*('Issuance Log'!$G:$G=$B$4),'Issuance Log'!$D:$D),0)),"-")</f>
        <v>-</v>
      </c>
    </row>
    <row r="1093" spans="1:5" x14ac:dyDescent="0.25">
      <c r="A1093" s="2" t="s">
        <v>2125</v>
      </c>
      <c r="B1093" s="2" t="s">
        <v>2126</v>
      </c>
      <c r="C1093" s="3">
        <f>IFERROR(SUMIFS('Issuance Log'!$D:$D,'Issuance Log'!$B:$B,A1093,'Issuance Log'!$G:$G,$B$4),0)</f>
        <v>0</v>
      </c>
      <c r="D1093" s="3">
        <f>IFERROR(COUNTIFS('Issuance Log'!$B:$B,A1093,'Issuance Log'!$G:$G,$B$4),0)</f>
        <v>0</v>
      </c>
      <c r="E1093" s="3" t="str">
        <f ca="1">IFERROR(INDEX('Issuance Log'!$E:$E,MATCH(MAXIFS('Issuance Log'!$D:$D,'Issuance Log'!$B:$B,A1093,'Issuance Log'!$G:$G,$B$4),IF(('Issuance Log'!$B:$B=A1093)*('Issuance Log'!$G:$G=$B$4),'Issuance Log'!$D:$D),0)),"-")</f>
        <v>-</v>
      </c>
    </row>
    <row r="1094" spans="1:5" x14ac:dyDescent="0.25">
      <c r="A1094" s="4" t="s">
        <v>2127</v>
      </c>
      <c r="B1094" s="4" t="s">
        <v>2128</v>
      </c>
      <c r="C1094" s="5">
        <f>IFERROR(SUMIFS('Issuance Log'!$D:$D,'Issuance Log'!$B:$B,A1094,'Issuance Log'!$G:$G,$B$4),0)</f>
        <v>0</v>
      </c>
      <c r="D1094" s="5">
        <f>IFERROR(COUNTIFS('Issuance Log'!$B:$B,A1094,'Issuance Log'!$G:$G,$B$4),0)</f>
        <v>0</v>
      </c>
      <c r="E1094" s="5" t="str">
        <f ca="1">IFERROR(INDEX('Issuance Log'!$E:$E,MATCH(MAXIFS('Issuance Log'!$D:$D,'Issuance Log'!$B:$B,A1094,'Issuance Log'!$G:$G,$B$4),IF(('Issuance Log'!$B:$B=A1094)*('Issuance Log'!$G:$G=$B$4),'Issuance Log'!$D:$D),0)),"-")</f>
        <v>-</v>
      </c>
    </row>
    <row r="1095" spans="1:5" x14ac:dyDescent="0.25">
      <c r="A1095" s="2" t="s">
        <v>2129</v>
      </c>
      <c r="B1095" s="2" t="s">
        <v>2130</v>
      </c>
      <c r="C1095" s="3">
        <f>IFERROR(SUMIFS('Issuance Log'!$D:$D,'Issuance Log'!$B:$B,A1095,'Issuance Log'!$G:$G,$B$4),0)</f>
        <v>0</v>
      </c>
      <c r="D1095" s="3">
        <f>IFERROR(COUNTIFS('Issuance Log'!$B:$B,A1095,'Issuance Log'!$G:$G,$B$4),0)</f>
        <v>0</v>
      </c>
      <c r="E1095" s="3" t="str">
        <f ca="1">IFERROR(INDEX('Issuance Log'!$E:$E,MATCH(MAXIFS('Issuance Log'!$D:$D,'Issuance Log'!$B:$B,A1095,'Issuance Log'!$G:$G,$B$4),IF(('Issuance Log'!$B:$B=A1095)*('Issuance Log'!$G:$G=$B$4),'Issuance Log'!$D:$D),0)),"-")</f>
        <v>-</v>
      </c>
    </row>
    <row r="1096" spans="1:5" x14ac:dyDescent="0.25">
      <c r="A1096" s="4" t="s">
        <v>2131</v>
      </c>
      <c r="B1096" s="4" t="s">
        <v>2132</v>
      </c>
      <c r="C1096" s="5">
        <f>IFERROR(SUMIFS('Issuance Log'!$D:$D,'Issuance Log'!$B:$B,A1096,'Issuance Log'!$G:$G,$B$4),0)</f>
        <v>0</v>
      </c>
      <c r="D1096" s="5">
        <f>IFERROR(COUNTIFS('Issuance Log'!$B:$B,A1096,'Issuance Log'!$G:$G,$B$4),0)</f>
        <v>0</v>
      </c>
      <c r="E1096" s="5" t="str">
        <f ca="1">IFERROR(INDEX('Issuance Log'!$E:$E,MATCH(MAXIFS('Issuance Log'!$D:$D,'Issuance Log'!$B:$B,A1096,'Issuance Log'!$G:$G,$B$4),IF(('Issuance Log'!$B:$B=A1096)*('Issuance Log'!$G:$G=$B$4),'Issuance Log'!$D:$D),0)),"-")</f>
        <v>-</v>
      </c>
    </row>
    <row r="1097" spans="1:5" x14ac:dyDescent="0.25">
      <c r="A1097" s="2" t="s">
        <v>2133</v>
      </c>
      <c r="B1097" s="2" t="s">
        <v>2134</v>
      </c>
      <c r="C1097" s="3">
        <f>IFERROR(SUMIFS('Issuance Log'!$D:$D,'Issuance Log'!$B:$B,A1097,'Issuance Log'!$G:$G,$B$4),0)</f>
        <v>0</v>
      </c>
      <c r="D1097" s="3">
        <f>IFERROR(COUNTIFS('Issuance Log'!$B:$B,A1097,'Issuance Log'!$G:$G,$B$4),0)</f>
        <v>0</v>
      </c>
      <c r="E1097" s="3" t="str">
        <f ca="1">IFERROR(INDEX('Issuance Log'!$E:$E,MATCH(MAXIFS('Issuance Log'!$D:$D,'Issuance Log'!$B:$B,A1097,'Issuance Log'!$G:$G,$B$4),IF(('Issuance Log'!$B:$B=A1097)*('Issuance Log'!$G:$G=$B$4),'Issuance Log'!$D:$D),0)),"-")</f>
        <v>-</v>
      </c>
    </row>
    <row r="1098" spans="1:5" x14ac:dyDescent="0.25">
      <c r="A1098" s="4" t="s">
        <v>2135</v>
      </c>
      <c r="B1098" s="4" t="s">
        <v>2136</v>
      </c>
      <c r="C1098" s="5">
        <f>IFERROR(SUMIFS('Issuance Log'!$D:$D,'Issuance Log'!$B:$B,A1098,'Issuance Log'!$G:$G,$B$4),0)</f>
        <v>0</v>
      </c>
      <c r="D1098" s="5">
        <f>IFERROR(COUNTIFS('Issuance Log'!$B:$B,A1098,'Issuance Log'!$G:$G,$B$4),0)</f>
        <v>0</v>
      </c>
      <c r="E1098" s="5" t="str">
        <f ca="1">IFERROR(INDEX('Issuance Log'!$E:$E,MATCH(MAXIFS('Issuance Log'!$D:$D,'Issuance Log'!$B:$B,A1098,'Issuance Log'!$G:$G,$B$4),IF(('Issuance Log'!$B:$B=A1098)*('Issuance Log'!$G:$G=$B$4),'Issuance Log'!$D:$D),0)),"-")</f>
        <v>-</v>
      </c>
    </row>
    <row r="1099" spans="1:5" x14ac:dyDescent="0.25">
      <c r="A1099" s="2" t="s">
        <v>2137</v>
      </c>
      <c r="B1099" s="2" t="s">
        <v>2138</v>
      </c>
      <c r="C1099" s="3">
        <f>IFERROR(SUMIFS('Issuance Log'!$D:$D,'Issuance Log'!$B:$B,A1099,'Issuance Log'!$G:$G,$B$4),0)</f>
        <v>0</v>
      </c>
      <c r="D1099" s="3">
        <f>IFERROR(COUNTIFS('Issuance Log'!$B:$B,A1099,'Issuance Log'!$G:$G,$B$4),0)</f>
        <v>0</v>
      </c>
      <c r="E1099" s="3" t="str">
        <f ca="1">IFERROR(INDEX('Issuance Log'!$E:$E,MATCH(MAXIFS('Issuance Log'!$D:$D,'Issuance Log'!$B:$B,A1099,'Issuance Log'!$G:$G,$B$4),IF(('Issuance Log'!$B:$B=A1099)*('Issuance Log'!$G:$G=$B$4),'Issuance Log'!$D:$D),0)),"-")</f>
        <v>-</v>
      </c>
    </row>
    <row r="1100" spans="1:5" x14ac:dyDescent="0.25">
      <c r="A1100" s="4" t="s">
        <v>2139</v>
      </c>
      <c r="B1100" s="4" t="s">
        <v>2140</v>
      </c>
      <c r="C1100" s="5">
        <f>IFERROR(SUMIFS('Issuance Log'!$D:$D,'Issuance Log'!$B:$B,A1100,'Issuance Log'!$G:$G,$B$4),0)</f>
        <v>0</v>
      </c>
      <c r="D1100" s="5">
        <f>IFERROR(COUNTIFS('Issuance Log'!$B:$B,A1100,'Issuance Log'!$G:$G,$B$4),0)</f>
        <v>0</v>
      </c>
      <c r="E1100" s="5" t="str">
        <f ca="1">IFERROR(INDEX('Issuance Log'!$E:$E,MATCH(MAXIFS('Issuance Log'!$D:$D,'Issuance Log'!$B:$B,A1100,'Issuance Log'!$G:$G,$B$4),IF(('Issuance Log'!$B:$B=A1100)*('Issuance Log'!$G:$G=$B$4),'Issuance Log'!$D:$D),0)),"-")</f>
        <v>-</v>
      </c>
    </row>
    <row r="1101" spans="1:5" x14ac:dyDescent="0.25">
      <c r="A1101" s="2" t="s">
        <v>2141</v>
      </c>
      <c r="B1101" s="2" t="s">
        <v>2142</v>
      </c>
      <c r="C1101" s="3">
        <f>IFERROR(SUMIFS('Issuance Log'!$D:$D,'Issuance Log'!$B:$B,A1101,'Issuance Log'!$G:$G,$B$4),0)</f>
        <v>0</v>
      </c>
      <c r="D1101" s="3">
        <f>IFERROR(COUNTIFS('Issuance Log'!$B:$B,A1101,'Issuance Log'!$G:$G,$B$4),0)</f>
        <v>0</v>
      </c>
      <c r="E1101" s="3" t="str">
        <f ca="1">IFERROR(INDEX('Issuance Log'!$E:$E,MATCH(MAXIFS('Issuance Log'!$D:$D,'Issuance Log'!$B:$B,A1101,'Issuance Log'!$G:$G,$B$4),IF(('Issuance Log'!$B:$B=A1101)*('Issuance Log'!$G:$G=$B$4),'Issuance Log'!$D:$D),0)),"-")</f>
        <v>-</v>
      </c>
    </row>
    <row r="1102" spans="1:5" x14ac:dyDescent="0.25">
      <c r="A1102" s="4" t="s">
        <v>2143</v>
      </c>
      <c r="B1102" s="4" t="s">
        <v>2144</v>
      </c>
      <c r="C1102" s="5">
        <f>IFERROR(SUMIFS('Issuance Log'!$D:$D,'Issuance Log'!$B:$B,A1102,'Issuance Log'!$G:$G,$B$4),0)</f>
        <v>0</v>
      </c>
      <c r="D1102" s="5">
        <f>IFERROR(COUNTIFS('Issuance Log'!$B:$B,A1102,'Issuance Log'!$G:$G,$B$4),0)</f>
        <v>0</v>
      </c>
      <c r="E1102" s="5" t="str">
        <f ca="1">IFERROR(INDEX('Issuance Log'!$E:$E,MATCH(MAXIFS('Issuance Log'!$D:$D,'Issuance Log'!$B:$B,A1102,'Issuance Log'!$G:$G,$B$4),IF(('Issuance Log'!$B:$B=A1102)*('Issuance Log'!$G:$G=$B$4),'Issuance Log'!$D:$D),0)),"-")</f>
        <v>-</v>
      </c>
    </row>
    <row r="1103" spans="1:5" x14ac:dyDescent="0.25">
      <c r="A1103" s="2" t="s">
        <v>2145</v>
      </c>
      <c r="B1103" s="2" t="s">
        <v>2146</v>
      </c>
      <c r="C1103" s="3">
        <f>IFERROR(SUMIFS('Issuance Log'!$D:$D,'Issuance Log'!$B:$B,A1103,'Issuance Log'!$G:$G,$B$4),0)</f>
        <v>0</v>
      </c>
      <c r="D1103" s="3">
        <f>IFERROR(COUNTIFS('Issuance Log'!$B:$B,A1103,'Issuance Log'!$G:$G,$B$4),0)</f>
        <v>0</v>
      </c>
      <c r="E1103" s="3" t="str">
        <f ca="1">IFERROR(INDEX('Issuance Log'!$E:$E,MATCH(MAXIFS('Issuance Log'!$D:$D,'Issuance Log'!$B:$B,A1103,'Issuance Log'!$G:$G,$B$4),IF(('Issuance Log'!$B:$B=A1103)*('Issuance Log'!$G:$G=$B$4),'Issuance Log'!$D:$D),0)),"-")</f>
        <v>-</v>
      </c>
    </row>
    <row r="1104" spans="1:5" x14ac:dyDescent="0.25">
      <c r="A1104" s="4" t="s">
        <v>2147</v>
      </c>
      <c r="B1104" s="4" t="s">
        <v>2148</v>
      </c>
      <c r="C1104" s="5">
        <f>IFERROR(SUMIFS('Issuance Log'!$D:$D,'Issuance Log'!$B:$B,A1104,'Issuance Log'!$G:$G,$B$4),0)</f>
        <v>0</v>
      </c>
      <c r="D1104" s="5">
        <f>IFERROR(COUNTIFS('Issuance Log'!$B:$B,A1104,'Issuance Log'!$G:$G,$B$4),0)</f>
        <v>0</v>
      </c>
      <c r="E1104" s="5" t="str">
        <f ca="1">IFERROR(INDEX('Issuance Log'!$E:$E,MATCH(MAXIFS('Issuance Log'!$D:$D,'Issuance Log'!$B:$B,A1104,'Issuance Log'!$G:$G,$B$4),IF(('Issuance Log'!$B:$B=A1104)*('Issuance Log'!$G:$G=$B$4),'Issuance Log'!$D:$D),0)),"-")</f>
        <v>-</v>
      </c>
    </row>
    <row r="1105" spans="1:5" x14ac:dyDescent="0.25">
      <c r="A1105" s="2" t="s">
        <v>2149</v>
      </c>
      <c r="B1105" s="2" t="s">
        <v>2150</v>
      </c>
      <c r="C1105" s="3">
        <f>IFERROR(SUMIFS('Issuance Log'!$D:$D,'Issuance Log'!$B:$B,A1105,'Issuance Log'!$G:$G,$B$4),0)</f>
        <v>0</v>
      </c>
      <c r="D1105" s="3">
        <f>IFERROR(COUNTIFS('Issuance Log'!$B:$B,A1105,'Issuance Log'!$G:$G,$B$4),0)</f>
        <v>0</v>
      </c>
      <c r="E1105" s="3" t="str">
        <f ca="1">IFERROR(INDEX('Issuance Log'!$E:$E,MATCH(MAXIFS('Issuance Log'!$D:$D,'Issuance Log'!$B:$B,A1105,'Issuance Log'!$G:$G,$B$4),IF(('Issuance Log'!$B:$B=A1105)*('Issuance Log'!$G:$G=$B$4),'Issuance Log'!$D:$D),0)),"-")</f>
        <v>-</v>
      </c>
    </row>
    <row r="1106" spans="1:5" x14ac:dyDescent="0.25">
      <c r="A1106" s="4" t="s">
        <v>2151</v>
      </c>
      <c r="B1106" s="4" t="s">
        <v>2152</v>
      </c>
      <c r="C1106" s="5">
        <f>IFERROR(SUMIFS('Issuance Log'!$D:$D,'Issuance Log'!$B:$B,A1106,'Issuance Log'!$G:$G,$B$4),0)</f>
        <v>0</v>
      </c>
      <c r="D1106" s="5">
        <f>IFERROR(COUNTIFS('Issuance Log'!$B:$B,A1106,'Issuance Log'!$G:$G,$B$4),0)</f>
        <v>0</v>
      </c>
      <c r="E1106" s="5" t="str">
        <f ca="1">IFERROR(INDEX('Issuance Log'!$E:$E,MATCH(MAXIFS('Issuance Log'!$D:$D,'Issuance Log'!$B:$B,A1106,'Issuance Log'!$G:$G,$B$4),IF(('Issuance Log'!$B:$B=A1106)*('Issuance Log'!$G:$G=$B$4),'Issuance Log'!$D:$D),0)),"-")</f>
        <v>-</v>
      </c>
    </row>
    <row r="1107" spans="1:5" x14ac:dyDescent="0.25">
      <c r="A1107" s="2" t="s">
        <v>2153</v>
      </c>
      <c r="B1107" s="2" t="s">
        <v>2154</v>
      </c>
      <c r="C1107" s="3">
        <f>IFERROR(SUMIFS('Issuance Log'!$D:$D,'Issuance Log'!$B:$B,A1107,'Issuance Log'!$G:$G,$B$4),0)</f>
        <v>0</v>
      </c>
      <c r="D1107" s="3">
        <f>IFERROR(COUNTIFS('Issuance Log'!$B:$B,A1107,'Issuance Log'!$G:$G,$B$4),0)</f>
        <v>0</v>
      </c>
      <c r="E1107" s="3" t="str">
        <f ca="1">IFERROR(INDEX('Issuance Log'!$E:$E,MATCH(MAXIFS('Issuance Log'!$D:$D,'Issuance Log'!$B:$B,A1107,'Issuance Log'!$G:$G,$B$4),IF(('Issuance Log'!$B:$B=A1107)*('Issuance Log'!$G:$G=$B$4),'Issuance Log'!$D:$D),0)),"-")</f>
        <v>-</v>
      </c>
    </row>
    <row r="1108" spans="1:5" x14ac:dyDescent="0.25">
      <c r="A1108" s="4" t="s">
        <v>2155</v>
      </c>
      <c r="B1108" s="4" t="s">
        <v>2156</v>
      </c>
      <c r="C1108" s="5">
        <f>IFERROR(SUMIFS('Issuance Log'!$D:$D,'Issuance Log'!$B:$B,A1108,'Issuance Log'!$G:$G,$B$4),0)</f>
        <v>0</v>
      </c>
      <c r="D1108" s="5">
        <f>IFERROR(COUNTIFS('Issuance Log'!$B:$B,A1108,'Issuance Log'!$G:$G,$B$4),0)</f>
        <v>0</v>
      </c>
      <c r="E1108" s="5" t="str">
        <f ca="1">IFERROR(INDEX('Issuance Log'!$E:$E,MATCH(MAXIFS('Issuance Log'!$D:$D,'Issuance Log'!$B:$B,A1108,'Issuance Log'!$G:$G,$B$4),IF(('Issuance Log'!$B:$B=A1108)*('Issuance Log'!$G:$G=$B$4),'Issuance Log'!$D:$D),0)),"-")</f>
        <v>-</v>
      </c>
    </row>
    <row r="1109" spans="1:5" x14ac:dyDescent="0.25">
      <c r="A1109" s="2" t="s">
        <v>2157</v>
      </c>
      <c r="B1109" s="2" t="s">
        <v>2158</v>
      </c>
      <c r="C1109" s="3">
        <f>IFERROR(SUMIFS('Issuance Log'!$D:$D,'Issuance Log'!$B:$B,A1109,'Issuance Log'!$G:$G,$B$4),0)</f>
        <v>0</v>
      </c>
      <c r="D1109" s="3">
        <f>IFERROR(COUNTIFS('Issuance Log'!$B:$B,A1109,'Issuance Log'!$G:$G,$B$4),0)</f>
        <v>0</v>
      </c>
      <c r="E1109" s="3" t="str">
        <f ca="1">IFERROR(INDEX('Issuance Log'!$E:$E,MATCH(MAXIFS('Issuance Log'!$D:$D,'Issuance Log'!$B:$B,A1109,'Issuance Log'!$G:$G,$B$4),IF(('Issuance Log'!$B:$B=A1109)*('Issuance Log'!$G:$G=$B$4),'Issuance Log'!$D:$D),0)),"-")</f>
        <v>-</v>
      </c>
    </row>
    <row r="1110" spans="1:5" x14ac:dyDescent="0.25">
      <c r="A1110" s="4" t="s">
        <v>2159</v>
      </c>
      <c r="B1110" s="4" t="s">
        <v>2160</v>
      </c>
      <c r="C1110" s="5">
        <f>IFERROR(SUMIFS('Issuance Log'!$D:$D,'Issuance Log'!$B:$B,A1110,'Issuance Log'!$G:$G,$B$4),0)</f>
        <v>0</v>
      </c>
      <c r="D1110" s="5">
        <f>IFERROR(COUNTIFS('Issuance Log'!$B:$B,A1110,'Issuance Log'!$G:$G,$B$4),0)</f>
        <v>0</v>
      </c>
      <c r="E1110" s="5" t="str">
        <f ca="1">IFERROR(INDEX('Issuance Log'!$E:$E,MATCH(MAXIFS('Issuance Log'!$D:$D,'Issuance Log'!$B:$B,A1110,'Issuance Log'!$G:$G,$B$4),IF(('Issuance Log'!$B:$B=A1110)*('Issuance Log'!$G:$G=$B$4),'Issuance Log'!$D:$D),0)),"-")</f>
        <v>-</v>
      </c>
    </row>
    <row r="1111" spans="1:5" x14ac:dyDescent="0.25">
      <c r="A1111" s="2" t="s">
        <v>2161</v>
      </c>
      <c r="B1111" s="2" t="s">
        <v>2162</v>
      </c>
      <c r="C1111" s="3">
        <f>IFERROR(SUMIFS('Issuance Log'!$D:$D,'Issuance Log'!$B:$B,A1111,'Issuance Log'!$G:$G,$B$4),0)</f>
        <v>0</v>
      </c>
      <c r="D1111" s="3">
        <f>IFERROR(COUNTIFS('Issuance Log'!$B:$B,A1111,'Issuance Log'!$G:$G,$B$4),0)</f>
        <v>0</v>
      </c>
      <c r="E1111" s="3" t="str">
        <f ca="1">IFERROR(INDEX('Issuance Log'!$E:$E,MATCH(MAXIFS('Issuance Log'!$D:$D,'Issuance Log'!$B:$B,A1111,'Issuance Log'!$G:$G,$B$4),IF(('Issuance Log'!$B:$B=A1111)*('Issuance Log'!$G:$G=$B$4),'Issuance Log'!$D:$D),0)),"-")</f>
        <v>-</v>
      </c>
    </row>
    <row r="1112" spans="1:5" x14ac:dyDescent="0.25">
      <c r="A1112" s="4" t="s">
        <v>2163</v>
      </c>
      <c r="B1112" s="4" t="s">
        <v>2164</v>
      </c>
      <c r="C1112" s="5">
        <f>IFERROR(SUMIFS('Issuance Log'!$D:$D,'Issuance Log'!$B:$B,A1112,'Issuance Log'!$G:$G,$B$4),0)</f>
        <v>0</v>
      </c>
      <c r="D1112" s="5">
        <f>IFERROR(COUNTIFS('Issuance Log'!$B:$B,A1112,'Issuance Log'!$G:$G,$B$4),0)</f>
        <v>0</v>
      </c>
      <c r="E1112" s="5" t="str">
        <f ca="1">IFERROR(INDEX('Issuance Log'!$E:$E,MATCH(MAXIFS('Issuance Log'!$D:$D,'Issuance Log'!$B:$B,A1112,'Issuance Log'!$G:$G,$B$4),IF(('Issuance Log'!$B:$B=A1112)*('Issuance Log'!$G:$G=$B$4),'Issuance Log'!$D:$D),0)),"-")</f>
        <v>-</v>
      </c>
    </row>
    <row r="1113" spans="1:5" x14ac:dyDescent="0.25">
      <c r="A1113" s="2" t="s">
        <v>2165</v>
      </c>
      <c r="B1113" s="2" t="s">
        <v>2166</v>
      </c>
      <c r="C1113" s="3">
        <f>IFERROR(SUMIFS('Issuance Log'!$D:$D,'Issuance Log'!$B:$B,A1113,'Issuance Log'!$G:$G,$B$4),0)</f>
        <v>0</v>
      </c>
      <c r="D1113" s="3">
        <f>IFERROR(COUNTIFS('Issuance Log'!$B:$B,A1113,'Issuance Log'!$G:$G,$B$4),0)</f>
        <v>0</v>
      </c>
      <c r="E1113" s="3" t="str">
        <f ca="1">IFERROR(INDEX('Issuance Log'!$E:$E,MATCH(MAXIFS('Issuance Log'!$D:$D,'Issuance Log'!$B:$B,A1113,'Issuance Log'!$G:$G,$B$4),IF(('Issuance Log'!$B:$B=A1113)*('Issuance Log'!$G:$G=$B$4),'Issuance Log'!$D:$D),0)),"-")</f>
        <v>-</v>
      </c>
    </row>
    <row r="1114" spans="1:5" x14ac:dyDescent="0.25">
      <c r="A1114" s="4" t="s">
        <v>2167</v>
      </c>
      <c r="B1114" s="4" t="s">
        <v>2168</v>
      </c>
      <c r="C1114" s="5">
        <f>IFERROR(SUMIFS('Issuance Log'!$D:$D,'Issuance Log'!$B:$B,A1114,'Issuance Log'!$G:$G,$B$4),0)</f>
        <v>0</v>
      </c>
      <c r="D1114" s="5">
        <f>IFERROR(COUNTIFS('Issuance Log'!$B:$B,A1114,'Issuance Log'!$G:$G,$B$4),0)</f>
        <v>0</v>
      </c>
      <c r="E1114" s="5" t="str">
        <f ca="1">IFERROR(INDEX('Issuance Log'!$E:$E,MATCH(MAXIFS('Issuance Log'!$D:$D,'Issuance Log'!$B:$B,A1114,'Issuance Log'!$G:$G,$B$4),IF(('Issuance Log'!$B:$B=A1114)*('Issuance Log'!$G:$G=$B$4),'Issuance Log'!$D:$D),0)),"-")</f>
        <v>-</v>
      </c>
    </row>
    <row r="1115" spans="1:5" x14ac:dyDescent="0.25">
      <c r="A1115" s="2" t="s">
        <v>2169</v>
      </c>
      <c r="B1115" s="2" t="s">
        <v>2170</v>
      </c>
      <c r="C1115" s="3">
        <f>IFERROR(SUMIFS('Issuance Log'!$D:$D,'Issuance Log'!$B:$B,A1115,'Issuance Log'!$G:$G,$B$4),0)</f>
        <v>0</v>
      </c>
      <c r="D1115" s="3">
        <f>IFERROR(COUNTIFS('Issuance Log'!$B:$B,A1115,'Issuance Log'!$G:$G,$B$4),0)</f>
        <v>0</v>
      </c>
      <c r="E1115" s="3" t="str">
        <f ca="1">IFERROR(INDEX('Issuance Log'!$E:$E,MATCH(MAXIFS('Issuance Log'!$D:$D,'Issuance Log'!$B:$B,A1115,'Issuance Log'!$G:$G,$B$4),IF(('Issuance Log'!$B:$B=A1115)*('Issuance Log'!$G:$G=$B$4),'Issuance Log'!$D:$D),0)),"-")</f>
        <v>-</v>
      </c>
    </row>
    <row r="1116" spans="1:5" x14ac:dyDescent="0.25">
      <c r="A1116" s="4" t="s">
        <v>2171</v>
      </c>
      <c r="B1116" s="4" t="s">
        <v>2172</v>
      </c>
      <c r="C1116" s="5">
        <f>IFERROR(SUMIFS('Issuance Log'!$D:$D,'Issuance Log'!$B:$B,A1116,'Issuance Log'!$G:$G,$B$4),0)</f>
        <v>0</v>
      </c>
      <c r="D1116" s="5">
        <f>IFERROR(COUNTIFS('Issuance Log'!$B:$B,A1116,'Issuance Log'!$G:$G,$B$4),0)</f>
        <v>0</v>
      </c>
      <c r="E1116" s="5" t="str">
        <f ca="1">IFERROR(INDEX('Issuance Log'!$E:$E,MATCH(MAXIFS('Issuance Log'!$D:$D,'Issuance Log'!$B:$B,A1116,'Issuance Log'!$G:$G,$B$4),IF(('Issuance Log'!$B:$B=A1116)*('Issuance Log'!$G:$G=$B$4),'Issuance Log'!$D:$D),0)),"-")</f>
        <v>-</v>
      </c>
    </row>
    <row r="1117" spans="1:5" x14ac:dyDescent="0.25">
      <c r="A1117" s="2" t="s">
        <v>2173</v>
      </c>
      <c r="B1117" s="2" t="s">
        <v>2174</v>
      </c>
      <c r="C1117" s="3">
        <f>IFERROR(SUMIFS('Issuance Log'!$D:$D,'Issuance Log'!$B:$B,A1117,'Issuance Log'!$G:$G,$B$4),0)</f>
        <v>0</v>
      </c>
      <c r="D1117" s="3">
        <f>IFERROR(COUNTIFS('Issuance Log'!$B:$B,A1117,'Issuance Log'!$G:$G,$B$4),0)</f>
        <v>0</v>
      </c>
      <c r="E1117" s="3" t="str">
        <f ca="1">IFERROR(INDEX('Issuance Log'!$E:$E,MATCH(MAXIFS('Issuance Log'!$D:$D,'Issuance Log'!$B:$B,A1117,'Issuance Log'!$G:$G,$B$4),IF(('Issuance Log'!$B:$B=A1117)*('Issuance Log'!$G:$G=$B$4),'Issuance Log'!$D:$D),0)),"-")</f>
        <v>-</v>
      </c>
    </row>
    <row r="1118" spans="1:5" x14ac:dyDescent="0.25">
      <c r="A1118" s="4" t="s">
        <v>2175</v>
      </c>
      <c r="B1118" s="4" t="s">
        <v>2176</v>
      </c>
      <c r="C1118" s="5">
        <f>IFERROR(SUMIFS('Issuance Log'!$D:$D,'Issuance Log'!$B:$B,A1118,'Issuance Log'!$G:$G,$B$4),0)</f>
        <v>0</v>
      </c>
      <c r="D1118" s="5">
        <f>IFERROR(COUNTIFS('Issuance Log'!$B:$B,A1118,'Issuance Log'!$G:$G,$B$4),0)</f>
        <v>0</v>
      </c>
      <c r="E1118" s="5" t="str">
        <f ca="1">IFERROR(INDEX('Issuance Log'!$E:$E,MATCH(MAXIFS('Issuance Log'!$D:$D,'Issuance Log'!$B:$B,A1118,'Issuance Log'!$G:$G,$B$4),IF(('Issuance Log'!$B:$B=A1118)*('Issuance Log'!$G:$G=$B$4),'Issuance Log'!$D:$D),0)),"-")</f>
        <v>-</v>
      </c>
    </row>
    <row r="1119" spans="1:5" x14ac:dyDescent="0.25">
      <c r="A1119" s="2" t="s">
        <v>2177</v>
      </c>
      <c r="B1119" s="2" t="s">
        <v>2178</v>
      </c>
      <c r="C1119" s="3">
        <f>IFERROR(SUMIFS('Issuance Log'!$D:$D,'Issuance Log'!$B:$B,A1119,'Issuance Log'!$G:$G,$B$4),0)</f>
        <v>0</v>
      </c>
      <c r="D1119" s="3">
        <f>IFERROR(COUNTIFS('Issuance Log'!$B:$B,A1119,'Issuance Log'!$G:$G,$B$4),0)</f>
        <v>0</v>
      </c>
      <c r="E1119" s="3" t="str">
        <f ca="1">IFERROR(INDEX('Issuance Log'!$E:$E,MATCH(MAXIFS('Issuance Log'!$D:$D,'Issuance Log'!$B:$B,A1119,'Issuance Log'!$G:$G,$B$4),IF(('Issuance Log'!$B:$B=A1119)*('Issuance Log'!$G:$G=$B$4),'Issuance Log'!$D:$D),0)),"-")</f>
        <v>-</v>
      </c>
    </row>
    <row r="1120" spans="1:5" x14ac:dyDescent="0.25">
      <c r="A1120" s="4" t="s">
        <v>2179</v>
      </c>
      <c r="B1120" s="4" t="s">
        <v>2180</v>
      </c>
      <c r="C1120" s="5">
        <f>IFERROR(SUMIFS('Issuance Log'!$D:$D,'Issuance Log'!$B:$B,A1120,'Issuance Log'!$G:$G,$B$4),0)</f>
        <v>0</v>
      </c>
      <c r="D1120" s="5">
        <f>IFERROR(COUNTIFS('Issuance Log'!$B:$B,A1120,'Issuance Log'!$G:$G,$B$4),0)</f>
        <v>0</v>
      </c>
      <c r="E1120" s="5" t="str">
        <f ca="1">IFERROR(INDEX('Issuance Log'!$E:$E,MATCH(MAXIFS('Issuance Log'!$D:$D,'Issuance Log'!$B:$B,A1120,'Issuance Log'!$G:$G,$B$4),IF(('Issuance Log'!$B:$B=A1120)*('Issuance Log'!$G:$G=$B$4),'Issuance Log'!$D:$D),0)),"-")</f>
        <v>-</v>
      </c>
    </row>
    <row r="1121" spans="1:5" x14ac:dyDescent="0.25">
      <c r="A1121" s="2" t="s">
        <v>2181</v>
      </c>
      <c r="B1121" s="2" t="s">
        <v>2182</v>
      </c>
      <c r="C1121" s="3">
        <f>IFERROR(SUMIFS('Issuance Log'!$D:$D,'Issuance Log'!$B:$B,A1121,'Issuance Log'!$G:$G,$B$4),0)</f>
        <v>0</v>
      </c>
      <c r="D1121" s="3">
        <f>IFERROR(COUNTIFS('Issuance Log'!$B:$B,A1121,'Issuance Log'!$G:$G,$B$4),0)</f>
        <v>0</v>
      </c>
      <c r="E1121" s="3" t="str">
        <f ca="1">IFERROR(INDEX('Issuance Log'!$E:$E,MATCH(MAXIFS('Issuance Log'!$D:$D,'Issuance Log'!$B:$B,A1121,'Issuance Log'!$G:$G,$B$4),IF(('Issuance Log'!$B:$B=A1121)*('Issuance Log'!$G:$G=$B$4),'Issuance Log'!$D:$D),0)),"-")</f>
        <v>-</v>
      </c>
    </row>
    <row r="1122" spans="1:5" x14ac:dyDescent="0.25">
      <c r="A1122" s="4" t="s">
        <v>2183</v>
      </c>
      <c r="B1122" s="4" t="s">
        <v>2184</v>
      </c>
      <c r="C1122" s="5">
        <f>IFERROR(SUMIFS('Issuance Log'!$D:$D,'Issuance Log'!$B:$B,A1122,'Issuance Log'!$G:$G,$B$4),0)</f>
        <v>0</v>
      </c>
      <c r="D1122" s="5">
        <f>IFERROR(COUNTIFS('Issuance Log'!$B:$B,A1122,'Issuance Log'!$G:$G,$B$4),0)</f>
        <v>0</v>
      </c>
      <c r="E1122" s="5" t="str">
        <f ca="1">IFERROR(INDEX('Issuance Log'!$E:$E,MATCH(MAXIFS('Issuance Log'!$D:$D,'Issuance Log'!$B:$B,A1122,'Issuance Log'!$G:$G,$B$4),IF(('Issuance Log'!$B:$B=A1122)*('Issuance Log'!$G:$G=$B$4),'Issuance Log'!$D:$D),0)),"-")</f>
        <v>-</v>
      </c>
    </row>
    <row r="1123" spans="1:5" x14ac:dyDescent="0.25">
      <c r="A1123" s="2" t="s">
        <v>2185</v>
      </c>
      <c r="B1123" s="2" t="s">
        <v>2186</v>
      </c>
      <c r="C1123" s="3">
        <f>IFERROR(SUMIFS('Issuance Log'!$D:$D,'Issuance Log'!$B:$B,A1123,'Issuance Log'!$G:$G,$B$4),0)</f>
        <v>0</v>
      </c>
      <c r="D1123" s="3">
        <f>IFERROR(COUNTIFS('Issuance Log'!$B:$B,A1123,'Issuance Log'!$G:$G,$B$4),0)</f>
        <v>0</v>
      </c>
      <c r="E1123" s="3" t="str">
        <f ca="1">IFERROR(INDEX('Issuance Log'!$E:$E,MATCH(MAXIFS('Issuance Log'!$D:$D,'Issuance Log'!$B:$B,A1123,'Issuance Log'!$G:$G,$B$4),IF(('Issuance Log'!$B:$B=A1123)*('Issuance Log'!$G:$G=$B$4),'Issuance Log'!$D:$D),0)),"-")</f>
        <v>-</v>
      </c>
    </row>
    <row r="1124" spans="1:5" x14ac:dyDescent="0.25">
      <c r="A1124" s="4" t="s">
        <v>2187</v>
      </c>
      <c r="B1124" s="4" t="s">
        <v>2188</v>
      </c>
      <c r="C1124" s="5">
        <f>IFERROR(SUMIFS('Issuance Log'!$D:$D,'Issuance Log'!$B:$B,A1124,'Issuance Log'!$G:$G,$B$4),0)</f>
        <v>0</v>
      </c>
      <c r="D1124" s="5">
        <f>IFERROR(COUNTIFS('Issuance Log'!$B:$B,A1124,'Issuance Log'!$G:$G,$B$4),0)</f>
        <v>0</v>
      </c>
      <c r="E1124" s="5" t="str">
        <f ca="1">IFERROR(INDEX('Issuance Log'!$E:$E,MATCH(MAXIFS('Issuance Log'!$D:$D,'Issuance Log'!$B:$B,A1124,'Issuance Log'!$G:$G,$B$4),IF(('Issuance Log'!$B:$B=A1124)*('Issuance Log'!$G:$G=$B$4),'Issuance Log'!$D:$D),0)),"-")</f>
        <v>-</v>
      </c>
    </row>
    <row r="1125" spans="1:5" x14ac:dyDescent="0.25">
      <c r="A1125" s="2" t="s">
        <v>2189</v>
      </c>
      <c r="B1125" s="2" t="s">
        <v>2190</v>
      </c>
      <c r="C1125" s="3">
        <f>IFERROR(SUMIFS('Issuance Log'!$D:$D,'Issuance Log'!$B:$B,A1125,'Issuance Log'!$G:$G,$B$4),0)</f>
        <v>0</v>
      </c>
      <c r="D1125" s="3">
        <f>IFERROR(COUNTIFS('Issuance Log'!$B:$B,A1125,'Issuance Log'!$G:$G,$B$4),0)</f>
        <v>0</v>
      </c>
      <c r="E1125" s="3" t="str">
        <f ca="1">IFERROR(INDEX('Issuance Log'!$E:$E,MATCH(MAXIFS('Issuance Log'!$D:$D,'Issuance Log'!$B:$B,A1125,'Issuance Log'!$G:$G,$B$4),IF(('Issuance Log'!$B:$B=A1125)*('Issuance Log'!$G:$G=$B$4),'Issuance Log'!$D:$D),0)),"-")</f>
        <v>-</v>
      </c>
    </row>
    <row r="1126" spans="1:5" x14ac:dyDescent="0.25">
      <c r="A1126" s="4" t="s">
        <v>2191</v>
      </c>
      <c r="B1126" s="4" t="s">
        <v>2192</v>
      </c>
      <c r="C1126" s="5">
        <f>IFERROR(SUMIFS('Issuance Log'!$D:$D,'Issuance Log'!$B:$B,A1126,'Issuance Log'!$G:$G,$B$4),0)</f>
        <v>0</v>
      </c>
      <c r="D1126" s="5">
        <f>IFERROR(COUNTIFS('Issuance Log'!$B:$B,A1126,'Issuance Log'!$G:$G,$B$4),0)</f>
        <v>0</v>
      </c>
      <c r="E1126" s="5" t="str">
        <f ca="1">IFERROR(INDEX('Issuance Log'!$E:$E,MATCH(MAXIFS('Issuance Log'!$D:$D,'Issuance Log'!$B:$B,A1126,'Issuance Log'!$G:$G,$B$4),IF(('Issuance Log'!$B:$B=A1126)*('Issuance Log'!$G:$G=$B$4),'Issuance Log'!$D:$D),0)),"-")</f>
        <v>-</v>
      </c>
    </row>
    <row r="1127" spans="1:5" x14ac:dyDescent="0.25">
      <c r="A1127" s="2" t="s">
        <v>2193</v>
      </c>
      <c r="B1127" s="2" t="s">
        <v>2194</v>
      </c>
      <c r="C1127" s="3">
        <f>IFERROR(SUMIFS('Issuance Log'!$D:$D,'Issuance Log'!$B:$B,A1127,'Issuance Log'!$G:$G,$B$4),0)</f>
        <v>0</v>
      </c>
      <c r="D1127" s="3">
        <f>IFERROR(COUNTIFS('Issuance Log'!$B:$B,A1127,'Issuance Log'!$G:$G,$B$4),0)</f>
        <v>0</v>
      </c>
      <c r="E1127" s="3" t="str">
        <f ca="1">IFERROR(INDEX('Issuance Log'!$E:$E,MATCH(MAXIFS('Issuance Log'!$D:$D,'Issuance Log'!$B:$B,A1127,'Issuance Log'!$G:$G,$B$4),IF(('Issuance Log'!$B:$B=A1127)*('Issuance Log'!$G:$G=$B$4),'Issuance Log'!$D:$D),0)),"-")</f>
        <v>-</v>
      </c>
    </row>
    <row r="1128" spans="1:5" x14ac:dyDescent="0.25">
      <c r="A1128" s="4" t="s">
        <v>2195</v>
      </c>
      <c r="B1128" s="4" t="s">
        <v>2196</v>
      </c>
      <c r="C1128" s="5">
        <f>IFERROR(SUMIFS('Issuance Log'!$D:$D,'Issuance Log'!$B:$B,A1128,'Issuance Log'!$G:$G,$B$4),0)</f>
        <v>0</v>
      </c>
      <c r="D1128" s="5">
        <f>IFERROR(COUNTIFS('Issuance Log'!$B:$B,A1128,'Issuance Log'!$G:$G,$B$4),0)</f>
        <v>0</v>
      </c>
      <c r="E1128" s="5" t="str">
        <f ca="1">IFERROR(INDEX('Issuance Log'!$E:$E,MATCH(MAXIFS('Issuance Log'!$D:$D,'Issuance Log'!$B:$B,A1128,'Issuance Log'!$G:$G,$B$4),IF(('Issuance Log'!$B:$B=A1128)*('Issuance Log'!$G:$G=$B$4),'Issuance Log'!$D:$D),0)),"-")</f>
        <v>-</v>
      </c>
    </row>
    <row r="1129" spans="1:5" x14ac:dyDescent="0.25">
      <c r="A1129" s="2" t="s">
        <v>2197</v>
      </c>
      <c r="B1129" s="2" t="s">
        <v>2198</v>
      </c>
      <c r="C1129" s="3">
        <f>IFERROR(SUMIFS('Issuance Log'!$D:$D,'Issuance Log'!$B:$B,A1129,'Issuance Log'!$G:$G,$B$4),0)</f>
        <v>0</v>
      </c>
      <c r="D1129" s="3">
        <f>IFERROR(COUNTIFS('Issuance Log'!$B:$B,A1129,'Issuance Log'!$G:$G,$B$4),0)</f>
        <v>0</v>
      </c>
      <c r="E1129" s="3" t="str">
        <f ca="1">IFERROR(INDEX('Issuance Log'!$E:$E,MATCH(MAXIFS('Issuance Log'!$D:$D,'Issuance Log'!$B:$B,A1129,'Issuance Log'!$G:$G,$B$4),IF(('Issuance Log'!$B:$B=A1129)*('Issuance Log'!$G:$G=$B$4),'Issuance Log'!$D:$D),0)),"-")</f>
        <v>-</v>
      </c>
    </row>
    <row r="1130" spans="1:5" x14ac:dyDescent="0.25">
      <c r="A1130" s="4" t="s">
        <v>2199</v>
      </c>
      <c r="B1130" s="4" t="s">
        <v>2200</v>
      </c>
      <c r="C1130" s="5">
        <f>IFERROR(SUMIFS('Issuance Log'!$D:$D,'Issuance Log'!$B:$B,A1130,'Issuance Log'!$G:$G,$B$4),0)</f>
        <v>0</v>
      </c>
      <c r="D1130" s="5">
        <f>IFERROR(COUNTIFS('Issuance Log'!$B:$B,A1130,'Issuance Log'!$G:$G,$B$4),0)</f>
        <v>0</v>
      </c>
      <c r="E1130" s="5" t="str">
        <f ca="1">IFERROR(INDEX('Issuance Log'!$E:$E,MATCH(MAXIFS('Issuance Log'!$D:$D,'Issuance Log'!$B:$B,A1130,'Issuance Log'!$G:$G,$B$4),IF(('Issuance Log'!$B:$B=A1130)*('Issuance Log'!$G:$G=$B$4),'Issuance Log'!$D:$D),0)),"-")</f>
        <v>-</v>
      </c>
    </row>
    <row r="1131" spans="1:5" x14ac:dyDescent="0.25">
      <c r="A1131" s="2" t="s">
        <v>2201</v>
      </c>
      <c r="B1131" s="2" t="s">
        <v>2202</v>
      </c>
      <c r="C1131" s="3">
        <f>IFERROR(SUMIFS('Issuance Log'!$D:$D,'Issuance Log'!$B:$B,A1131,'Issuance Log'!$G:$G,$B$4),0)</f>
        <v>0</v>
      </c>
      <c r="D1131" s="3">
        <f>IFERROR(COUNTIFS('Issuance Log'!$B:$B,A1131,'Issuance Log'!$G:$G,$B$4),0)</f>
        <v>0</v>
      </c>
      <c r="E1131" s="3" t="str">
        <f ca="1">IFERROR(INDEX('Issuance Log'!$E:$E,MATCH(MAXIFS('Issuance Log'!$D:$D,'Issuance Log'!$B:$B,A1131,'Issuance Log'!$G:$G,$B$4),IF(('Issuance Log'!$B:$B=A1131)*('Issuance Log'!$G:$G=$B$4),'Issuance Log'!$D:$D),0)),"-")</f>
        <v>-</v>
      </c>
    </row>
    <row r="1132" spans="1:5" x14ac:dyDescent="0.25">
      <c r="A1132" s="4" t="s">
        <v>2203</v>
      </c>
      <c r="B1132" s="4" t="s">
        <v>2204</v>
      </c>
      <c r="C1132" s="5">
        <f>IFERROR(SUMIFS('Issuance Log'!$D:$D,'Issuance Log'!$B:$B,A1132,'Issuance Log'!$G:$G,$B$4),0)</f>
        <v>0</v>
      </c>
      <c r="D1132" s="5">
        <f>IFERROR(COUNTIFS('Issuance Log'!$B:$B,A1132,'Issuance Log'!$G:$G,$B$4),0)</f>
        <v>0</v>
      </c>
      <c r="E1132" s="5" t="str">
        <f ca="1">IFERROR(INDEX('Issuance Log'!$E:$E,MATCH(MAXIFS('Issuance Log'!$D:$D,'Issuance Log'!$B:$B,A1132,'Issuance Log'!$G:$G,$B$4),IF(('Issuance Log'!$B:$B=A1132)*('Issuance Log'!$G:$G=$B$4),'Issuance Log'!$D:$D),0)),"-")</f>
        <v>-</v>
      </c>
    </row>
    <row r="1133" spans="1:5" x14ac:dyDescent="0.25">
      <c r="A1133" s="2" t="s">
        <v>2205</v>
      </c>
      <c r="B1133" s="2" t="s">
        <v>2206</v>
      </c>
      <c r="C1133" s="3">
        <f>IFERROR(SUMIFS('Issuance Log'!$D:$D,'Issuance Log'!$B:$B,A1133,'Issuance Log'!$G:$G,$B$4),0)</f>
        <v>0</v>
      </c>
      <c r="D1133" s="3">
        <f>IFERROR(COUNTIFS('Issuance Log'!$B:$B,A1133,'Issuance Log'!$G:$G,$B$4),0)</f>
        <v>0</v>
      </c>
      <c r="E1133" s="3" t="str">
        <f ca="1">IFERROR(INDEX('Issuance Log'!$E:$E,MATCH(MAXIFS('Issuance Log'!$D:$D,'Issuance Log'!$B:$B,A1133,'Issuance Log'!$G:$G,$B$4),IF(('Issuance Log'!$B:$B=A1133)*('Issuance Log'!$G:$G=$B$4),'Issuance Log'!$D:$D),0)),"-")</f>
        <v>-</v>
      </c>
    </row>
    <row r="1134" spans="1:5" x14ac:dyDescent="0.25">
      <c r="A1134" s="4" t="s">
        <v>2207</v>
      </c>
      <c r="B1134" s="4" t="s">
        <v>2208</v>
      </c>
      <c r="C1134" s="5">
        <f>IFERROR(SUMIFS('Issuance Log'!$D:$D,'Issuance Log'!$B:$B,A1134,'Issuance Log'!$G:$G,$B$4),0)</f>
        <v>0</v>
      </c>
      <c r="D1134" s="5">
        <f>IFERROR(COUNTIFS('Issuance Log'!$B:$B,A1134,'Issuance Log'!$G:$G,$B$4),0)</f>
        <v>0</v>
      </c>
      <c r="E1134" s="5" t="str">
        <f ca="1">IFERROR(INDEX('Issuance Log'!$E:$E,MATCH(MAXIFS('Issuance Log'!$D:$D,'Issuance Log'!$B:$B,A1134,'Issuance Log'!$G:$G,$B$4),IF(('Issuance Log'!$B:$B=A1134)*('Issuance Log'!$G:$G=$B$4),'Issuance Log'!$D:$D),0)),"-")</f>
        <v>-</v>
      </c>
    </row>
    <row r="1135" spans="1:5" x14ac:dyDescent="0.25">
      <c r="A1135" s="2" t="s">
        <v>2209</v>
      </c>
      <c r="B1135" s="2" t="s">
        <v>2210</v>
      </c>
      <c r="C1135" s="3">
        <f>IFERROR(SUMIFS('Issuance Log'!$D:$D,'Issuance Log'!$B:$B,A1135,'Issuance Log'!$G:$G,$B$4),0)</f>
        <v>0</v>
      </c>
      <c r="D1135" s="3">
        <f>IFERROR(COUNTIFS('Issuance Log'!$B:$B,A1135,'Issuance Log'!$G:$G,$B$4),0)</f>
        <v>0</v>
      </c>
      <c r="E1135" s="3" t="str">
        <f ca="1">IFERROR(INDEX('Issuance Log'!$E:$E,MATCH(MAXIFS('Issuance Log'!$D:$D,'Issuance Log'!$B:$B,A1135,'Issuance Log'!$G:$G,$B$4),IF(('Issuance Log'!$B:$B=A1135)*('Issuance Log'!$G:$G=$B$4),'Issuance Log'!$D:$D),0)),"-")</f>
        <v>-</v>
      </c>
    </row>
    <row r="1136" spans="1:5" x14ac:dyDescent="0.25">
      <c r="A1136" s="4" t="s">
        <v>2211</v>
      </c>
      <c r="B1136" s="4" t="s">
        <v>2212</v>
      </c>
      <c r="C1136" s="5">
        <f>IFERROR(SUMIFS('Issuance Log'!$D:$D,'Issuance Log'!$B:$B,A1136,'Issuance Log'!$G:$G,$B$4),0)</f>
        <v>0</v>
      </c>
      <c r="D1136" s="5">
        <f>IFERROR(COUNTIFS('Issuance Log'!$B:$B,A1136,'Issuance Log'!$G:$G,$B$4),0)</f>
        <v>0</v>
      </c>
      <c r="E1136" s="5" t="str">
        <f ca="1">IFERROR(INDEX('Issuance Log'!$E:$E,MATCH(MAXIFS('Issuance Log'!$D:$D,'Issuance Log'!$B:$B,A1136,'Issuance Log'!$G:$G,$B$4),IF(('Issuance Log'!$B:$B=A1136)*('Issuance Log'!$G:$G=$B$4),'Issuance Log'!$D:$D),0)),"-")</f>
        <v>-</v>
      </c>
    </row>
    <row r="1137" spans="1:5" x14ac:dyDescent="0.25">
      <c r="A1137" s="2" t="s">
        <v>2213</v>
      </c>
      <c r="B1137" s="2" t="s">
        <v>2214</v>
      </c>
      <c r="C1137" s="3">
        <f>IFERROR(SUMIFS('Issuance Log'!$D:$D,'Issuance Log'!$B:$B,A1137,'Issuance Log'!$G:$G,$B$4),0)</f>
        <v>0</v>
      </c>
      <c r="D1137" s="3">
        <f>IFERROR(COUNTIFS('Issuance Log'!$B:$B,A1137,'Issuance Log'!$G:$G,$B$4),0)</f>
        <v>0</v>
      </c>
      <c r="E1137" s="3" t="str">
        <f ca="1">IFERROR(INDEX('Issuance Log'!$E:$E,MATCH(MAXIFS('Issuance Log'!$D:$D,'Issuance Log'!$B:$B,A1137,'Issuance Log'!$G:$G,$B$4),IF(('Issuance Log'!$B:$B=A1137)*('Issuance Log'!$G:$G=$B$4),'Issuance Log'!$D:$D),0)),"-")</f>
        <v>-</v>
      </c>
    </row>
    <row r="1138" spans="1:5" x14ac:dyDescent="0.25">
      <c r="A1138" s="4" t="s">
        <v>2215</v>
      </c>
      <c r="B1138" s="4" t="s">
        <v>2216</v>
      </c>
      <c r="C1138" s="5">
        <f>IFERROR(SUMIFS('Issuance Log'!$D:$D,'Issuance Log'!$B:$B,A1138,'Issuance Log'!$G:$G,$B$4),0)</f>
        <v>0</v>
      </c>
      <c r="D1138" s="5">
        <f>IFERROR(COUNTIFS('Issuance Log'!$B:$B,A1138,'Issuance Log'!$G:$G,$B$4),0)</f>
        <v>0</v>
      </c>
      <c r="E1138" s="5" t="str">
        <f ca="1">IFERROR(INDEX('Issuance Log'!$E:$E,MATCH(MAXIFS('Issuance Log'!$D:$D,'Issuance Log'!$B:$B,A1138,'Issuance Log'!$G:$G,$B$4),IF(('Issuance Log'!$B:$B=A1138)*('Issuance Log'!$G:$G=$B$4),'Issuance Log'!$D:$D),0)),"-")</f>
        <v>-</v>
      </c>
    </row>
    <row r="1139" spans="1:5" x14ac:dyDescent="0.25">
      <c r="A1139" s="2" t="s">
        <v>2217</v>
      </c>
      <c r="B1139" s="2" t="s">
        <v>2218</v>
      </c>
      <c r="C1139" s="3">
        <f>IFERROR(SUMIFS('Issuance Log'!$D:$D,'Issuance Log'!$B:$B,A1139,'Issuance Log'!$G:$G,$B$4),0)</f>
        <v>0</v>
      </c>
      <c r="D1139" s="3">
        <f>IFERROR(COUNTIFS('Issuance Log'!$B:$B,A1139,'Issuance Log'!$G:$G,$B$4),0)</f>
        <v>0</v>
      </c>
      <c r="E1139" s="3" t="str">
        <f ca="1">IFERROR(INDEX('Issuance Log'!$E:$E,MATCH(MAXIFS('Issuance Log'!$D:$D,'Issuance Log'!$B:$B,A1139,'Issuance Log'!$G:$G,$B$4),IF(('Issuance Log'!$B:$B=A1139)*('Issuance Log'!$G:$G=$B$4),'Issuance Log'!$D:$D),0)),"-")</f>
        <v>-</v>
      </c>
    </row>
    <row r="1140" spans="1:5" x14ac:dyDescent="0.25">
      <c r="A1140" s="4" t="s">
        <v>2219</v>
      </c>
      <c r="B1140" s="4" t="s">
        <v>2220</v>
      </c>
      <c r="C1140" s="5">
        <f>IFERROR(SUMIFS('Issuance Log'!$D:$D,'Issuance Log'!$B:$B,A1140,'Issuance Log'!$G:$G,$B$4),0)</f>
        <v>0</v>
      </c>
      <c r="D1140" s="5">
        <f>IFERROR(COUNTIFS('Issuance Log'!$B:$B,A1140,'Issuance Log'!$G:$G,$B$4),0)</f>
        <v>0</v>
      </c>
      <c r="E1140" s="5" t="str">
        <f ca="1">IFERROR(INDEX('Issuance Log'!$E:$E,MATCH(MAXIFS('Issuance Log'!$D:$D,'Issuance Log'!$B:$B,A1140,'Issuance Log'!$G:$G,$B$4),IF(('Issuance Log'!$B:$B=A1140)*('Issuance Log'!$G:$G=$B$4),'Issuance Log'!$D:$D),0)),"-")</f>
        <v>-</v>
      </c>
    </row>
    <row r="1141" spans="1:5" x14ac:dyDescent="0.25">
      <c r="A1141" s="2" t="s">
        <v>2221</v>
      </c>
      <c r="B1141" s="2" t="s">
        <v>2222</v>
      </c>
      <c r="C1141" s="3">
        <f>IFERROR(SUMIFS('Issuance Log'!$D:$D,'Issuance Log'!$B:$B,A1141,'Issuance Log'!$G:$G,$B$4),0)</f>
        <v>0</v>
      </c>
      <c r="D1141" s="3">
        <f>IFERROR(COUNTIFS('Issuance Log'!$B:$B,A1141,'Issuance Log'!$G:$G,$B$4),0)</f>
        <v>0</v>
      </c>
      <c r="E1141" s="3" t="str">
        <f ca="1">IFERROR(INDEX('Issuance Log'!$E:$E,MATCH(MAXIFS('Issuance Log'!$D:$D,'Issuance Log'!$B:$B,A1141,'Issuance Log'!$G:$G,$B$4),IF(('Issuance Log'!$B:$B=A1141)*('Issuance Log'!$G:$G=$B$4),'Issuance Log'!$D:$D),0)),"-")</f>
        <v>-</v>
      </c>
    </row>
    <row r="1142" spans="1:5" x14ac:dyDescent="0.25">
      <c r="A1142" s="4" t="s">
        <v>2223</v>
      </c>
      <c r="B1142" s="4" t="s">
        <v>2224</v>
      </c>
      <c r="C1142" s="5">
        <f>IFERROR(SUMIFS('Issuance Log'!$D:$D,'Issuance Log'!$B:$B,A1142,'Issuance Log'!$G:$G,$B$4),0)</f>
        <v>0</v>
      </c>
      <c r="D1142" s="5">
        <f>IFERROR(COUNTIFS('Issuance Log'!$B:$B,A1142,'Issuance Log'!$G:$G,$B$4),0)</f>
        <v>0</v>
      </c>
      <c r="E1142" s="5" t="str">
        <f ca="1">IFERROR(INDEX('Issuance Log'!$E:$E,MATCH(MAXIFS('Issuance Log'!$D:$D,'Issuance Log'!$B:$B,A1142,'Issuance Log'!$G:$G,$B$4),IF(('Issuance Log'!$B:$B=A1142)*('Issuance Log'!$G:$G=$B$4),'Issuance Log'!$D:$D),0)),"-")</f>
        <v>-</v>
      </c>
    </row>
    <row r="1143" spans="1:5" x14ac:dyDescent="0.25">
      <c r="A1143" s="2" t="s">
        <v>2225</v>
      </c>
      <c r="B1143" s="2" t="s">
        <v>2226</v>
      </c>
      <c r="C1143" s="3">
        <f>IFERROR(SUMIFS('Issuance Log'!$D:$D,'Issuance Log'!$B:$B,A1143,'Issuance Log'!$G:$G,$B$4),0)</f>
        <v>0</v>
      </c>
      <c r="D1143" s="3">
        <f>IFERROR(COUNTIFS('Issuance Log'!$B:$B,A1143,'Issuance Log'!$G:$G,$B$4),0)</f>
        <v>0</v>
      </c>
      <c r="E1143" s="3" t="str">
        <f ca="1">IFERROR(INDEX('Issuance Log'!$E:$E,MATCH(MAXIFS('Issuance Log'!$D:$D,'Issuance Log'!$B:$B,A1143,'Issuance Log'!$G:$G,$B$4),IF(('Issuance Log'!$B:$B=A1143)*('Issuance Log'!$G:$G=$B$4),'Issuance Log'!$D:$D),0)),"-")</f>
        <v>-</v>
      </c>
    </row>
    <row r="1144" spans="1:5" x14ac:dyDescent="0.25">
      <c r="A1144" s="4" t="s">
        <v>2227</v>
      </c>
      <c r="B1144" s="4" t="s">
        <v>2228</v>
      </c>
      <c r="C1144" s="5">
        <f>IFERROR(SUMIFS('Issuance Log'!$D:$D,'Issuance Log'!$B:$B,A1144,'Issuance Log'!$G:$G,$B$4),0)</f>
        <v>0</v>
      </c>
      <c r="D1144" s="5">
        <f>IFERROR(COUNTIFS('Issuance Log'!$B:$B,A1144,'Issuance Log'!$G:$G,$B$4),0)</f>
        <v>0</v>
      </c>
      <c r="E1144" s="5" t="str">
        <f ca="1">IFERROR(INDEX('Issuance Log'!$E:$E,MATCH(MAXIFS('Issuance Log'!$D:$D,'Issuance Log'!$B:$B,A1144,'Issuance Log'!$G:$G,$B$4),IF(('Issuance Log'!$B:$B=A1144)*('Issuance Log'!$G:$G=$B$4),'Issuance Log'!$D:$D),0)),"-")</f>
        <v>-</v>
      </c>
    </row>
    <row r="1145" spans="1:5" x14ac:dyDescent="0.25">
      <c r="A1145" s="2" t="s">
        <v>2229</v>
      </c>
      <c r="B1145" s="2" t="s">
        <v>2230</v>
      </c>
      <c r="C1145" s="3">
        <f>IFERROR(SUMIFS('Issuance Log'!$D:$D,'Issuance Log'!$B:$B,A1145,'Issuance Log'!$G:$G,$B$4),0)</f>
        <v>0</v>
      </c>
      <c r="D1145" s="3">
        <f>IFERROR(COUNTIFS('Issuance Log'!$B:$B,A1145,'Issuance Log'!$G:$G,$B$4),0)</f>
        <v>0</v>
      </c>
      <c r="E1145" s="3" t="str">
        <f ca="1">IFERROR(INDEX('Issuance Log'!$E:$E,MATCH(MAXIFS('Issuance Log'!$D:$D,'Issuance Log'!$B:$B,A1145,'Issuance Log'!$G:$G,$B$4),IF(('Issuance Log'!$B:$B=A1145)*('Issuance Log'!$G:$G=$B$4),'Issuance Log'!$D:$D),0)),"-")</f>
        <v>-</v>
      </c>
    </row>
    <row r="1146" spans="1:5" x14ac:dyDescent="0.25">
      <c r="A1146" s="4" t="s">
        <v>2231</v>
      </c>
      <c r="B1146" s="4" t="s">
        <v>2232</v>
      </c>
      <c r="C1146" s="5">
        <f>IFERROR(SUMIFS('Issuance Log'!$D:$D,'Issuance Log'!$B:$B,A1146,'Issuance Log'!$G:$G,$B$4),0)</f>
        <v>0</v>
      </c>
      <c r="D1146" s="5">
        <f>IFERROR(COUNTIFS('Issuance Log'!$B:$B,A1146,'Issuance Log'!$G:$G,$B$4),0)</f>
        <v>0</v>
      </c>
      <c r="E1146" s="5" t="str">
        <f ca="1">IFERROR(INDEX('Issuance Log'!$E:$E,MATCH(MAXIFS('Issuance Log'!$D:$D,'Issuance Log'!$B:$B,A1146,'Issuance Log'!$G:$G,$B$4),IF(('Issuance Log'!$B:$B=A1146)*('Issuance Log'!$G:$G=$B$4),'Issuance Log'!$D:$D),0)),"-")</f>
        <v>-</v>
      </c>
    </row>
    <row r="1147" spans="1:5" x14ac:dyDescent="0.25">
      <c r="A1147" s="2" t="s">
        <v>2233</v>
      </c>
      <c r="B1147" s="2" t="s">
        <v>2234</v>
      </c>
      <c r="C1147" s="3">
        <f>IFERROR(SUMIFS('Issuance Log'!$D:$D,'Issuance Log'!$B:$B,A1147,'Issuance Log'!$G:$G,$B$4),0)</f>
        <v>0</v>
      </c>
      <c r="D1147" s="3">
        <f>IFERROR(COUNTIFS('Issuance Log'!$B:$B,A1147,'Issuance Log'!$G:$G,$B$4),0)</f>
        <v>0</v>
      </c>
      <c r="E1147" s="3" t="str">
        <f ca="1">IFERROR(INDEX('Issuance Log'!$E:$E,MATCH(MAXIFS('Issuance Log'!$D:$D,'Issuance Log'!$B:$B,A1147,'Issuance Log'!$G:$G,$B$4),IF(('Issuance Log'!$B:$B=A1147)*('Issuance Log'!$G:$G=$B$4),'Issuance Log'!$D:$D),0)),"-")</f>
        <v>-</v>
      </c>
    </row>
    <row r="1148" spans="1:5" x14ac:dyDescent="0.25">
      <c r="A1148" s="4" t="s">
        <v>2235</v>
      </c>
      <c r="B1148" s="4" t="s">
        <v>2236</v>
      </c>
      <c r="C1148" s="5">
        <f>IFERROR(SUMIFS('Issuance Log'!$D:$D,'Issuance Log'!$B:$B,A1148,'Issuance Log'!$G:$G,$B$4),0)</f>
        <v>0</v>
      </c>
      <c r="D1148" s="5">
        <f>IFERROR(COUNTIFS('Issuance Log'!$B:$B,A1148,'Issuance Log'!$G:$G,$B$4),0)</f>
        <v>0</v>
      </c>
      <c r="E1148" s="5" t="str">
        <f ca="1">IFERROR(INDEX('Issuance Log'!$E:$E,MATCH(MAXIFS('Issuance Log'!$D:$D,'Issuance Log'!$B:$B,A1148,'Issuance Log'!$G:$G,$B$4),IF(('Issuance Log'!$B:$B=A1148)*('Issuance Log'!$G:$G=$B$4),'Issuance Log'!$D:$D),0)),"-")</f>
        <v>-</v>
      </c>
    </row>
    <row r="1149" spans="1:5" x14ac:dyDescent="0.25">
      <c r="A1149" s="2" t="s">
        <v>2237</v>
      </c>
      <c r="B1149" s="2" t="s">
        <v>2238</v>
      </c>
      <c r="C1149" s="3">
        <f>IFERROR(SUMIFS('Issuance Log'!$D:$D,'Issuance Log'!$B:$B,A1149,'Issuance Log'!$G:$G,$B$4),0)</f>
        <v>0</v>
      </c>
      <c r="D1149" s="3">
        <f>IFERROR(COUNTIFS('Issuance Log'!$B:$B,A1149,'Issuance Log'!$G:$G,$B$4),0)</f>
        <v>0</v>
      </c>
      <c r="E1149" s="3" t="str">
        <f ca="1">IFERROR(INDEX('Issuance Log'!$E:$E,MATCH(MAXIFS('Issuance Log'!$D:$D,'Issuance Log'!$B:$B,A1149,'Issuance Log'!$G:$G,$B$4),IF(('Issuance Log'!$B:$B=A1149)*('Issuance Log'!$G:$G=$B$4),'Issuance Log'!$D:$D),0)),"-")</f>
        <v>-</v>
      </c>
    </row>
    <row r="1150" spans="1:5" x14ac:dyDescent="0.25">
      <c r="A1150" s="4" t="s">
        <v>2239</v>
      </c>
      <c r="B1150" s="4" t="s">
        <v>2240</v>
      </c>
      <c r="C1150" s="5">
        <f>IFERROR(SUMIFS('Issuance Log'!$D:$D,'Issuance Log'!$B:$B,A1150,'Issuance Log'!$G:$G,$B$4),0)</f>
        <v>0</v>
      </c>
      <c r="D1150" s="5">
        <f>IFERROR(COUNTIFS('Issuance Log'!$B:$B,A1150,'Issuance Log'!$G:$G,$B$4),0)</f>
        <v>0</v>
      </c>
      <c r="E1150" s="5" t="str">
        <f ca="1">IFERROR(INDEX('Issuance Log'!$E:$E,MATCH(MAXIFS('Issuance Log'!$D:$D,'Issuance Log'!$B:$B,A1150,'Issuance Log'!$G:$G,$B$4),IF(('Issuance Log'!$B:$B=A1150)*('Issuance Log'!$G:$G=$B$4),'Issuance Log'!$D:$D),0)),"-")</f>
        <v>-</v>
      </c>
    </row>
    <row r="1151" spans="1:5" x14ac:dyDescent="0.25">
      <c r="A1151" s="2" t="s">
        <v>2241</v>
      </c>
      <c r="B1151" s="2" t="s">
        <v>2242</v>
      </c>
      <c r="C1151" s="3">
        <f>IFERROR(SUMIFS('Issuance Log'!$D:$D,'Issuance Log'!$B:$B,A1151,'Issuance Log'!$G:$G,$B$4),0)</f>
        <v>0</v>
      </c>
      <c r="D1151" s="3">
        <f>IFERROR(COUNTIFS('Issuance Log'!$B:$B,A1151,'Issuance Log'!$G:$G,$B$4),0)</f>
        <v>0</v>
      </c>
      <c r="E1151" s="3" t="str">
        <f ca="1">IFERROR(INDEX('Issuance Log'!$E:$E,MATCH(MAXIFS('Issuance Log'!$D:$D,'Issuance Log'!$B:$B,A1151,'Issuance Log'!$G:$G,$B$4),IF(('Issuance Log'!$B:$B=A1151)*('Issuance Log'!$G:$G=$B$4),'Issuance Log'!$D:$D),0)),"-")</f>
        <v>-</v>
      </c>
    </row>
    <row r="1152" spans="1:5" x14ac:dyDescent="0.25">
      <c r="A1152" s="4" t="s">
        <v>2243</v>
      </c>
      <c r="B1152" s="4" t="s">
        <v>2244</v>
      </c>
      <c r="C1152" s="5">
        <f>IFERROR(SUMIFS('Issuance Log'!$D:$D,'Issuance Log'!$B:$B,A1152,'Issuance Log'!$G:$G,$B$4),0)</f>
        <v>0</v>
      </c>
      <c r="D1152" s="5">
        <f>IFERROR(COUNTIFS('Issuance Log'!$B:$B,A1152,'Issuance Log'!$G:$G,$B$4),0)</f>
        <v>0</v>
      </c>
      <c r="E1152" s="5" t="str">
        <f ca="1">IFERROR(INDEX('Issuance Log'!$E:$E,MATCH(MAXIFS('Issuance Log'!$D:$D,'Issuance Log'!$B:$B,A1152,'Issuance Log'!$G:$G,$B$4),IF(('Issuance Log'!$B:$B=A1152)*('Issuance Log'!$G:$G=$B$4),'Issuance Log'!$D:$D),0)),"-")</f>
        <v>-</v>
      </c>
    </row>
    <row r="1153" spans="1:5" x14ac:dyDescent="0.25">
      <c r="A1153" s="2" t="s">
        <v>2245</v>
      </c>
      <c r="B1153" s="2" t="s">
        <v>2246</v>
      </c>
      <c r="C1153" s="3">
        <f>IFERROR(SUMIFS('Issuance Log'!$D:$D,'Issuance Log'!$B:$B,A1153,'Issuance Log'!$G:$G,$B$4),0)</f>
        <v>0</v>
      </c>
      <c r="D1153" s="3">
        <f>IFERROR(COUNTIFS('Issuance Log'!$B:$B,A1153,'Issuance Log'!$G:$G,$B$4),0)</f>
        <v>0</v>
      </c>
      <c r="E1153" s="3" t="str">
        <f ca="1">IFERROR(INDEX('Issuance Log'!$E:$E,MATCH(MAXIFS('Issuance Log'!$D:$D,'Issuance Log'!$B:$B,A1153,'Issuance Log'!$G:$G,$B$4),IF(('Issuance Log'!$B:$B=A1153)*('Issuance Log'!$G:$G=$B$4),'Issuance Log'!$D:$D),0)),"-")</f>
        <v>-</v>
      </c>
    </row>
    <row r="1154" spans="1:5" x14ac:dyDescent="0.25">
      <c r="A1154" s="4" t="s">
        <v>2247</v>
      </c>
      <c r="B1154" s="4" t="s">
        <v>2248</v>
      </c>
      <c r="C1154" s="5">
        <f>IFERROR(SUMIFS('Issuance Log'!$D:$D,'Issuance Log'!$B:$B,A1154,'Issuance Log'!$G:$G,$B$4),0)</f>
        <v>0</v>
      </c>
      <c r="D1154" s="5">
        <f>IFERROR(COUNTIFS('Issuance Log'!$B:$B,A1154,'Issuance Log'!$G:$G,$B$4),0)</f>
        <v>0</v>
      </c>
      <c r="E1154" s="5" t="str">
        <f ca="1">IFERROR(INDEX('Issuance Log'!$E:$E,MATCH(MAXIFS('Issuance Log'!$D:$D,'Issuance Log'!$B:$B,A1154,'Issuance Log'!$G:$G,$B$4),IF(('Issuance Log'!$B:$B=A1154)*('Issuance Log'!$G:$G=$B$4),'Issuance Log'!$D:$D),0)),"-")</f>
        <v>-</v>
      </c>
    </row>
    <row r="1155" spans="1:5" x14ac:dyDescent="0.25">
      <c r="A1155" s="2" t="s">
        <v>2249</v>
      </c>
      <c r="B1155" s="2" t="s">
        <v>2250</v>
      </c>
      <c r="C1155" s="3">
        <f>IFERROR(SUMIFS('Issuance Log'!$D:$D,'Issuance Log'!$B:$B,A1155,'Issuance Log'!$G:$G,$B$4),0)</f>
        <v>0</v>
      </c>
      <c r="D1155" s="3">
        <f>IFERROR(COUNTIFS('Issuance Log'!$B:$B,A1155,'Issuance Log'!$G:$G,$B$4),0)</f>
        <v>0</v>
      </c>
      <c r="E1155" s="3" t="str">
        <f ca="1">IFERROR(INDEX('Issuance Log'!$E:$E,MATCH(MAXIFS('Issuance Log'!$D:$D,'Issuance Log'!$B:$B,A1155,'Issuance Log'!$G:$G,$B$4),IF(('Issuance Log'!$B:$B=A1155)*('Issuance Log'!$G:$G=$B$4),'Issuance Log'!$D:$D),0)),"-")</f>
        <v>-</v>
      </c>
    </row>
    <row r="1156" spans="1:5" x14ac:dyDescent="0.25">
      <c r="A1156" s="4" t="s">
        <v>2251</v>
      </c>
      <c r="B1156" s="4" t="s">
        <v>2252</v>
      </c>
      <c r="C1156" s="5">
        <f>IFERROR(SUMIFS('Issuance Log'!$D:$D,'Issuance Log'!$B:$B,A1156,'Issuance Log'!$G:$G,$B$4),0)</f>
        <v>0</v>
      </c>
      <c r="D1156" s="5">
        <f>IFERROR(COUNTIFS('Issuance Log'!$B:$B,A1156,'Issuance Log'!$G:$G,$B$4),0)</f>
        <v>0</v>
      </c>
      <c r="E1156" s="5" t="str">
        <f ca="1">IFERROR(INDEX('Issuance Log'!$E:$E,MATCH(MAXIFS('Issuance Log'!$D:$D,'Issuance Log'!$B:$B,A1156,'Issuance Log'!$G:$G,$B$4),IF(('Issuance Log'!$B:$B=A1156)*('Issuance Log'!$G:$G=$B$4),'Issuance Log'!$D:$D),0)),"-")</f>
        <v>-</v>
      </c>
    </row>
    <row r="1157" spans="1:5" x14ac:dyDescent="0.25">
      <c r="A1157" s="2" t="s">
        <v>2253</v>
      </c>
      <c r="B1157" s="2" t="s">
        <v>2254</v>
      </c>
      <c r="C1157" s="3">
        <f>IFERROR(SUMIFS('Issuance Log'!$D:$D,'Issuance Log'!$B:$B,A1157,'Issuance Log'!$G:$G,$B$4),0)</f>
        <v>0</v>
      </c>
      <c r="D1157" s="3">
        <f>IFERROR(COUNTIFS('Issuance Log'!$B:$B,A1157,'Issuance Log'!$G:$G,$B$4),0)</f>
        <v>0</v>
      </c>
      <c r="E1157" s="3" t="str">
        <f ca="1">IFERROR(INDEX('Issuance Log'!$E:$E,MATCH(MAXIFS('Issuance Log'!$D:$D,'Issuance Log'!$B:$B,A1157,'Issuance Log'!$G:$G,$B$4),IF(('Issuance Log'!$B:$B=A1157)*('Issuance Log'!$G:$G=$B$4),'Issuance Log'!$D:$D),0)),"-")</f>
        <v>-</v>
      </c>
    </row>
    <row r="1158" spans="1:5" x14ac:dyDescent="0.25">
      <c r="A1158" s="4" t="s">
        <v>2255</v>
      </c>
      <c r="B1158" s="4" t="s">
        <v>2256</v>
      </c>
      <c r="C1158" s="5">
        <f>IFERROR(SUMIFS('Issuance Log'!$D:$D,'Issuance Log'!$B:$B,A1158,'Issuance Log'!$G:$G,$B$4),0)</f>
        <v>0</v>
      </c>
      <c r="D1158" s="5">
        <f>IFERROR(COUNTIFS('Issuance Log'!$B:$B,A1158,'Issuance Log'!$G:$G,$B$4),0)</f>
        <v>0</v>
      </c>
      <c r="E1158" s="5" t="str">
        <f ca="1">IFERROR(INDEX('Issuance Log'!$E:$E,MATCH(MAXIFS('Issuance Log'!$D:$D,'Issuance Log'!$B:$B,A1158,'Issuance Log'!$G:$G,$B$4),IF(('Issuance Log'!$B:$B=A1158)*('Issuance Log'!$G:$G=$B$4),'Issuance Log'!$D:$D),0)),"-")</f>
        <v>-</v>
      </c>
    </row>
    <row r="1159" spans="1:5" x14ac:dyDescent="0.25">
      <c r="A1159" s="2" t="s">
        <v>2257</v>
      </c>
      <c r="B1159" s="2" t="s">
        <v>2258</v>
      </c>
      <c r="C1159" s="3">
        <f>IFERROR(SUMIFS('Issuance Log'!$D:$D,'Issuance Log'!$B:$B,A1159,'Issuance Log'!$G:$G,$B$4),0)</f>
        <v>0</v>
      </c>
      <c r="D1159" s="3">
        <f>IFERROR(COUNTIFS('Issuance Log'!$B:$B,A1159,'Issuance Log'!$G:$G,$B$4),0)</f>
        <v>0</v>
      </c>
      <c r="E1159" s="3" t="str">
        <f ca="1">IFERROR(INDEX('Issuance Log'!$E:$E,MATCH(MAXIFS('Issuance Log'!$D:$D,'Issuance Log'!$B:$B,A1159,'Issuance Log'!$G:$G,$B$4),IF(('Issuance Log'!$B:$B=A1159)*('Issuance Log'!$G:$G=$B$4),'Issuance Log'!$D:$D),0)),"-")</f>
        <v>-</v>
      </c>
    </row>
    <row r="1160" spans="1:5" x14ac:dyDescent="0.25">
      <c r="A1160" s="4" t="s">
        <v>2259</v>
      </c>
      <c r="B1160" s="4" t="s">
        <v>2260</v>
      </c>
      <c r="C1160" s="5">
        <f>IFERROR(SUMIFS('Issuance Log'!$D:$D,'Issuance Log'!$B:$B,A1160,'Issuance Log'!$G:$G,$B$4),0)</f>
        <v>0</v>
      </c>
      <c r="D1160" s="5">
        <f>IFERROR(COUNTIFS('Issuance Log'!$B:$B,A1160,'Issuance Log'!$G:$G,$B$4),0)</f>
        <v>0</v>
      </c>
      <c r="E1160" s="5" t="str">
        <f ca="1">IFERROR(INDEX('Issuance Log'!$E:$E,MATCH(MAXIFS('Issuance Log'!$D:$D,'Issuance Log'!$B:$B,A1160,'Issuance Log'!$G:$G,$B$4),IF(('Issuance Log'!$B:$B=A1160)*('Issuance Log'!$G:$G=$B$4),'Issuance Log'!$D:$D),0)),"-")</f>
        <v>-</v>
      </c>
    </row>
    <row r="1161" spans="1:5" x14ac:dyDescent="0.25">
      <c r="A1161" s="2" t="s">
        <v>2261</v>
      </c>
      <c r="B1161" s="2" t="s">
        <v>2262</v>
      </c>
      <c r="C1161" s="3">
        <f>IFERROR(SUMIFS('Issuance Log'!$D:$D,'Issuance Log'!$B:$B,A1161,'Issuance Log'!$G:$G,$B$4),0)</f>
        <v>0</v>
      </c>
      <c r="D1161" s="3">
        <f>IFERROR(COUNTIFS('Issuance Log'!$B:$B,A1161,'Issuance Log'!$G:$G,$B$4),0)</f>
        <v>0</v>
      </c>
      <c r="E1161" s="3" t="str">
        <f ca="1">IFERROR(INDEX('Issuance Log'!$E:$E,MATCH(MAXIFS('Issuance Log'!$D:$D,'Issuance Log'!$B:$B,A1161,'Issuance Log'!$G:$G,$B$4),IF(('Issuance Log'!$B:$B=A1161)*('Issuance Log'!$G:$G=$B$4),'Issuance Log'!$D:$D),0)),"-")</f>
        <v>-</v>
      </c>
    </row>
    <row r="1162" spans="1:5" x14ac:dyDescent="0.25">
      <c r="A1162" s="4" t="s">
        <v>2263</v>
      </c>
      <c r="B1162" s="4" t="s">
        <v>2264</v>
      </c>
      <c r="C1162" s="5">
        <f>IFERROR(SUMIFS('Issuance Log'!$D:$D,'Issuance Log'!$B:$B,A1162,'Issuance Log'!$G:$G,$B$4),0)</f>
        <v>0</v>
      </c>
      <c r="D1162" s="5">
        <f>IFERROR(COUNTIFS('Issuance Log'!$B:$B,A1162,'Issuance Log'!$G:$G,$B$4),0)</f>
        <v>0</v>
      </c>
      <c r="E1162" s="5" t="str">
        <f ca="1">IFERROR(INDEX('Issuance Log'!$E:$E,MATCH(MAXIFS('Issuance Log'!$D:$D,'Issuance Log'!$B:$B,A1162,'Issuance Log'!$G:$G,$B$4),IF(('Issuance Log'!$B:$B=A1162)*('Issuance Log'!$G:$G=$B$4),'Issuance Log'!$D:$D),0)),"-")</f>
        <v>-</v>
      </c>
    </row>
    <row r="1163" spans="1:5" x14ac:dyDescent="0.25">
      <c r="A1163" s="2" t="s">
        <v>2265</v>
      </c>
      <c r="B1163" s="2" t="s">
        <v>2266</v>
      </c>
      <c r="C1163" s="3">
        <f>IFERROR(SUMIFS('Issuance Log'!$D:$D,'Issuance Log'!$B:$B,A1163,'Issuance Log'!$G:$G,$B$4),0)</f>
        <v>0</v>
      </c>
      <c r="D1163" s="3">
        <f>IFERROR(COUNTIFS('Issuance Log'!$B:$B,A1163,'Issuance Log'!$G:$G,$B$4),0)</f>
        <v>0</v>
      </c>
      <c r="E1163" s="3" t="str">
        <f ca="1">IFERROR(INDEX('Issuance Log'!$E:$E,MATCH(MAXIFS('Issuance Log'!$D:$D,'Issuance Log'!$B:$B,A1163,'Issuance Log'!$G:$G,$B$4),IF(('Issuance Log'!$B:$B=A1163)*('Issuance Log'!$G:$G=$B$4),'Issuance Log'!$D:$D),0)),"-")</f>
        <v>-</v>
      </c>
    </row>
    <row r="1164" spans="1:5" x14ac:dyDescent="0.25">
      <c r="A1164" s="4" t="s">
        <v>2267</v>
      </c>
      <c r="B1164" s="4" t="s">
        <v>2268</v>
      </c>
      <c r="C1164" s="5">
        <f>IFERROR(SUMIFS('Issuance Log'!$D:$D,'Issuance Log'!$B:$B,A1164,'Issuance Log'!$G:$G,$B$4),0)</f>
        <v>0</v>
      </c>
      <c r="D1164" s="5">
        <f>IFERROR(COUNTIFS('Issuance Log'!$B:$B,A1164,'Issuance Log'!$G:$G,$B$4),0)</f>
        <v>0</v>
      </c>
      <c r="E1164" s="5" t="str">
        <f ca="1">IFERROR(INDEX('Issuance Log'!$E:$E,MATCH(MAXIFS('Issuance Log'!$D:$D,'Issuance Log'!$B:$B,A1164,'Issuance Log'!$G:$G,$B$4),IF(('Issuance Log'!$B:$B=A1164)*('Issuance Log'!$G:$G=$B$4),'Issuance Log'!$D:$D),0)),"-")</f>
        <v>-</v>
      </c>
    </row>
    <row r="1165" spans="1:5" x14ac:dyDescent="0.25">
      <c r="A1165" s="2" t="s">
        <v>2269</v>
      </c>
      <c r="B1165" s="2" t="s">
        <v>2270</v>
      </c>
      <c r="C1165" s="3">
        <f>IFERROR(SUMIFS('Issuance Log'!$D:$D,'Issuance Log'!$B:$B,A1165,'Issuance Log'!$G:$G,$B$4),0)</f>
        <v>0</v>
      </c>
      <c r="D1165" s="3">
        <f>IFERROR(COUNTIFS('Issuance Log'!$B:$B,A1165,'Issuance Log'!$G:$G,$B$4),0)</f>
        <v>0</v>
      </c>
      <c r="E1165" s="3" t="str">
        <f ca="1">IFERROR(INDEX('Issuance Log'!$E:$E,MATCH(MAXIFS('Issuance Log'!$D:$D,'Issuance Log'!$B:$B,A1165,'Issuance Log'!$G:$G,$B$4),IF(('Issuance Log'!$B:$B=A1165)*('Issuance Log'!$G:$G=$B$4),'Issuance Log'!$D:$D),0)),"-")</f>
        <v>-</v>
      </c>
    </row>
    <row r="1166" spans="1:5" x14ac:dyDescent="0.25">
      <c r="A1166" s="4" t="s">
        <v>2271</v>
      </c>
      <c r="B1166" s="4" t="s">
        <v>2272</v>
      </c>
      <c r="C1166" s="5">
        <f>IFERROR(SUMIFS('Issuance Log'!$D:$D,'Issuance Log'!$B:$B,A1166,'Issuance Log'!$G:$G,$B$4),0)</f>
        <v>0</v>
      </c>
      <c r="D1166" s="5">
        <f>IFERROR(COUNTIFS('Issuance Log'!$B:$B,A1166,'Issuance Log'!$G:$G,$B$4),0)</f>
        <v>0</v>
      </c>
      <c r="E1166" s="5" t="str">
        <f ca="1">IFERROR(INDEX('Issuance Log'!$E:$E,MATCH(MAXIFS('Issuance Log'!$D:$D,'Issuance Log'!$B:$B,A1166,'Issuance Log'!$G:$G,$B$4),IF(('Issuance Log'!$B:$B=A1166)*('Issuance Log'!$G:$G=$B$4),'Issuance Log'!$D:$D),0)),"-")</f>
        <v>-</v>
      </c>
    </row>
    <row r="1167" spans="1:5" x14ac:dyDescent="0.25">
      <c r="A1167" s="2" t="s">
        <v>2273</v>
      </c>
      <c r="B1167" s="2" t="s">
        <v>2274</v>
      </c>
      <c r="C1167" s="3">
        <f>IFERROR(SUMIFS('Issuance Log'!$D:$D,'Issuance Log'!$B:$B,A1167,'Issuance Log'!$G:$G,$B$4),0)</f>
        <v>0</v>
      </c>
      <c r="D1167" s="3">
        <f>IFERROR(COUNTIFS('Issuance Log'!$B:$B,A1167,'Issuance Log'!$G:$G,$B$4),0)</f>
        <v>0</v>
      </c>
      <c r="E1167" s="3" t="str">
        <f ca="1">IFERROR(INDEX('Issuance Log'!$E:$E,MATCH(MAXIFS('Issuance Log'!$D:$D,'Issuance Log'!$B:$B,A1167,'Issuance Log'!$G:$G,$B$4),IF(('Issuance Log'!$B:$B=A1167)*('Issuance Log'!$G:$G=$B$4),'Issuance Log'!$D:$D),0)),"-")</f>
        <v>-</v>
      </c>
    </row>
    <row r="1168" spans="1:5" x14ac:dyDescent="0.25">
      <c r="A1168" s="4" t="s">
        <v>2275</v>
      </c>
      <c r="B1168" s="4" t="s">
        <v>2276</v>
      </c>
      <c r="C1168" s="5">
        <f>IFERROR(SUMIFS('Issuance Log'!$D:$D,'Issuance Log'!$B:$B,A1168,'Issuance Log'!$G:$G,$B$4),0)</f>
        <v>0</v>
      </c>
      <c r="D1168" s="5">
        <f>IFERROR(COUNTIFS('Issuance Log'!$B:$B,A1168,'Issuance Log'!$G:$G,$B$4),0)</f>
        <v>0</v>
      </c>
      <c r="E1168" s="5" t="str">
        <f ca="1">IFERROR(INDEX('Issuance Log'!$E:$E,MATCH(MAXIFS('Issuance Log'!$D:$D,'Issuance Log'!$B:$B,A1168,'Issuance Log'!$G:$G,$B$4),IF(('Issuance Log'!$B:$B=A1168)*('Issuance Log'!$G:$G=$B$4),'Issuance Log'!$D:$D),0)),"-")</f>
        <v>-</v>
      </c>
    </row>
    <row r="1169" spans="1:5" x14ac:dyDescent="0.25">
      <c r="A1169" s="2" t="s">
        <v>2277</v>
      </c>
      <c r="B1169" s="2" t="s">
        <v>1714</v>
      </c>
      <c r="C1169" s="3">
        <f>IFERROR(SUMIFS('Issuance Log'!$D:$D,'Issuance Log'!$B:$B,A1169,'Issuance Log'!$G:$G,$B$4),0)</f>
        <v>0</v>
      </c>
      <c r="D1169" s="3">
        <f>IFERROR(COUNTIFS('Issuance Log'!$B:$B,A1169,'Issuance Log'!$G:$G,$B$4),0)</f>
        <v>0</v>
      </c>
      <c r="E1169" s="3" t="str">
        <f ca="1">IFERROR(INDEX('Issuance Log'!$E:$E,MATCH(MAXIFS('Issuance Log'!$D:$D,'Issuance Log'!$B:$B,A1169,'Issuance Log'!$G:$G,$B$4),IF(('Issuance Log'!$B:$B=A1169)*('Issuance Log'!$G:$G=$B$4),'Issuance Log'!$D:$D),0)),"-")</f>
        <v>-</v>
      </c>
    </row>
    <row r="1170" spans="1:5" x14ac:dyDescent="0.25">
      <c r="A1170" s="4" t="s">
        <v>2278</v>
      </c>
      <c r="B1170" s="4" t="s">
        <v>2279</v>
      </c>
      <c r="C1170" s="5">
        <f>IFERROR(SUMIFS('Issuance Log'!$D:$D,'Issuance Log'!$B:$B,A1170,'Issuance Log'!$G:$G,$B$4),0)</f>
        <v>0</v>
      </c>
      <c r="D1170" s="5">
        <f>IFERROR(COUNTIFS('Issuance Log'!$B:$B,A1170,'Issuance Log'!$G:$G,$B$4),0)</f>
        <v>0</v>
      </c>
      <c r="E1170" s="5" t="str">
        <f ca="1">IFERROR(INDEX('Issuance Log'!$E:$E,MATCH(MAXIFS('Issuance Log'!$D:$D,'Issuance Log'!$B:$B,A1170,'Issuance Log'!$G:$G,$B$4),IF(('Issuance Log'!$B:$B=A1170)*('Issuance Log'!$G:$G=$B$4),'Issuance Log'!$D:$D),0)),"-")</f>
        <v>-</v>
      </c>
    </row>
    <row r="1171" spans="1:5" x14ac:dyDescent="0.25">
      <c r="A1171" s="2" t="s">
        <v>2280</v>
      </c>
      <c r="B1171" s="2" t="s">
        <v>2281</v>
      </c>
      <c r="C1171" s="3">
        <f>IFERROR(SUMIFS('Issuance Log'!$D:$D,'Issuance Log'!$B:$B,A1171,'Issuance Log'!$G:$G,$B$4),0)</f>
        <v>0</v>
      </c>
      <c r="D1171" s="3">
        <f>IFERROR(COUNTIFS('Issuance Log'!$B:$B,A1171,'Issuance Log'!$G:$G,$B$4),0)</f>
        <v>0</v>
      </c>
      <c r="E1171" s="3" t="str">
        <f ca="1">IFERROR(INDEX('Issuance Log'!$E:$E,MATCH(MAXIFS('Issuance Log'!$D:$D,'Issuance Log'!$B:$B,A1171,'Issuance Log'!$G:$G,$B$4),IF(('Issuance Log'!$B:$B=A1171)*('Issuance Log'!$G:$G=$B$4),'Issuance Log'!$D:$D),0)),"-")</f>
        <v>-</v>
      </c>
    </row>
    <row r="1172" spans="1:5" x14ac:dyDescent="0.25">
      <c r="A1172" s="4" t="s">
        <v>2282</v>
      </c>
      <c r="B1172" s="4" t="s">
        <v>2283</v>
      </c>
      <c r="C1172" s="5">
        <f>IFERROR(SUMIFS('Issuance Log'!$D:$D,'Issuance Log'!$B:$B,A1172,'Issuance Log'!$G:$G,$B$4),0)</f>
        <v>0</v>
      </c>
      <c r="D1172" s="5">
        <f>IFERROR(COUNTIFS('Issuance Log'!$B:$B,A1172,'Issuance Log'!$G:$G,$B$4),0)</f>
        <v>0</v>
      </c>
      <c r="E1172" s="5" t="str">
        <f ca="1">IFERROR(INDEX('Issuance Log'!$E:$E,MATCH(MAXIFS('Issuance Log'!$D:$D,'Issuance Log'!$B:$B,A1172,'Issuance Log'!$G:$G,$B$4),IF(('Issuance Log'!$B:$B=A1172)*('Issuance Log'!$G:$G=$B$4),'Issuance Log'!$D:$D),0)),"-")</f>
        <v>-</v>
      </c>
    </row>
    <row r="1173" spans="1:5" x14ac:dyDescent="0.25">
      <c r="A1173" s="2" t="s">
        <v>2284</v>
      </c>
      <c r="B1173" s="2" t="s">
        <v>2285</v>
      </c>
      <c r="C1173" s="3">
        <f>IFERROR(SUMIFS('Issuance Log'!$D:$D,'Issuance Log'!$B:$B,A1173,'Issuance Log'!$G:$G,$B$4),0)</f>
        <v>0</v>
      </c>
      <c r="D1173" s="3">
        <f>IFERROR(COUNTIFS('Issuance Log'!$B:$B,A1173,'Issuance Log'!$G:$G,$B$4),0)</f>
        <v>0</v>
      </c>
      <c r="E1173" s="3" t="str">
        <f ca="1">IFERROR(INDEX('Issuance Log'!$E:$E,MATCH(MAXIFS('Issuance Log'!$D:$D,'Issuance Log'!$B:$B,A1173,'Issuance Log'!$G:$G,$B$4),IF(('Issuance Log'!$B:$B=A1173)*('Issuance Log'!$G:$G=$B$4),'Issuance Log'!$D:$D),0)),"-")</f>
        <v>-</v>
      </c>
    </row>
    <row r="1174" spans="1:5" x14ac:dyDescent="0.25">
      <c r="A1174" s="4" t="s">
        <v>2286</v>
      </c>
      <c r="B1174" s="4" t="s">
        <v>2287</v>
      </c>
      <c r="C1174" s="5">
        <f>IFERROR(SUMIFS('Issuance Log'!$D:$D,'Issuance Log'!$B:$B,A1174,'Issuance Log'!$G:$G,$B$4),0)</f>
        <v>0</v>
      </c>
      <c r="D1174" s="5">
        <f>IFERROR(COUNTIFS('Issuance Log'!$B:$B,A1174,'Issuance Log'!$G:$G,$B$4),0)</f>
        <v>0</v>
      </c>
      <c r="E1174" s="5" t="str">
        <f ca="1">IFERROR(INDEX('Issuance Log'!$E:$E,MATCH(MAXIFS('Issuance Log'!$D:$D,'Issuance Log'!$B:$B,A1174,'Issuance Log'!$G:$G,$B$4),IF(('Issuance Log'!$B:$B=A1174)*('Issuance Log'!$G:$G=$B$4),'Issuance Log'!$D:$D),0)),"-")</f>
        <v>-</v>
      </c>
    </row>
    <row r="1175" spans="1:5" x14ac:dyDescent="0.25">
      <c r="A1175" s="2" t="s">
        <v>2288</v>
      </c>
      <c r="B1175" s="2" t="s">
        <v>2289</v>
      </c>
      <c r="C1175" s="3">
        <f>IFERROR(SUMIFS('Issuance Log'!$D:$D,'Issuance Log'!$B:$B,A1175,'Issuance Log'!$G:$G,$B$4),0)</f>
        <v>0</v>
      </c>
      <c r="D1175" s="3">
        <f>IFERROR(COUNTIFS('Issuance Log'!$B:$B,A1175,'Issuance Log'!$G:$G,$B$4),0)</f>
        <v>0</v>
      </c>
      <c r="E1175" s="3" t="str">
        <f ca="1">IFERROR(INDEX('Issuance Log'!$E:$E,MATCH(MAXIFS('Issuance Log'!$D:$D,'Issuance Log'!$B:$B,A1175,'Issuance Log'!$G:$G,$B$4),IF(('Issuance Log'!$B:$B=A1175)*('Issuance Log'!$G:$G=$B$4),'Issuance Log'!$D:$D),0)),"-")</f>
        <v>-</v>
      </c>
    </row>
    <row r="1176" spans="1:5" x14ac:dyDescent="0.25">
      <c r="A1176" s="4" t="s">
        <v>2290</v>
      </c>
      <c r="B1176" s="4" t="s">
        <v>2291</v>
      </c>
      <c r="C1176" s="5">
        <f>IFERROR(SUMIFS('Issuance Log'!$D:$D,'Issuance Log'!$B:$B,A1176,'Issuance Log'!$G:$G,$B$4),0)</f>
        <v>0</v>
      </c>
      <c r="D1176" s="5">
        <f>IFERROR(COUNTIFS('Issuance Log'!$B:$B,A1176,'Issuance Log'!$G:$G,$B$4),0)</f>
        <v>0</v>
      </c>
      <c r="E1176" s="5" t="str">
        <f ca="1">IFERROR(INDEX('Issuance Log'!$E:$E,MATCH(MAXIFS('Issuance Log'!$D:$D,'Issuance Log'!$B:$B,A1176,'Issuance Log'!$G:$G,$B$4),IF(('Issuance Log'!$B:$B=A1176)*('Issuance Log'!$G:$G=$B$4),'Issuance Log'!$D:$D),0)),"-")</f>
        <v>-</v>
      </c>
    </row>
    <row r="1177" spans="1:5" x14ac:dyDescent="0.25">
      <c r="A1177" s="2" t="s">
        <v>2292</v>
      </c>
      <c r="B1177" s="2" t="s">
        <v>2293</v>
      </c>
      <c r="C1177" s="3">
        <f>IFERROR(SUMIFS('Issuance Log'!$D:$D,'Issuance Log'!$B:$B,A1177,'Issuance Log'!$G:$G,$B$4),0)</f>
        <v>0</v>
      </c>
      <c r="D1177" s="3">
        <f>IFERROR(COUNTIFS('Issuance Log'!$B:$B,A1177,'Issuance Log'!$G:$G,$B$4),0)</f>
        <v>0</v>
      </c>
      <c r="E1177" s="3" t="str">
        <f ca="1">IFERROR(INDEX('Issuance Log'!$E:$E,MATCH(MAXIFS('Issuance Log'!$D:$D,'Issuance Log'!$B:$B,A1177,'Issuance Log'!$G:$G,$B$4),IF(('Issuance Log'!$B:$B=A1177)*('Issuance Log'!$G:$G=$B$4),'Issuance Log'!$D:$D),0)),"-")</f>
        <v>-</v>
      </c>
    </row>
    <row r="1178" spans="1:5" x14ac:dyDescent="0.25">
      <c r="A1178" s="4" t="s">
        <v>2294</v>
      </c>
      <c r="B1178" s="4" t="s">
        <v>2295</v>
      </c>
      <c r="C1178" s="5">
        <f>IFERROR(SUMIFS('Issuance Log'!$D:$D,'Issuance Log'!$B:$B,A1178,'Issuance Log'!$G:$G,$B$4),0)</f>
        <v>0</v>
      </c>
      <c r="D1178" s="5">
        <f>IFERROR(COUNTIFS('Issuance Log'!$B:$B,A1178,'Issuance Log'!$G:$G,$B$4),0)</f>
        <v>0</v>
      </c>
      <c r="E1178" s="5" t="str">
        <f ca="1">IFERROR(INDEX('Issuance Log'!$E:$E,MATCH(MAXIFS('Issuance Log'!$D:$D,'Issuance Log'!$B:$B,A1178,'Issuance Log'!$G:$G,$B$4),IF(('Issuance Log'!$B:$B=A1178)*('Issuance Log'!$G:$G=$B$4),'Issuance Log'!$D:$D),0)),"-")</f>
        <v>-</v>
      </c>
    </row>
    <row r="1179" spans="1:5" x14ac:dyDescent="0.25">
      <c r="A1179" s="2" t="s">
        <v>2296</v>
      </c>
      <c r="B1179" s="2" t="s">
        <v>2297</v>
      </c>
      <c r="C1179" s="3">
        <f>IFERROR(SUMIFS('Issuance Log'!$D:$D,'Issuance Log'!$B:$B,A1179,'Issuance Log'!$G:$G,$B$4),0)</f>
        <v>0</v>
      </c>
      <c r="D1179" s="3">
        <f>IFERROR(COUNTIFS('Issuance Log'!$B:$B,A1179,'Issuance Log'!$G:$G,$B$4),0)</f>
        <v>0</v>
      </c>
      <c r="E1179" s="3" t="str">
        <f ca="1">IFERROR(INDEX('Issuance Log'!$E:$E,MATCH(MAXIFS('Issuance Log'!$D:$D,'Issuance Log'!$B:$B,A1179,'Issuance Log'!$G:$G,$B$4),IF(('Issuance Log'!$B:$B=A1179)*('Issuance Log'!$G:$G=$B$4),'Issuance Log'!$D:$D),0)),"-")</f>
        <v>-</v>
      </c>
    </row>
    <row r="1180" spans="1:5" x14ac:dyDescent="0.25">
      <c r="A1180" s="4" t="s">
        <v>2298</v>
      </c>
      <c r="B1180" s="4" t="s">
        <v>2299</v>
      </c>
      <c r="C1180" s="5">
        <f>IFERROR(SUMIFS('Issuance Log'!$D:$D,'Issuance Log'!$B:$B,A1180,'Issuance Log'!$G:$G,$B$4),0)</f>
        <v>0</v>
      </c>
      <c r="D1180" s="5">
        <f>IFERROR(COUNTIFS('Issuance Log'!$B:$B,A1180,'Issuance Log'!$G:$G,$B$4),0)</f>
        <v>0</v>
      </c>
      <c r="E1180" s="5" t="str">
        <f ca="1">IFERROR(INDEX('Issuance Log'!$E:$E,MATCH(MAXIFS('Issuance Log'!$D:$D,'Issuance Log'!$B:$B,A1180,'Issuance Log'!$G:$G,$B$4),IF(('Issuance Log'!$B:$B=A1180)*('Issuance Log'!$G:$G=$B$4),'Issuance Log'!$D:$D),0)),"-")</f>
        <v>-</v>
      </c>
    </row>
    <row r="1181" spans="1:5" x14ac:dyDescent="0.25">
      <c r="A1181" s="2" t="s">
        <v>2300</v>
      </c>
      <c r="B1181" s="2" t="s">
        <v>2301</v>
      </c>
      <c r="C1181" s="3">
        <f>IFERROR(SUMIFS('Issuance Log'!$D:$D,'Issuance Log'!$B:$B,A1181,'Issuance Log'!$G:$G,$B$4),0)</f>
        <v>0</v>
      </c>
      <c r="D1181" s="3">
        <f>IFERROR(COUNTIFS('Issuance Log'!$B:$B,A1181,'Issuance Log'!$G:$G,$B$4),0)</f>
        <v>0</v>
      </c>
      <c r="E1181" s="3" t="str">
        <f ca="1">IFERROR(INDEX('Issuance Log'!$E:$E,MATCH(MAXIFS('Issuance Log'!$D:$D,'Issuance Log'!$B:$B,A1181,'Issuance Log'!$G:$G,$B$4),IF(('Issuance Log'!$B:$B=A1181)*('Issuance Log'!$G:$G=$B$4),'Issuance Log'!$D:$D),0)),"-")</f>
        <v>-</v>
      </c>
    </row>
    <row r="1182" spans="1:5" x14ac:dyDescent="0.25">
      <c r="A1182" s="4" t="s">
        <v>2302</v>
      </c>
      <c r="B1182" s="4" t="s">
        <v>2303</v>
      </c>
      <c r="C1182" s="5">
        <f>IFERROR(SUMIFS('Issuance Log'!$D:$D,'Issuance Log'!$B:$B,A1182,'Issuance Log'!$G:$G,$B$4),0)</f>
        <v>0</v>
      </c>
      <c r="D1182" s="5">
        <f>IFERROR(COUNTIFS('Issuance Log'!$B:$B,A1182,'Issuance Log'!$G:$G,$B$4),0)</f>
        <v>0</v>
      </c>
      <c r="E1182" s="5" t="str">
        <f ca="1">IFERROR(INDEX('Issuance Log'!$E:$E,MATCH(MAXIFS('Issuance Log'!$D:$D,'Issuance Log'!$B:$B,A1182,'Issuance Log'!$G:$G,$B$4),IF(('Issuance Log'!$B:$B=A1182)*('Issuance Log'!$G:$G=$B$4),'Issuance Log'!$D:$D),0)),"-")</f>
        <v>-</v>
      </c>
    </row>
    <row r="1183" spans="1:5" x14ac:dyDescent="0.25">
      <c r="A1183" s="2" t="s">
        <v>2304</v>
      </c>
      <c r="B1183" s="2" t="s">
        <v>2305</v>
      </c>
      <c r="C1183" s="3">
        <f>IFERROR(SUMIFS('Issuance Log'!$D:$D,'Issuance Log'!$B:$B,A1183,'Issuance Log'!$G:$G,$B$4),0)</f>
        <v>0</v>
      </c>
      <c r="D1183" s="3">
        <f>IFERROR(COUNTIFS('Issuance Log'!$B:$B,A1183,'Issuance Log'!$G:$G,$B$4),0)</f>
        <v>0</v>
      </c>
      <c r="E1183" s="3" t="str">
        <f ca="1">IFERROR(INDEX('Issuance Log'!$E:$E,MATCH(MAXIFS('Issuance Log'!$D:$D,'Issuance Log'!$B:$B,A1183,'Issuance Log'!$G:$G,$B$4),IF(('Issuance Log'!$B:$B=A1183)*('Issuance Log'!$G:$G=$B$4),'Issuance Log'!$D:$D),0)),"-")</f>
        <v>-</v>
      </c>
    </row>
    <row r="1184" spans="1:5" x14ac:dyDescent="0.25">
      <c r="A1184" s="4" t="s">
        <v>2306</v>
      </c>
      <c r="B1184" s="4" t="s">
        <v>2307</v>
      </c>
      <c r="C1184" s="5">
        <f>IFERROR(SUMIFS('Issuance Log'!$D:$D,'Issuance Log'!$B:$B,A1184,'Issuance Log'!$G:$G,$B$4),0)</f>
        <v>0</v>
      </c>
      <c r="D1184" s="5">
        <f>IFERROR(COUNTIFS('Issuance Log'!$B:$B,A1184,'Issuance Log'!$G:$G,$B$4),0)</f>
        <v>0</v>
      </c>
      <c r="E1184" s="5" t="str">
        <f ca="1">IFERROR(INDEX('Issuance Log'!$E:$E,MATCH(MAXIFS('Issuance Log'!$D:$D,'Issuance Log'!$B:$B,A1184,'Issuance Log'!$G:$G,$B$4),IF(('Issuance Log'!$B:$B=A1184)*('Issuance Log'!$G:$G=$B$4),'Issuance Log'!$D:$D),0)),"-")</f>
        <v>-</v>
      </c>
    </row>
    <row r="1185" spans="1:5" x14ac:dyDescent="0.25">
      <c r="A1185" s="2" t="s">
        <v>2308</v>
      </c>
      <c r="B1185" s="2" t="s">
        <v>2309</v>
      </c>
      <c r="C1185" s="3">
        <f>IFERROR(SUMIFS('Issuance Log'!$D:$D,'Issuance Log'!$B:$B,A1185,'Issuance Log'!$G:$G,$B$4),0)</f>
        <v>0</v>
      </c>
      <c r="D1185" s="3">
        <f>IFERROR(COUNTIFS('Issuance Log'!$B:$B,A1185,'Issuance Log'!$G:$G,$B$4),0)</f>
        <v>0</v>
      </c>
      <c r="E1185" s="3" t="str">
        <f ca="1">IFERROR(INDEX('Issuance Log'!$E:$E,MATCH(MAXIFS('Issuance Log'!$D:$D,'Issuance Log'!$B:$B,A1185,'Issuance Log'!$G:$G,$B$4),IF(('Issuance Log'!$B:$B=A1185)*('Issuance Log'!$G:$G=$B$4),'Issuance Log'!$D:$D),0)),"-")</f>
        <v>-</v>
      </c>
    </row>
    <row r="1186" spans="1:5" x14ac:dyDescent="0.25">
      <c r="A1186" s="4" t="s">
        <v>2310</v>
      </c>
      <c r="B1186" s="4" t="s">
        <v>2311</v>
      </c>
      <c r="C1186" s="5">
        <f>IFERROR(SUMIFS('Issuance Log'!$D:$D,'Issuance Log'!$B:$B,A1186,'Issuance Log'!$G:$G,$B$4),0)</f>
        <v>0</v>
      </c>
      <c r="D1186" s="5">
        <f>IFERROR(COUNTIFS('Issuance Log'!$B:$B,A1186,'Issuance Log'!$G:$G,$B$4),0)</f>
        <v>0</v>
      </c>
      <c r="E1186" s="5" t="str">
        <f ca="1">IFERROR(INDEX('Issuance Log'!$E:$E,MATCH(MAXIFS('Issuance Log'!$D:$D,'Issuance Log'!$B:$B,A1186,'Issuance Log'!$G:$G,$B$4),IF(('Issuance Log'!$B:$B=A1186)*('Issuance Log'!$G:$G=$B$4),'Issuance Log'!$D:$D),0)),"-")</f>
        <v>-</v>
      </c>
    </row>
    <row r="1187" spans="1:5" x14ac:dyDescent="0.25">
      <c r="A1187" s="2" t="s">
        <v>2312</v>
      </c>
      <c r="B1187" s="2" t="s">
        <v>2313</v>
      </c>
      <c r="C1187" s="3">
        <f>IFERROR(SUMIFS('Issuance Log'!$D:$D,'Issuance Log'!$B:$B,A1187,'Issuance Log'!$G:$G,$B$4),0)</f>
        <v>0</v>
      </c>
      <c r="D1187" s="3">
        <f>IFERROR(COUNTIFS('Issuance Log'!$B:$B,A1187,'Issuance Log'!$G:$G,$B$4),0)</f>
        <v>0</v>
      </c>
      <c r="E1187" s="3" t="str">
        <f ca="1">IFERROR(INDEX('Issuance Log'!$E:$E,MATCH(MAXIFS('Issuance Log'!$D:$D,'Issuance Log'!$B:$B,A1187,'Issuance Log'!$G:$G,$B$4),IF(('Issuance Log'!$B:$B=A1187)*('Issuance Log'!$G:$G=$B$4),'Issuance Log'!$D:$D),0)),"-")</f>
        <v>-</v>
      </c>
    </row>
    <row r="1188" spans="1:5" x14ac:dyDescent="0.25">
      <c r="A1188" s="4" t="s">
        <v>2314</v>
      </c>
      <c r="B1188" s="4" t="s">
        <v>2315</v>
      </c>
      <c r="C1188" s="5">
        <f>IFERROR(SUMIFS('Issuance Log'!$D:$D,'Issuance Log'!$B:$B,A1188,'Issuance Log'!$G:$G,$B$4),0)</f>
        <v>0</v>
      </c>
      <c r="D1188" s="5">
        <f>IFERROR(COUNTIFS('Issuance Log'!$B:$B,A1188,'Issuance Log'!$G:$G,$B$4),0)</f>
        <v>0</v>
      </c>
      <c r="E1188" s="5" t="str">
        <f ca="1">IFERROR(INDEX('Issuance Log'!$E:$E,MATCH(MAXIFS('Issuance Log'!$D:$D,'Issuance Log'!$B:$B,A1188,'Issuance Log'!$G:$G,$B$4),IF(('Issuance Log'!$B:$B=A1188)*('Issuance Log'!$G:$G=$B$4),'Issuance Log'!$D:$D),0)),"-")</f>
        <v>-</v>
      </c>
    </row>
    <row r="1189" spans="1:5" x14ac:dyDescent="0.25">
      <c r="A1189" s="2" t="s">
        <v>2316</v>
      </c>
      <c r="B1189" s="2" t="s">
        <v>2317</v>
      </c>
      <c r="C1189" s="3">
        <f>IFERROR(SUMIFS('Issuance Log'!$D:$D,'Issuance Log'!$B:$B,A1189,'Issuance Log'!$G:$G,$B$4),0)</f>
        <v>0</v>
      </c>
      <c r="D1189" s="3">
        <f>IFERROR(COUNTIFS('Issuance Log'!$B:$B,A1189,'Issuance Log'!$G:$G,$B$4),0)</f>
        <v>0</v>
      </c>
      <c r="E1189" s="3" t="str">
        <f ca="1">IFERROR(INDEX('Issuance Log'!$E:$E,MATCH(MAXIFS('Issuance Log'!$D:$D,'Issuance Log'!$B:$B,A1189,'Issuance Log'!$G:$G,$B$4),IF(('Issuance Log'!$B:$B=A1189)*('Issuance Log'!$G:$G=$B$4),'Issuance Log'!$D:$D),0)),"-")</f>
        <v>-</v>
      </c>
    </row>
    <row r="1190" spans="1:5" x14ac:dyDescent="0.25">
      <c r="A1190" s="4" t="s">
        <v>2318</v>
      </c>
      <c r="B1190" s="4" t="s">
        <v>2319</v>
      </c>
      <c r="C1190" s="5">
        <f>IFERROR(SUMIFS('Issuance Log'!$D:$D,'Issuance Log'!$B:$B,A1190,'Issuance Log'!$G:$G,$B$4),0)</f>
        <v>0</v>
      </c>
      <c r="D1190" s="5">
        <f>IFERROR(COUNTIFS('Issuance Log'!$B:$B,A1190,'Issuance Log'!$G:$G,$B$4),0)</f>
        <v>0</v>
      </c>
      <c r="E1190" s="5" t="str">
        <f ca="1">IFERROR(INDEX('Issuance Log'!$E:$E,MATCH(MAXIFS('Issuance Log'!$D:$D,'Issuance Log'!$B:$B,A1190,'Issuance Log'!$G:$G,$B$4),IF(('Issuance Log'!$B:$B=A1190)*('Issuance Log'!$G:$G=$B$4),'Issuance Log'!$D:$D),0)),"-")</f>
        <v>-</v>
      </c>
    </row>
    <row r="1191" spans="1:5" x14ac:dyDescent="0.25">
      <c r="A1191" s="2" t="s">
        <v>2320</v>
      </c>
      <c r="B1191" s="2" t="s">
        <v>2321</v>
      </c>
      <c r="C1191" s="3">
        <f>IFERROR(SUMIFS('Issuance Log'!$D:$D,'Issuance Log'!$B:$B,A1191,'Issuance Log'!$G:$G,$B$4),0)</f>
        <v>0</v>
      </c>
      <c r="D1191" s="3">
        <f>IFERROR(COUNTIFS('Issuance Log'!$B:$B,A1191,'Issuance Log'!$G:$G,$B$4),0)</f>
        <v>0</v>
      </c>
      <c r="E1191" s="3" t="str">
        <f ca="1">IFERROR(INDEX('Issuance Log'!$E:$E,MATCH(MAXIFS('Issuance Log'!$D:$D,'Issuance Log'!$B:$B,A1191,'Issuance Log'!$G:$G,$B$4),IF(('Issuance Log'!$B:$B=A1191)*('Issuance Log'!$G:$G=$B$4),'Issuance Log'!$D:$D),0)),"-")</f>
        <v>-</v>
      </c>
    </row>
    <row r="1192" spans="1:5" x14ac:dyDescent="0.25">
      <c r="A1192" s="4" t="s">
        <v>2322</v>
      </c>
      <c r="B1192" s="4" t="s">
        <v>2323</v>
      </c>
      <c r="C1192" s="5">
        <f>IFERROR(SUMIFS('Issuance Log'!$D:$D,'Issuance Log'!$B:$B,A1192,'Issuance Log'!$G:$G,$B$4),0)</f>
        <v>0</v>
      </c>
      <c r="D1192" s="5">
        <f>IFERROR(COUNTIFS('Issuance Log'!$B:$B,A1192,'Issuance Log'!$G:$G,$B$4),0)</f>
        <v>0</v>
      </c>
      <c r="E1192" s="5" t="str">
        <f ca="1">IFERROR(INDEX('Issuance Log'!$E:$E,MATCH(MAXIFS('Issuance Log'!$D:$D,'Issuance Log'!$B:$B,A1192,'Issuance Log'!$G:$G,$B$4),IF(('Issuance Log'!$B:$B=A1192)*('Issuance Log'!$G:$G=$B$4),'Issuance Log'!$D:$D),0)),"-")</f>
        <v>-</v>
      </c>
    </row>
    <row r="1193" spans="1:5" x14ac:dyDescent="0.25">
      <c r="A1193" s="2" t="s">
        <v>2324</v>
      </c>
      <c r="B1193" s="2" t="s">
        <v>2325</v>
      </c>
      <c r="C1193" s="3">
        <f>IFERROR(SUMIFS('Issuance Log'!$D:$D,'Issuance Log'!$B:$B,A1193,'Issuance Log'!$G:$G,$B$4),0)</f>
        <v>0</v>
      </c>
      <c r="D1193" s="3">
        <f>IFERROR(COUNTIFS('Issuance Log'!$B:$B,A1193,'Issuance Log'!$G:$G,$B$4),0)</f>
        <v>0</v>
      </c>
      <c r="E1193" s="3" t="str">
        <f ca="1">IFERROR(INDEX('Issuance Log'!$E:$E,MATCH(MAXIFS('Issuance Log'!$D:$D,'Issuance Log'!$B:$B,A1193,'Issuance Log'!$G:$G,$B$4),IF(('Issuance Log'!$B:$B=A1193)*('Issuance Log'!$G:$G=$B$4),'Issuance Log'!$D:$D),0)),"-")</f>
        <v>-</v>
      </c>
    </row>
    <row r="1194" spans="1:5" x14ac:dyDescent="0.25">
      <c r="A1194" s="4" t="s">
        <v>2326</v>
      </c>
      <c r="B1194" s="4" t="s">
        <v>2327</v>
      </c>
      <c r="C1194" s="5">
        <f>IFERROR(SUMIFS('Issuance Log'!$D:$D,'Issuance Log'!$B:$B,A1194,'Issuance Log'!$G:$G,$B$4),0)</f>
        <v>0</v>
      </c>
      <c r="D1194" s="5">
        <f>IFERROR(COUNTIFS('Issuance Log'!$B:$B,A1194,'Issuance Log'!$G:$G,$B$4),0)</f>
        <v>0</v>
      </c>
      <c r="E1194" s="5" t="str">
        <f ca="1">IFERROR(INDEX('Issuance Log'!$E:$E,MATCH(MAXIFS('Issuance Log'!$D:$D,'Issuance Log'!$B:$B,A1194,'Issuance Log'!$G:$G,$B$4),IF(('Issuance Log'!$B:$B=A1194)*('Issuance Log'!$G:$G=$B$4),'Issuance Log'!$D:$D),0)),"-")</f>
        <v>-</v>
      </c>
    </row>
    <row r="1195" spans="1:5" x14ac:dyDescent="0.25">
      <c r="A1195" s="2" t="s">
        <v>2328</v>
      </c>
      <c r="B1195" s="2" t="s">
        <v>2329</v>
      </c>
      <c r="C1195" s="3">
        <f>IFERROR(SUMIFS('Issuance Log'!$D:$D,'Issuance Log'!$B:$B,A1195,'Issuance Log'!$G:$G,$B$4),0)</f>
        <v>0</v>
      </c>
      <c r="D1195" s="3">
        <f>IFERROR(COUNTIFS('Issuance Log'!$B:$B,A1195,'Issuance Log'!$G:$G,$B$4),0)</f>
        <v>0</v>
      </c>
      <c r="E1195" s="3" t="str">
        <f ca="1">IFERROR(INDEX('Issuance Log'!$E:$E,MATCH(MAXIFS('Issuance Log'!$D:$D,'Issuance Log'!$B:$B,A1195,'Issuance Log'!$G:$G,$B$4),IF(('Issuance Log'!$B:$B=A1195)*('Issuance Log'!$G:$G=$B$4),'Issuance Log'!$D:$D),0)),"-")</f>
        <v>-</v>
      </c>
    </row>
    <row r="1196" spans="1:5" x14ac:dyDescent="0.25">
      <c r="A1196" s="4" t="s">
        <v>2330</v>
      </c>
      <c r="B1196" s="4" t="s">
        <v>2331</v>
      </c>
      <c r="C1196" s="5">
        <f>IFERROR(SUMIFS('Issuance Log'!$D:$D,'Issuance Log'!$B:$B,A1196,'Issuance Log'!$G:$G,$B$4),0)</f>
        <v>0</v>
      </c>
      <c r="D1196" s="5">
        <f>IFERROR(COUNTIFS('Issuance Log'!$B:$B,A1196,'Issuance Log'!$G:$G,$B$4),0)</f>
        <v>0</v>
      </c>
      <c r="E1196" s="5" t="str">
        <f ca="1">IFERROR(INDEX('Issuance Log'!$E:$E,MATCH(MAXIFS('Issuance Log'!$D:$D,'Issuance Log'!$B:$B,A1196,'Issuance Log'!$G:$G,$B$4),IF(('Issuance Log'!$B:$B=A1196)*('Issuance Log'!$G:$G=$B$4),'Issuance Log'!$D:$D),0)),"-")</f>
        <v>-</v>
      </c>
    </row>
    <row r="1197" spans="1:5" x14ac:dyDescent="0.25">
      <c r="A1197" s="2" t="s">
        <v>2332</v>
      </c>
      <c r="B1197" s="2" t="s">
        <v>2333</v>
      </c>
      <c r="C1197" s="3">
        <f>IFERROR(SUMIFS('Issuance Log'!$D:$D,'Issuance Log'!$B:$B,A1197,'Issuance Log'!$G:$G,$B$4),0)</f>
        <v>0</v>
      </c>
      <c r="D1197" s="3">
        <f>IFERROR(COUNTIFS('Issuance Log'!$B:$B,A1197,'Issuance Log'!$G:$G,$B$4),0)</f>
        <v>0</v>
      </c>
      <c r="E1197" s="3" t="str">
        <f ca="1">IFERROR(INDEX('Issuance Log'!$E:$E,MATCH(MAXIFS('Issuance Log'!$D:$D,'Issuance Log'!$B:$B,A1197,'Issuance Log'!$G:$G,$B$4),IF(('Issuance Log'!$B:$B=A1197)*('Issuance Log'!$G:$G=$B$4),'Issuance Log'!$D:$D),0)),"-")</f>
        <v>-</v>
      </c>
    </row>
    <row r="1198" spans="1:5" x14ac:dyDescent="0.25">
      <c r="A1198" s="4" t="s">
        <v>2334</v>
      </c>
      <c r="B1198" s="4" t="s">
        <v>2335</v>
      </c>
      <c r="C1198" s="5">
        <f>IFERROR(SUMIFS('Issuance Log'!$D:$D,'Issuance Log'!$B:$B,A1198,'Issuance Log'!$G:$G,$B$4),0)</f>
        <v>0</v>
      </c>
      <c r="D1198" s="5">
        <f>IFERROR(COUNTIFS('Issuance Log'!$B:$B,A1198,'Issuance Log'!$G:$G,$B$4),0)</f>
        <v>0</v>
      </c>
      <c r="E1198" s="5" t="str">
        <f ca="1">IFERROR(INDEX('Issuance Log'!$E:$E,MATCH(MAXIFS('Issuance Log'!$D:$D,'Issuance Log'!$B:$B,A1198,'Issuance Log'!$G:$G,$B$4),IF(('Issuance Log'!$B:$B=A1198)*('Issuance Log'!$G:$G=$B$4),'Issuance Log'!$D:$D),0)),"-")</f>
        <v>-</v>
      </c>
    </row>
    <row r="1199" spans="1:5" x14ac:dyDescent="0.25">
      <c r="A1199" s="2" t="s">
        <v>2336</v>
      </c>
      <c r="B1199" s="2" t="s">
        <v>2337</v>
      </c>
      <c r="C1199" s="3">
        <f>IFERROR(SUMIFS('Issuance Log'!$D:$D,'Issuance Log'!$B:$B,A1199,'Issuance Log'!$G:$G,$B$4),0)</f>
        <v>0</v>
      </c>
      <c r="D1199" s="3">
        <f>IFERROR(COUNTIFS('Issuance Log'!$B:$B,A1199,'Issuance Log'!$G:$G,$B$4),0)</f>
        <v>0</v>
      </c>
      <c r="E1199" s="3" t="str">
        <f ca="1">IFERROR(INDEX('Issuance Log'!$E:$E,MATCH(MAXIFS('Issuance Log'!$D:$D,'Issuance Log'!$B:$B,A1199,'Issuance Log'!$G:$G,$B$4),IF(('Issuance Log'!$B:$B=A1199)*('Issuance Log'!$G:$G=$B$4),'Issuance Log'!$D:$D),0)),"-")</f>
        <v>-</v>
      </c>
    </row>
    <row r="1200" spans="1:5" x14ac:dyDescent="0.25">
      <c r="A1200" s="4" t="s">
        <v>2338</v>
      </c>
      <c r="B1200" s="4" t="s">
        <v>2339</v>
      </c>
      <c r="C1200" s="5">
        <f>IFERROR(SUMIFS('Issuance Log'!$D:$D,'Issuance Log'!$B:$B,A1200,'Issuance Log'!$G:$G,$B$4),0)</f>
        <v>0</v>
      </c>
      <c r="D1200" s="5">
        <f>IFERROR(COUNTIFS('Issuance Log'!$B:$B,A1200,'Issuance Log'!$G:$G,$B$4),0)</f>
        <v>0</v>
      </c>
      <c r="E1200" s="5" t="str">
        <f ca="1">IFERROR(INDEX('Issuance Log'!$E:$E,MATCH(MAXIFS('Issuance Log'!$D:$D,'Issuance Log'!$B:$B,A1200,'Issuance Log'!$G:$G,$B$4),IF(('Issuance Log'!$B:$B=A1200)*('Issuance Log'!$G:$G=$B$4),'Issuance Log'!$D:$D),0)),"-")</f>
        <v>-</v>
      </c>
    </row>
    <row r="1201" spans="1:5" x14ac:dyDescent="0.25">
      <c r="A1201" s="2" t="s">
        <v>2340</v>
      </c>
      <c r="B1201" s="2" t="s">
        <v>2341</v>
      </c>
      <c r="C1201" s="3">
        <f>IFERROR(SUMIFS('Issuance Log'!$D:$D,'Issuance Log'!$B:$B,A1201,'Issuance Log'!$G:$G,$B$4),0)</f>
        <v>0</v>
      </c>
      <c r="D1201" s="3">
        <f>IFERROR(COUNTIFS('Issuance Log'!$B:$B,A1201,'Issuance Log'!$G:$G,$B$4),0)</f>
        <v>0</v>
      </c>
      <c r="E1201" s="3" t="str">
        <f ca="1">IFERROR(INDEX('Issuance Log'!$E:$E,MATCH(MAXIFS('Issuance Log'!$D:$D,'Issuance Log'!$B:$B,A1201,'Issuance Log'!$G:$G,$B$4),IF(('Issuance Log'!$B:$B=A1201)*('Issuance Log'!$G:$G=$B$4),'Issuance Log'!$D:$D),0)),"-")</f>
        <v>-</v>
      </c>
    </row>
    <row r="1202" spans="1:5" x14ac:dyDescent="0.25">
      <c r="A1202" s="4" t="s">
        <v>2342</v>
      </c>
      <c r="B1202" s="4" t="s">
        <v>2343</v>
      </c>
      <c r="C1202" s="5">
        <f>IFERROR(SUMIFS('Issuance Log'!$D:$D,'Issuance Log'!$B:$B,A1202,'Issuance Log'!$G:$G,$B$4),0)</f>
        <v>0</v>
      </c>
      <c r="D1202" s="5">
        <f>IFERROR(COUNTIFS('Issuance Log'!$B:$B,A1202,'Issuance Log'!$G:$G,$B$4),0)</f>
        <v>0</v>
      </c>
      <c r="E1202" s="5" t="str">
        <f ca="1">IFERROR(INDEX('Issuance Log'!$E:$E,MATCH(MAXIFS('Issuance Log'!$D:$D,'Issuance Log'!$B:$B,A1202,'Issuance Log'!$G:$G,$B$4),IF(('Issuance Log'!$B:$B=A1202)*('Issuance Log'!$G:$G=$B$4),'Issuance Log'!$D:$D),0)),"-")</f>
        <v>-</v>
      </c>
    </row>
    <row r="1203" spans="1:5" x14ac:dyDescent="0.25">
      <c r="A1203" s="2" t="s">
        <v>2344</v>
      </c>
      <c r="B1203" s="2" t="s">
        <v>2345</v>
      </c>
      <c r="C1203" s="3">
        <f>IFERROR(SUMIFS('Issuance Log'!$D:$D,'Issuance Log'!$B:$B,A1203,'Issuance Log'!$G:$G,$B$4),0)</f>
        <v>0</v>
      </c>
      <c r="D1203" s="3">
        <f>IFERROR(COUNTIFS('Issuance Log'!$B:$B,A1203,'Issuance Log'!$G:$G,$B$4),0)</f>
        <v>0</v>
      </c>
      <c r="E1203" s="3" t="str">
        <f ca="1">IFERROR(INDEX('Issuance Log'!$E:$E,MATCH(MAXIFS('Issuance Log'!$D:$D,'Issuance Log'!$B:$B,A1203,'Issuance Log'!$G:$G,$B$4),IF(('Issuance Log'!$B:$B=A1203)*('Issuance Log'!$G:$G=$B$4),'Issuance Log'!$D:$D),0)),"-")</f>
        <v>-</v>
      </c>
    </row>
    <row r="1204" spans="1:5" x14ac:dyDescent="0.25">
      <c r="A1204" s="4" t="s">
        <v>2346</v>
      </c>
      <c r="B1204" s="4" t="s">
        <v>2347</v>
      </c>
      <c r="C1204" s="5">
        <f>IFERROR(SUMIFS('Issuance Log'!$D:$D,'Issuance Log'!$B:$B,A1204,'Issuance Log'!$G:$G,$B$4),0)</f>
        <v>0</v>
      </c>
      <c r="D1204" s="5">
        <f>IFERROR(COUNTIFS('Issuance Log'!$B:$B,A1204,'Issuance Log'!$G:$G,$B$4),0)</f>
        <v>0</v>
      </c>
      <c r="E1204" s="5" t="str">
        <f ca="1">IFERROR(INDEX('Issuance Log'!$E:$E,MATCH(MAXIFS('Issuance Log'!$D:$D,'Issuance Log'!$B:$B,A1204,'Issuance Log'!$G:$G,$B$4),IF(('Issuance Log'!$B:$B=A1204)*('Issuance Log'!$G:$G=$B$4),'Issuance Log'!$D:$D),0)),"-")</f>
        <v>-</v>
      </c>
    </row>
    <row r="1205" spans="1:5" x14ac:dyDescent="0.25">
      <c r="A1205" s="2" t="s">
        <v>2348</v>
      </c>
      <c r="B1205" s="2" t="s">
        <v>2349</v>
      </c>
      <c r="C1205" s="3">
        <f>IFERROR(SUMIFS('Issuance Log'!$D:$D,'Issuance Log'!$B:$B,A1205,'Issuance Log'!$G:$G,$B$4),0)</f>
        <v>0</v>
      </c>
      <c r="D1205" s="3">
        <f>IFERROR(COUNTIFS('Issuance Log'!$B:$B,A1205,'Issuance Log'!$G:$G,$B$4),0)</f>
        <v>0</v>
      </c>
      <c r="E1205" s="3" t="str">
        <f ca="1">IFERROR(INDEX('Issuance Log'!$E:$E,MATCH(MAXIFS('Issuance Log'!$D:$D,'Issuance Log'!$B:$B,A1205,'Issuance Log'!$G:$G,$B$4),IF(('Issuance Log'!$B:$B=A1205)*('Issuance Log'!$G:$G=$B$4),'Issuance Log'!$D:$D),0)),"-")</f>
        <v>-</v>
      </c>
    </row>
    <row r="1206" spans="1:5" x14ac:dyDescent="0.25">
      <c r="A1206" s="4" t="s">
        <v>2350</v>
      </c>
      <c r="B1206" s="4" t="s">
        <v>2351</v>
      </c>
      <c r="C1206" s="5">
        <f>IFERROR(SUMIFS('Issuance Log'!$D:$D,'Issuance Log'!$B:$B,A1206,'Issuance Log'!$G:$G,$B$4),0)</f>
        <v>0</v>
      </c>
      <c r="D1206" s="5">
        <f>IFERROR(COUNTIFS('Issuance Log'!$B:$B,A1206,'Issuance Log'!$G:$G,$B$4),0)</f>
        <v>0</v>
      </c>
      <c r="E1206" s="5" t="str">
        <f ca="1">IFERROR(INDEX('Issuance Log'!$E:$E,MATCH(MAXIFS('Issuance Log'!$D:$D,'Issuance Log'!$B:$B,A1206,'Issuance Log'!$G:$G,$B$4),IF(('Issuance Log'!$B:$B=A1206)*('Issuance Log'!$G:$G=$B$4),'Issuance Log'!$D:$D),0)),"-")</f>
        <v>-</v>
      </c>
    </row>
    <row r="1207" spans="1:5" x14ac:dyDescent="0.25">
      <c r="A1207" s="2" t="s">
        <v>2352</v>
      </c>
      <c r="B1207" s="2" t="s">
        <v>2353</v>
      </c>
      <c r="C1207" s="3">
        <f>IFERROR(SUMIFS('Issuance Log'!$D:$D,'Issuance Log'!$B:$B,A1207,'Issuance Log'!$G:$G,$B$4),0)</f>
        <v>0</v>
      </c>
      <c r="D1207" s="3">
        <f>IFERROR(COUNTIFS('Issuance Log'!$B:$B,A1207,'Issuance Log'!$G:$G,$B$4),0)</f>
        <v>0</v>
      </c>
      <c r="E1207" s="3" t="str">
        <f ca="1">IFERROR(INDEX('Issuance Log'!$E:$E,MATCH(MAXIFS('Issuance Log'!$D:$D,'Issuance Log'!$B:$B,A1207,'Issuance Log'!$G:$G,$B$4),IF(('Issuance Log'!$B:$B=A1207)*('Issuance Log'!$G:$G=$B$4),'Issuance Log'!$D:$D),0)),"-")</f>
        <v>-</v>
      </c>
    </row>
    <row r="1208" spans="1:5" x14ac:dyDescent="0.25">
      <c r="A1208" s="4" t="s">
        <v>2354</v>
      </c>
      <c r="B1208" s="4" t="s">
        <v>2355</v>
      </c>
      <c r="C1208" s="5">
        <f>IFERROR(SUMIFS('Issuance Log'!$D:$D,'Issuance Log'!$B:$B,A1208,'Issuance Log'!$G:$G,$B$4),0)</f>
        <v>0</v>
      </c>
      <c r="D1208" s="5">
        <f>IFERROR(COUNTIFS('Issuance Log'!$B:$B,A1208,'Issuance Log'!$G:$G,$B$4),0)</f>
        <v>0</v>
      </c>
      <c r="E1208" s="5" t="str">
        <f ca="1">IFERROR(INDEX('Issuance Log'!$E:$E,MATCH(MAXIFS('Issuance Log'!$D:$D,'Issuance Log'!$B:$B,A1208,'Issuance Log'!$G:$G,$B$4),IF(('Issuance Log'!$B:$B=A1208)*('Issuance Log'!$G:$G=$B$4),'Issuance Log'!$D:$D),0)),"-")</f>
        <v>-</v>
      </c>
    </row>
    <row r="1209" spans="1:5" x14ac:dyDescent="0.25">
      <c r="A1209" s="2" t="s">
        <v>2356</v>
      </c>
      <c r="B1209" s="2" t="s">
        <v>2357</v>
      </c>
      <c r="C1209" s="3">
        <f>IFERROR(SUMIFS('Issuance Log'!$D:$D,'Issuance Log'!$B:$B,A1209,'Issuance Log'!$G:$G,$B$4),0)</f>
        <v>0</v>
      </c>
      <c r="D1209" s="3">
        <f>IFERROR(COUNTIFS('Issuance Log'!$B:$B,A1209,'Issuance Log'!$G:$G,$B$4),0)</f>
        <v>0</v>
      </c>
      <c r="E1209" s="3" t="str">
        <f ca="1">IFERROR(INDEX('Issuance Log'!$E:$E,MATCH(MAXIFS('Issuance Log'!$D:$D,'Issuance Log'!$B:$B,A1209,'Issuance Log'!$G:$G,$B$4),IF(('Issuance Log'!$B:$B=A1209)*('Issuance Log'!$G:$G=$B$4),'Issuance Log'!$D:$D),0)),"-")</f>
        <v>-</v>
      </c>
    </row>
    <row r="1210" spans="1:5" x14ac:dyDescent="0.25">
      <c r="A1210" s="4" t="s">
        <v>2358</v>
      </c>
      <c r="B1210" s="4" t="s">
        <v>2359</v>
      </c>
      <c r="C1210" s="5">
        <f>IFERROR(SUMIFS('Issuance Log'!$D:$D,'Issuance Log'!$B:$B,A1210,'Issuance Log'!$G:$G,$B$4),0)</f>
        <v>0</v>
      </c>
      <c r="D1210" s="5">
        <f>IFERROR(COUNTIFS('Issuance Log'!$B:$B,A1210,'Issuance Log'!$G:$G,$B$4),0)</f>
        <v>0</v>
      </c>
      <c r="E1210" s="5" t="str">
        <f ca="1">IFERROR(INDEX('Issuance Log'!$E:$E,MATCH(MAXIFS('Issuance Log'!$D:$D,'Issuance Log'!$B:$B,A1210,'Issuance Log'!$G:$G,$B$4),IF(('Issuance Log'!$B:$B=A1210)*('Issuance Log'!$G:$G=$B$4),'Issuance Log'!$D:$D),0)),"-")</f>
        <v>-</v>
      </c>
    </row>
    <row r="1211" spans="1:5" x14ac:dyDescent="0.25">
      <c r="A1211" s="2" t="s">
        <v>2360</v>
      </c>
      <c r="B1211" s="2" t="s">
        <v>2361</v>
      </c>
      <c r="C1211" s="3">
        <f>IFERROR(SUMIFS('Issuance Log'!$D:$D,'Issuance Log'!$B:$B,A1211,'Issuance Log'!$G:$G,$B$4),0)</f>
        <v>0</v>
      </c>
      <c r="D1211" s="3">
        <f>IFERROR(COUNTIFS('Issuance Log'!$B:$B,A1211,'Issuance Log'!$G:$G,$B$4),0)</f>
        <v>0</v>
      </c>
      <c r="E1211" s="3" t="str">
        <f ca="1">IFERROR(INDEX('Issuance Log'!$E:$E,MATCH(MAXIFS('Issuance Log'!$D:$D,'Issuance Log'!$B:$B,A1211,'Issuance Log'!$G:$G,$B$4),IF(('Issuance Log'!$B:$B=A1211)*('Issuance Log'!$G:$G=$B$4),'Issuance Log'!$D:$D),0)),"-")</f>
        <v>-</v>
      </c>
    </row>
    <row r="1212" spans="1:5" x14ac:dyDescent="0.25">
      <c r="A1212" s="4" t="s">
        <v>2362</v>
      </c>
      <c r="B1212" s="4" t="s">
        <v>2363</v>
      </c>
      <c r="C1212" s="5">
        <f>IFERROR(SUMIFS('Issuance Log'!$D:$D,'Issuance Log'!$B:$B,A1212,'Issuance Log'!$G:$G,$B$4),0)</f>
        <v>0</v>
      </c>
      <c r="D1212" s="5">
        <f>IFERROR(COUNTIFS('Issuance Log'!$B:$B,A1212,'Issuance Log'!$G:$G,$B$4),0)</f>
        <v>0</v>
      </c>
      <c r="E1212" s="5" t="str">
        <f ca="1">IFERROR(INDEX('Issuance Log'!$E:$E,MATCH(MAXIFS('Issuance Log'!$D:$D,'Issuance Log'!$B:$B,A1212,'Issuance Log'!$G:$G,$B$4),IF(('Issuance Log'!$B:$B=A1212)*('Issuance Log'!$G:$G=$B$4),'Issuance Log'!$D:$D),0)),"-")</f>
        <v>-</v>
      </c>
    </row>
    <row r="1213" spans="1:5" x14ac:dyDescent="0.25">
      <c r="A1213" s="2" t="s">
        <v>2364</v>
      </c>
      <c r="B1213" s="2" t="s">
        <v>2365</v>
      </c>
      <c r="C1213" s="3">
        <f>IFERROR(SUMIFS('Issuance Log'!$D:$D,'Issuance Log'!$B:$B,A1213,'Issuance Log'!$G:$G,$B$4),0)</f>
        <v>0</v>
      </c>
      <c r="D1213" s="3">
        <f>IFERROR(COUNTIFS('Issuance Log'!$B:$B,A1213,'Issuance Log'!$G:$G,$B$4),0)</f>
        <v>0</v>
      </c>
      <c r="E1213" s="3" t="str">
        <f ca="1">IFERROR(INDEX('Issuance Log'!$E:$E,MATCH(MAXIFS('Issuance Log'!$D:$D,'Issuance Log'!$B:$B,A1213,'Issuance Log'!$G:$G,$B$4),IF(('Issuance Log'!$B:$B=A1213)*('Issuance Log'!$G:$G=$B$4),'Issuance Log'!$D:$D),0)),"-")</f>
        <v>-</v>
      </c>
    </row>
    <row r="1214" spans="1:5" x14ac:dyDescent="0.25">
      <c r="A1214" s="4" t="s">
        <v>2366</v>
      </c>
      <c r="B1214" s="4" t="s">
        <v>2367</v>
      </c>
      <c r="C1214" s="5">
        <f>IFERROR(SUMIFS('Issuance Log'!$D:$D,'Issuance Log'!$B:$B,A1214,'Issuance Log'!$G:$G,$B$4),0)</f>
        <v>0</v>
      </c>
      <c r="D1214" s="5">
        <f>IFERROR(COUNTIFS('Issuance Log'!$B:$B,A1214,'Issuance Log'!$G:$G,$B$4),0)</f>
        <v>0</v>
      </c>
      <c r="E1214" s="5" t="str">
        <f ca="1">IFERROR(INDEX('Issuance Log'!$E:$E,MATCH(MAXIFS('Issuance Log'!$D:$D,'Issuance Log'!$B:$B,A1214,'Issuance Log'!$G:$G,$B$4),IF(('Issuance Log'!$B:$B=A1214)*('Issuance Log'!$G:$G=$B$4),'Issuance Log'!$D:$D),0)),"-")</f>
        <v>-</v>
      </c>
    </row>
    <row r="1215" spans="1:5" x14ac:dyDescent="0.25">
      <c r="A1215" s="2" t="s">
        <v>2368</v>
      </c>
      <c r="B1215" s="2" t="s">
        <v>2369</v>
      </c>
      <c r="C1215" s="3">
        <f>IFERROR(SUMIFS('Issuance Log'!$D:$D,'Issuance Log'!$B:$B,A1215,'Issuance Log'!$G:$G,$B$4),0)</f>
        <v>0</v>
      </c>
      <c r="D1215" s="3">
        <f>IFERROR(COUNTIFS('Issuance Log'!$B:$B,A1215,'Issuance Log'!$G:$G,$B$4),0)</f>
        <v>0</v>
      </c>
      <c r="E1215" s="3" t="str">
        <f ca="1">IFERROR(INDEX('Issuance Log'!$E:$E,MATCH(MAXIFS('Issuance Log'!$D:$D,'Issuance Log'!$B:$B,A1215,'Issuance Log'!$G:$G,$B$4),IF(('Issuance Log'!$B:$B=A1215)*('Issuance Log'!$G:$G=$B$4),'Issuance Log'!$D:$D),0)),"-")</f>
        <v>-</v>
      </c>
    </row>
    <row r="1216" spans="1:5" x14ac:dyDescent="0.25">
      <c r="A1216" s="4" t="s">
        <v>2370</v>
      </c>
      <c r="B1216" s="4" t="s">
        <v>2371</v>
      </c>
      <c r="C1216" s="5">
        <f>IFERROR(SUMIFS('Issuance Log'!$D:$D,'Issuance Log'!$B:$B,A1216,'Issuance Log'!$G:$G,$B$4),0)</f>
        <v>0</v>
      </c>
      <c r="D1216" s="5">
        <f>IFERROR(COUNTIFS('Issuance Log'!$B:$B,A1216,'Issuance Log'!$G:$G,$B$4),0)</f>
        <v>0</v>
      </c>
      <c r="E1216" s="5" t="str">
        <f ca="1">IFERROR(INDEX('Issuance Log'!$E:$E,MATCH(MAXIFS('Issuance Log'!$D:$D,'Issuance Log'!$B:$B,A1216,'Issuance Log'!$G:$G,$B$4),IF(('Issuance Log'!$B:$B=A1216)*('Issuance Log'!$G:$G=$B$4),'Issuance Log'!$D:$D),0)),"-")</f>
        <v>-</v>
      </c>
    </row>
    <row r="1217" spans="1:5" x14ac:dyDescent="0.25">
      <c r="A1217" s="2" t="s">
        <v>2372</v>
      </c>
      <c r="B1217" s="2" t="s">
        <v>2373</v>
      </c>
      <c r="C1217" s="3">
        <f>IFERROR(SUMIFS('Issuance Log'!$D:$D,'Issuance Log'!$B:$B,A1217,'Issuance Log'!$G:$G,$B$4),0)</f>
        <v>0</v>
      </c>
      <c r="D1217" s="3">
        <f>IFERROR(COUNTIFS('Issuance Log'!$B:$B,A1217,'Issuance Log'!$G:$G,$B$4),0)</f>
        <v>0</v>
      </c>
      <c r="E1217" s="3" t="str">
        <f ca="1">IFERROR(INDEX('Issuance Log'!$E:$E,MATCH(MAXIFS('Issuance Log'!$D:$D,'Issuance Log'!$B:$B,A1217,'Issuance Log'!$G:$G,$B$4),IF(('Issuance Log'!$B:$B=A1217)*('Issuance Log'!$G:$G=$B$4),'Issuance Log'!$D:$D),0)),"-")</f>
        <v>-</v>
      </c>
    </row>
    <row r="1218" spans="1:5" x14ac:dyDescent="0.25">
      <c r="A1218" s="4" t="s">
        <v>2374</v>
      </c>
      <c r="B1218" s="4" t="s">
        <v>2375</v>
      </c>
      <c r="C1218" s="5">
        <f>IFERROR(SUMIFS('Issuance Log'!$D:$D,'Issuance Log'!$B:$B,A1218,'Issuance Log'!$G:$G,$B$4),0)</f>
        <v>0</v>
      </c>
      <c r="D1218" s="5">
        <f>IFERROR(COUNTIFS('Issuance Log'!$B:$B,A1218,'Issuance Log'!$G:$G,$B$4),0)</f>
        <v>0</v>
      </c>
      <c r="E1218" s="5" t="str">
        <f ca="1">IFERROR(INDEX('Issuance Log'!$E:$E,MATCH(MAXIFS('Issuance Log'!$D:$D,'Issuance Log'!$B:$B,A1218,'Issuance Log'!$G:$G,$B$4),IF(('Issuance Log'!$B:$B=A1218)*('Issuance Log'!$G:$G=$B$4),'Issuance Log'!$D:$D),0)),"-")</f>
        <v>-</v>
      </c>
    </row>
    <row r="1219" spans="1:5" x14ac:dyDescent="0.25">
      <c r="A1219" s="2" t="s">
        <v>2376</v>
      </c>
      <c r="B1219" s="2" t="s">
        <v>2377</v>
      </c>
      <c r="C1219" s="3">
        <f>IFERROR(SUMIFS('Issuance Log'!$D:$D,'Issuance Log'!$B:$B,A1219,'Issuance Log'!$G:$G,$B$4),0)</f>
        <v>0</v>
      </c>
      <c r="D1219" s="3">
        <f>IFERROR(COUNTIFS('Issuance Log'!$B:$B,A1219,'Issuance Log'!$G:$G,$B$4),0)</f>
        <v>0</v>
      </c>
      <c r="E1219" s="3" t="str">
        <f ca="1">IFERROR(INDEX('Issuance Log'!$E:$E,MATCH(MAXIFS('Issuance Log'!$D:$D,'Issuance Log'!$B:$B,A1219,'Issuance Log'!$G:$G,$B$4),IF(('Issuance Log'!$B:$B=A1219)*('Issuance Log'!$G:$G=$B$4),'Issuance Log'!$D:$D),0)),"-")</f>
        <v>-</v>
      </c>
    </row>
    <row r="1220" spans="1:5" x14ac:dyDescent="0.25">
      <c r="A1220" s="4" t="s">
        <v>2378</v>
      </c>
      <c r="B1220" s="4" t="s">
        <v>2379</v>
      </c>
      <c r="C1220" s="5">
        <f>IFERROR(SUMIFS('Issuance Log'!$D:$D,'Issuance Log'!$B:$B,A1220,'Issuance Log'!$G:$G,$B$4),0)</f>
        <v>0</v>
      </c>
      <c r="D1220" s="5">
        <f>IFERROR(COUNTIFS('Issuance Log'!$B:$B,A1220,'Issuance Log'!$G:$G,$B$4),0)</f>
        <v>0</v>
      </c>
      <c r="E1220" s="5" t="str">
        <f ca="1">IFERROR(INDEX('Issuance Log'!$E:$E,MATCH(MAXIFS('Issuance Log'!$D:$D,'Issuance Log'!$B:$B,A1220,'Issuance Log'!$G:$G,$B$4),IF(('Issuance Log'!$B:$B=A1220)*('Issuance Log'!$G:$G=$B$4),'Issuance Log'!$D:$D),0)),"-")</f>
        <v>-</v>
      </c>
    </row>
    <row r="1221" spans="1:5" x14ac:dyDescent="0.25">
      <c r="A1221" s="2" t="s">
        <v>2380</v>
      </c>
      <c r="B1221" s="2" t="s">
        <v>2381</v>
      </c>
      <c r="C1221" s="3">
        <f>IFERROR(SUMIFS('Issuance Log'!$D:$D,'Issuance Log'!$B:$B,A1221,'Issuance Log'!$G:$G,$B$4),0)</f>
        <v>0</v>
      </c>
      <c r="D1221" s="3">
        <f>IFERROR(COUNTIFS('Issuance Log'!$B:$B,A1221,'Issuance Log'!$G:$G,$B$4),0)</f>
        <v>0</v>
      </c>
      <c r="E1221" s="3" t="str">
        <f ca="1">IFERROR(INDEX('Issuance Log'!$E:$E,MATCH(MAXIFS('Issuance Log'!$D:$D,'Issuance Log'!$B:$B,A1221,'Issuance Log'!$G:$G,$B$4),IF(('Issuance Log'!$B:$B=A1221)*('Issuance Log'!$G:$G=$B$4),'Issuance Log'!$D:$D),0)),"-")</f>
        <v>-</v>
      </c>
    </row>
    <row r="1222" spans="1:5" x14ac:dyDescent="0.25">
      <c r="A1222" s="4" t="s">
        <v>2382</v>
      </c>
      <c r="B1222" s="4" t="s">
        <v>2383</v>
      </c>
      <c r="C1222" s="5">
        <f>IFERROR(SUMIFS('Issuance Log'!$D:$D,'Issuance Log'!$B:$B,A1222,'Issuance Log'!$G:$G,$B$4),0)</f>
        <v>0</v>
      </c>
      <c r="D1222" s="5">
        <f>IFERROR(COUNTIFS('Issuance Log'!$B:$B,A1222,'Issuance Log'!$G:$G,$B$4),0)</f>
        <v>0</v>
      </c>
      <c r="E1222" s="5" t="str">
        <f ca="1">IFERROR(INDEX('Issuance Log'!$E:$E,MATCH(MAXIFS('Issuance Log'!$D:$D,'Issuance Log'!$B:$B,A1222,'Issuance Log'!$G:$G,$B$4),IF(('Issuance Log'!$B:$B=A1222)*('Issuance Log'!$G:$G=$B$4),'Issuance Log'!$D:$D),0)),"-")</f>
        <v>-</v>
      </c>
    </row>
    <row r="1223" spans="1:5" x14ac:dyDescent="0.25">
      <c r="A1223" s="2" t="s">
        <v>2384</v>
      </c>
      <c r="B1223" s="2" t="s">
        <v>2385</v>
      </c>
      <c r="C1223" s="3">
        <f>IFERROR(SUMIFS('Issuance Log'!$D:$D,'Issuance Log'!$B:$B,A1223,'Issuance Log'!$G:$G,$B$4),0)</f>
        <v>0</v>
      </c>
      <c r="D1223" s="3">
        <f>IFERROR(COUNTIFS('Issuance Log'!$B:$B,A1223,'Issuance Log'!$G:$G,$B$4),0)</f>
        <v>0</v>
      </c>
      <c r="E1223" s="3" t="str">
        <f ca="1">IFERROR(INDEX('Issuance Log'!$E:$E,MATCH(MAXIFS('Issuance Log'!$D:$D,'Issuance Log'!$B:$B,A1223,'Issuance Log'!$G:$G,$B$4),IF(('Issuance Log'!$B:$B=A1223)*('Issuance Log'!$G:$G=$B$4),'Issuance Log'!$D:$D),0)),"-")</f>
        <v>-</v>
      </c>
    </row>
    <row r="1224" spans="1:5" x14ac:dyDescent="0.25">
      <c r="A1224" s="4" t="s">
        <v>2386</v>
      </c>
      <c r="B1224" s="4" t="s">
        <v>2387</v>
      </c>
      <c r="C1224" s="5">
        <f>IFERROR(SUMIFS('Issuance Log'!$D:$D,'Issuance Log'!$B:$B,A1224,'Issuance Log'!$G:$G,$B$4),0)</f>
        <v>0</v>
      </c>
      <c r="D1224" s="5">
        <f>IFERROR(COUNTIFS('Issuance Log'!$B:$B,A1224,'Issuance Log'!$G:$G,$B$4),0)</f>
        <v>0</v>
      </c>
      <c r="E1224" s="5" t="str">
        <f ca="1">IFERROR(INDEX('Issuance Log'!$E:$E,MATCH(MAXIFS('Issuance Log'!$D:$D,'Issuance Log'!$B:$B,A1224,'Issuance Log'!$G:$G,$B$4),IF(('Issuance Log'!$B:$B=A1224)*('Issuance Log'!$G:$G=$B$4),'Issuance Log'!$D:$D),0)),"-")</f>
        <v>-</v>
      </c>
    </row>
    <row r="1225" spans="1:5" x14ac:dyDescent="0.25">
      <c r="A1225" s="2" t="s">
        <v>2388</v>
      </c>
      <c r="B1225" s="2" t="s">
        <v>2389</v>
      </c>
      <c r="C1225" s="3">
        <f>IFERROR(SUMIFS('Issuance Log'!$D:$D,'Issuance Log'!$B:$B,A1225,'Issuance Log'!$G:$G,$B$4),0)</f>
        <v>0</v>
      </c>
      <c r="D1225" s="3">
        <f>IFERROR(COUNTIFS('Issuance Log'!$B:$B,A1225,'Issuance Log'!$G:$G,$B$4),0)</f>
        <v>0</v>
      </c>
      <c r="E1225" s="3" t="str">
        <f ca="1">IFERROR(INDEX('Issuance Log'!$E:$E,MATCH(MAXIFS('Issuance Log'!$D:$D,'Issuance Log'!$B:$B,A1225,'Issuance Log'!$G:$G,$B$4),IF(('Issuance Log'!$B:$B=A1225)*('Issuance Log'!$G:$G=$B$4),'Issuance Log'!$D:$D),0)),"-")</f>
        <v>-</v>
      </c>
    </row>
    <row r="1226" spans="1:5" x14ac:dyDescent="0.25">
      <c r="A1226" s="4" t="s">
        <v>2390</v>
      </c>
      <c r="B1226" s="4" t="s">
        <v>2391</v>
      </c>
      <c r="C1226" s="5">
        <f>IFERROR(SUMIFS('Issuance Log'!$D:$D,'Issuance Log'!$B:$B,A1226,'Issuance Log'!$G:$G,$B$4),0)</f>
        <v>0</v>
      </c>
      <c r="D1226" s="5">
        <f>IFERROR(COUNTIFS('Issuance Log'!$B:$B,A1226,'Issuance Log'!$G:$G,$B$4),0)</f>
        <v>0</v>
      </c>
      <c r="E1226" s="5" t="str">
        <f ca="1">IFERROR(INDEX('Issuance Log'!$E:$E,MATCH(MAXIFS('Issuance Log'!$D:$D,'Issuance Log'!$B:$B,A1226,'Issuance Log'!$G:$G,$B$4),IF(('Issuance Log'!$B:$B=A1226)*('Issuance Log'!$G:$G=$B$4),'Issuance Log'!$D:$D),0)),"-")</f>
        <v>-</v>
      </c>
    </row>
    <row r="1227" spans="1:5" x14ac:dyDescent="0.25">
      <c r="A1227" s="2" t="s">
        <v>2392</v>
      </c>
      <c r="B1227" s="2" t="s">
        <v>2393</v>
      </c>
      <c r="C1227" s="3">
        <f>IFERROR(SUMIFS('Issuance Log'!$D:$D,'Issuance Log'!$B:$B,A1227,'Issuance Log'!$G:$G,$B$4),0)</f>
        <v>0</v>
      </c>
      <c r="D1227" s="3">
        <f>IFERROR(COUNTIFS('Issuance Log'!$B:$B,A1227,'Issuance Log'!$G:$G,$B$4),0)</f>
        <v>0</v>
      </c>
      <c r="E1227" s="3" t="str">
        <f ca="1">IFERROR(INDEX('Issuance Log'!$E:$E,MATCH(MAXIFS('Issuance Log'!$D:$D,'Issuance Log'!$B:$B,A1227,'Issuance Log'!$G:$G,$B$4),IF(('Issuance Log'!$B:$B=A1227)*('Issuance Log'!$G:$G=$B$4),'Issuance Log'!$D:$D),0)),"-")</f>
        <v>-</v>
      </c>
    </row>
    <row r="1228" spans="1:5" x14ac:dyDescent="0.25">
      <c r="A1228" s="4" t="s">
        <v>2394</v>
      </c>
      <c r="B1228" s="4" t="s">
        <v>2395</v>
      </c>
      <c r="C1228" s="5">
        <f>IFERROR(SUMIFS('Issuance Log'!$D:$D,'Issuance Log'!$B:$B,A1228,'Issuance Log'!$G:$G,$B$4),0)</f>
        <v>0</v>
      </c>
      <c r="D1228" s="5">
        <f>IFERROR(COUNTIFS('Issuance Log'!$B:$B,A1228,'Issuance Log'!$G:$G,$B$4),0)</f>
        <v>0</v>
      </c>
      <c r="E1228" s="5" t="str">
        <f ca="1">IFERROR(INDEX('Issuance Log'!$E:$E,MATCH(MAXIFS('Issuance Log'!$D:$D,'Issuance Log'!$B:$B,A1228,'Issuance Log'!$G:$G,$B$4),IF(('Issuance Log'!$B:$B=A1228)*('Issuance Log'!$G:$G=$B$4),'Issuance Log'!$D:$D),0)),"-")</f>
        <v>-</v>
      </c>
    </row>
    <row r="1229" spans="1:5" x14ac:dyDescent="0.25">
      <c r="A1229" s="2" t="s">
        <v>2396</v>
      </c>
      <c r="B1229" s="2" t="s">
        <v>2397</v>
      </c>
      <c r="C1229" s="3">
        <f>IFERROR(SUMIFS('Issuance Log'!$D:$D,'Issuance Log'!$B:$B,A1229,'Issuance Log'!$G:$G,$B$4),0)</f>
        <v>0</v>
      </c>
      <c r="D1229" s="3">
        <f>IFERROR(COUNTIFS('Issuance Log'!$B:$B,A1229,'Issuance Log'!$G:$G,$B$4),0)</f>
        <v>0</v>
      </c>
      <c r="E1229" s="3" t="str">
        <f ca="1">IFERROR(INDEX('Issuance Log'!$E:$E,MATCH(MAXIFS('Issuance Log'!$D:$D,'Issuance Log'!$B:$B,A1229,'Issuance Log'!$G:$G,$B$4),IF(('Issuance Log'!$B:$B=A1229)*('Issuance Log'!$G:$G=$B$4),'Issuance Log'!$D:$D),0)),"-")</f>
        <v>-</v>
      </c>
    </row>
    <row r="1230" spans="1:5" x14ac:dyDescent="0.25">
      <c r="A1230" s="4" t="s">
        <v>2398</v>
      </c>
      <c r="B1230" s="4" t="s">
        <v>2399</v>
      </c>
      <c r="C1230" s="5">
        <f>IFERROR(SUMIFS('Issuance Log'!$D:$D,'Issuance Log'!$B:$B,A1230,'Issuance Log'!$G:$G,$B$4),0)</f>
        <v>0</v>
      </c>
      <c r="D1230" s="5">
        <f>IFERROR(COUNTIFS('Issuance Log'!$B:$B,A1230,'Issuance Log'!$G:$G,$B$4),0)</f>
        <v>0</v>
      </c>
      <c r="E1230" s="5" t="str">
        <f ca="1">IFERROR(INDEX('Issuance Log'!$E:$E,MATCH(MAXIFS('Issuance Log'!$D:$D,'Issuance Log'!$B:$B,A1230,'Issuance Log'!$G:$G,$B$4),IF(('Issuance Log'!$B:$B=A1230)*('Issuance Log'!$G:$G=$B$4),'Issuance Log'!$D:$D),0)),"-")</f>
        <v>-</v>
      </c>
    </row>
    <row r="1231" spans="1:5" x14ac:dyDescent="0.25">
      <c r="A1231" s="2" t="s">
        <v>2400</v>
      </c>
      <c r="B1231" s="2" t="s">
        <v>2401</v>
      </c>
      <c r="C1231" s="3">
        <f>IFERROR(SUMIFS('Issuance Log'!$D:$D,'Issuance Log'!$B:$B,A1231,'Issuance Log'!$G:$G,$B$4),0)</f>
        <v>0</v>
      </c>
      <c r="D1231" s="3">
        <f>IFERROR(COUNTIFS('Issuance Log'!$B:$B,A1231,'Issuance Log'!$G:$G,$B$4),0)</f>
        <v>0</v>
      </c>
      <c r="E1231" s="3" t="str">
        <f ca="1">IFERROR(INDEX('Issuance Log'!$E:$E,MATCH(MAXIFS('Issuance Log'!$D:$D,'Issuance Log'!$B:$B,A1231,'Issuance Log'!$G:$G,$B$4),IF(('Issuance Log'!$B:$B=A1231)*('Issuance Log'!$G:$G=$B$4),'Issuance Log'!$D:$D),0)),"-")</f>
        <v>-</v>
      </c>
    </row>
    <row r="1232" spans="1:5" x14ac:dyDescent="0.25">
      <c r="A1232" s="4" t="s">
        <v>2402</v>
      </c>
      <c r="B1232" s="4" t="s">
        <v>2403</v>
      </c>
      <c r="C1232" s="5">
        <f>IFERROR(SUMIFS('Issuance Log'!$D:$D,'Issuance Log'!$B:$B,A1232,'Issuance Log'!$G:$G,$B$4),0)</f>
        <v>0</v>
      </c>
      <c r="D1232" s="5">
        <f>IFERROR(COUNTIFS('Issuance Log'!$B:$B,A1232,'Issuance Log'!$G:$G,$B$4),0)</f>
        <v>0</v>
      </c>
      <c r="E1232" s="5" t="str">
        <f ca="1">IFERROR(INDEX('Issuance Log'!$E:$E,MATCH(MAXIFS('Issuance Log'!$D:$D,'Issuance Log'!$B:$B,A1232,'Issuance Log'!$G:$G,$B$4),IF(('Issuance Log'!$B:$B=A1232)*('Issuance Log'!$G:$G=$B$4),'Issuance Log'!$D:$D),0)),"-")</f>
        <v>-</v>
      </c>
    </row>
    <row r="1233" spans="1:5" x14ac:dyDescent="0.25">
      <c r="A1233" s="2" t="s">
        <v>2404</v>
      </c>
      <c r="B1233" s="2" t="s">
        <v>2405</v>
      </c>
      <c r="C1233" s="3">
        <f>IFERROR(SUMIFS('Issuance Log'!$D:$D,'Issuance Log'!$B:$B,A1233,'Issuance Log'!$G:$G,$B$4),0)</f>
        <v>0</v>
      </c>
      <c r="D1233" s="3">
        <f>IFERROR(COUNTIFS('Issuance Log'!$B:$B,A1233,'Issuance Log'!$G:$G,$B$4),0)</f>
        <v>0</v>
      </c>
      <c r="E1233" s="3" t="str">
        <f ca="1">IFERROR(INDEX('Issuance Log'!$E:$E,MATCH(MAXIFS('Issuance Log'!$D:$D,'Issuance Log'!$B:$B,A1233,'Issuance Log'!$G:$G,$B$4),IF(('Issuance Log'!$B:$B=A1233)*('Issuance Log'!$G:$G=$B$4),'Issuance Log'!$D:$D),0)),"-")</f>
        <v>-</v>
      </c>
    </row>
    <row r="1234" spans="1:5" x14ac:dyDescent="0.25">
      <c r="A1234" s="4" t="s">
        <v>2406</v>
      </c>
      <c r="B1234" s="4" t="s">
        <v>2407</v>
      </c>
      <c r="C1234" s="5">
        <f>IFERROR(SUMIFS('Issuance Log'!$D:$D,'Issuance Log'!$B:$B,A1234,'Issuance Log'!$G:$G,$B$4),0)</f>
        <v>0</v>
      </c>
      <c r="D1234" s="5">
        <f>IFERROR(COUNTIFS('Issuance Log'!$B:$B,A1234,'Issuance Log'!$G:$G,$B$4),0)</f>
        <v>0</v>
      </c>
      <c r="E1234" s="5" t="str">
        <f ca="1">IFERROR(INDEX('Issuance Log'!$E:$E,MATCH(MAXIFS('Issuance Log'!$D:$D,'Issuance Log'!$B:$B,A1234,'Issuance Log'!$G:$G,$B$4),IF(('Issuance Log'!$B:$B=A1234)*('Issuance Log'!$G:$G=$B$4),'Issuance Log'!$D:$D),0)),"-")</f>
        <v>-</v>
      </c>
    </row>
    <row r="1235" spans="1:5" x14ac:dyDescent="0.25">
      <c r="A1235" s="2" t="s">
        <v>2408</v>
      </c>
      <c r="B1235" s="2" t="s">
        <v>2409</v>
      </c>
      <c r="C1235" s="3">
        <f>IFERROR(SUMIFS('Issuance Log'!$D:$D,'Issuance Log'!$B:$B,A1235,'Issuance Log'!$G:$G,$B$4),0)</f>
        <v>0</v>
      </c>
      <c r="D1235" s="3">
        <f>IFERROR(COUNTIFS('Issuance Log'!$B:$B,A1235,'Issuance Log'!$G:$G,$B$4),0)</f>
        <v>0</v>
      </c>
      <c r="E1235" s="3" t="str">
        <f ca="1">IFERROR(INDEX('Issuance Log'!$E:$E,MATCH(MAXIFS('Issuance Log'!$D:$D,'Issuance Log'!$B:$B,A1235,'Issuance Log'!$G:$G,$B$4),IF(('Issuance Log'!$B:$B=A1235)*('Issuance Log'!$G:$G=$B$4),'Issuance Log'!$D:$D),0)),"-")</f>
        <v>-</v>
      </c>
    </row>
    <row r="1236" spans="1:5" x14ac:dyDescent="0.25">
      <c r="A1236" s="4" t="s">
        <v>2410</v>
      </c>
      <c r="B1236" s="4" t="s">
        <v>2411</v>
      </c>
      <c r="C1236" s="5">
        <f>IFERROR(SUMIFS('Issuance Log'!$D:$D,'Issuance Log'!$B:$B,A1236,'Issuance Log'!$G:$G,$B$4),0)</f>
        <v>0</v>
      </c>
      <c r="D1236" s="5">
        <f>IFERROR(COUNTIFS('Issuance Log'!$B:$B,A1236,'Issuance Log'!$G:$G,$B$4),0)</f>
        <v>0</v>
      </c>
      <c r="E1236" s="5" t="str">
        <f ca="1">IFERROR(INDEX('Issuance Log'!$E:$E,MATCH(MAXIFS('Issuance Log'!$D:$D,'Issuance Log'!$B:$B,A1236,'Issuance Log'!$G:$G,$B$4),IF(('Issuance Log'!$B:$B=A1236)*('Issuance Log'!$G:$G=$B$4),'Issuance Log'!$D:$D),0)),"-")</f>
        <v>-</v>
      </c>
    </row>
    <row r="1237" spans="1:5" x14ac:dyDescent="0.25">
      <c r="A1237" s="2" t="s">
        <v>2412</v>
      </c>
      <c r="B1237" s="2" t="s">
        <v>2413</v>
      </c>
      <c r="C1237" s="3">
        <f>IFERROR(SUMIFS('Issuance Log'!$D:$D,'Issuance Log'!$B:$B,A1237,'Issuance Log'!$G:$G,$B$4),0)</f>
        <v>0</v>
      </c>
      <c r="D1237" s="3">
        <f>IFERROR(COUNTIFS('Issuance Log'!$B:$B,A1237,'Issuance Log'!$G:$G,$B$4),0)</f>
        <v>0</v>
      </c>
      <c r="E1237" s="3" t="str">
        <f ca="1">IFERROR(INDEX('Issuance Log'!$E:$E,MATCH(MAXIFS('Issuance Log'!$D:$D,'Issuance Log'!$B:$B,A1237,'Issuance Log'!$G:$G,$B$4),IF(('Issuance Log'!$B:$B=A1237)*('Issuance Log'!$G:$G=$B$4),'Issuance Log'!$D:$D),0)),"-")</f>
        <v>-</v>
      </c>
    </row>
    <row r="1238" spans="1:5" x14ac:dyDescent="0.25">
      <c r="A1238" s="4" t="s">
        <v>2414</v>
      </c>
      <c r="B1238" s="4" t="s">
        <v>2415</v>
      </c>
      <c r="C1238" s="5">
        <f>IFERROR(SUMIFS('Issuance Log'!$D:$D,'Issuance Log'!$B:$B,A1238,'Issuance Log'!$G:$G,$B$4),0)</f>
        <v>0</v>
      </c>
      <c r="D1238" s="5">
        <f>IFERROR(COUNTIFS('Issuance Log'!$B:$B,A1238,'Issuance Log'!$G:$G,$B$4),0)</f>
        <v>0</v>
      </c>
      <c r="E1238" s="5" t="str">
        <f ca="1">IFERROR(INDEX('Issuance Log'!$E:$E,MATCH(MAXIFS('Issuance Log'!$D:$D,'Issuance Log'!$B:$B,A1238,'Issuance Log'!$G:$G,$B$4),IF(('Issuance Log'!$B:$B=A1238)*('Issuance Log'!$G:$G=$B$4),'Issuance Log'!$D:$D),0)),"-")</f>
        <v>-</v>
      </c>
    </row>
    <row r="1239" spans="1:5" x14ac:dyDescent="0.25">
      <c r="A1239" s="2" t="s">
        <v>2416</v>
      </c>
      <c r="B1239" s="2" t="s">
        <v>2417</v>
      </c>
      <c r="C1239" s="3">
        <f>IFERROR(SUMIFS('Issuance Log'!$D:$D,'Issuance Log'!$B:$B,A1239,'Issuance Log'!$G:$G,$B$4),0)</f>
        <v>0</v>
      </c>
      <c r="D1239" s="3">
        <f>IFERROR(COUNTIFS('Issuance Log'!$B:$B,A1239,'Issuance Log'!$G:$G,$B$4),0)</f>
        <v>0</v>
      </c>
      <c r="E1239" s="3" t="str">
        <f ca="1">IFERROR(INDEX('Issuance Log'!$E:$E,MATCH(MAXIFS('Issuance Log'!$D:$D,'Issuance Log'!$B:$B,A1239,'Issuance Log'!$G:$G,$B$4),IF(('Issuance Log'!$B:$B=A1239)*('Issuance Log'!$G:$G=$B$4),'Issuance Log'!$D:$D),0)),"-")</f>
        <v>-</v>
      </c>
    </row>
    <row r="1240" spans="1:5" x14ac:dyDescent="0.25">
      <c r="A1240" s="4" t="s">
        <v>2418</v>
      </c>
      <c r="B1240" s="4" t="s">
        <v>2419</v>
      </c>
      <c r="C1240" s="5">
        <f>IFERROR(SUMIFS('Issuance Log'!$D:$D,'Issuance Log'!$B:$B,A1240,'Issuance Log'!$G:$G,$B$4),0)</f>
        <v>0</v>
      </c>
      <c r="D1240" s="5">
        <f>IFERROR(COUNTIFS('Issuance Log'!$B:$B,A1240,'Issuance Log'!$G:$G,$B$4),0)</f>
        <v>0</v>
      </c>
      <c r="E1240" s="5" t="str">
        <f ca="1">IFERROR(INDEX('Issuance Log'!$E:$E,MATCH(MAXIFS('Issuance Log'!$D:$D,'Issuance Log'!$B:$B,A1240,'Issuance Log'!$G:$G,$B$4),IF(('Issuance Log'!$B:$B=A1240)*('Issuance Log'!$G:$G=$B$4),'Issuance Log'!$D:$D),0)),"-")</f>
        <v>-</v>
      </c>
    </row>
    <row r="1241" spans="1:5" x14ac:dyDescent="0.25">
      <c r="A1241" s="2" t="s">
        <v>2420</v>
      </c>
      <c r="B1241" s="2" t="s">
        <v>2421</v>
      </c>
      <c r="C1241" s="3">
        <f>IFERROR(SUMIFS('Issuance Log'!$D:$D,'Issuance Log'!$B:$B,A1241,'Issuance Log'!$G:$G,$B$4),0)</f>
        <v>0</v>
      </c>
      <c r="D1241" s="3">
        <f>IFERROR(COUNTIFS('Issuance Log'!$B:$B,A1241,'Issuance Log'!$G:$G,$B$4),0)</f>
        <v>0</v>
      </c>
      <c r="E1241" s="3" t="str">
        <f ca="1">IFERROR(INDEX('Issuance Log'!$E:$E,MATCH(MAXIFS('Issuance Log'!$D:$D,'Issuance Log'!$B:$B,A1241,'Issuance Log'!$G:$G,$B$4),IF(('Issuance Log'!$B:$B=A1241)*('Issuance Log'!$G:$G=$B$4),'Issuance Log'!$D:$D),0)),"-")</f>
        <v>-</v>
      </c>
    </row>
    <row r="1242" spans="1:5" x14ac:dyDescent="0.25">
      <c r="A1242" s="4" t="s">
        <v>2422</v>
      </c>
      <c r="B1242" s="4" t="s">
        <v>2423</v>
      </c>
      <c r="C1242" s="5">
        <f>IFERROR(SUMIFS('Issuance Log'!$D:$D,'Issuance Log'!$B:$B,A1242,'Issuance Log'!$G:$G,$B$4),0)</f>
        <v>0</v>
      </c>
      <c r="D1242" s="5">
        <f>IFERROR(COUNTIFS('Issuance Log'!$B:$B,A1242,'Issuance Log'!$G:$G,$B$4),0)</f>
        <v>0</v>
      </c>
      <c r="E1242" s="5" t="str">
        <f ca="1">IFERROR(INDEX('Issuance Log'!$E:$E,MATCH(MAXIFS('Issuance Log'!$D:$D,'Issuance Log'!$B:$B,A1242,'Issuance Log'!$G:$G,$B$4),IF(('Issuance Log'!$B:$B=A1242)*('Issuance Log'!$G:$G=$B$4),'Issuance Log'!$D:$D),0)),"-")</f>
        <v>-</v>
      </c>
    </row>
    <row r="1243" spans="1:5" x14ac:dyDescent="0.25">
      <c r="A1243" s="2" t="s">
        <v>2424</v>
      </c>
      <c r="B1243" s="2" t="s">
        <v>2425</v>
      </c>
      <c r="C1243" s="3">
        <f>IFERROR(SUMIFS('Issuance Log'!$D:$D,'Issuance Log'!$B:$B,A1243,'Issuance Log'!$G:$G,$B$4),0)</f>
        <v>0</v>
      </c>
      <c r="D1243" s="3">
        <f>IFERROR(COUNTIFS('Issuance Log'!$B:$B,A1243,'Issuance Log'!$G:$G,$B$4),0)</f>
        <v>0</v>
      </c>
      <c r="E1243" s="3" t="str">
        <f ca="1">IFERROR(INDEX('Issuance Log'!$E:$E,MATCH(MAXIFS('Issuance Log'!$D:$D,'Issuance Log'!$B:$B,A1243,'Issuance Log'!$G:$G,$B$4),IF(('Issuance Log'!$B:$B=A1243)*('Issuance Log'!$G:$G=$B$4),'Issuance Log'!$D:$D),0)),"-")</f>
        <v>-</v>
      </c>
    </row>
    <row r="1244" spans="1:5" x14ac:dyDescent="0.25">
      <c r="A1244" s="4" t="s">
        <v>2426</v>
      </c>
      <c r="B1244" s="4" t="s">
        <v>2427</v>
      </c>
      <c r="C1244" s="5">
        <f>IFERROR(SUMIFS('Issuance Log'!$D:$D,'Issuance Log'!$B:$B,A1244,'Issuance Log'!$G:$G,$B$4),0)</f>
        <v>0</v>
      </c>
      <c r="D1244" s="5">
        <f>IFERROR(COUNTIFS('Issuance Log'!$B:$B,A1244,'Issuance Log'!$G:$G,$B$4),0)</f>
        <v>0</v>
      </c>
      <c r="E1244" s="5" t="str">
        <f ca="1">IFERROR(INDEX('Issuance Log'!$E:$E,MATCH(MAXIFS('Issuance Log'!$D:$D,'Issuance Log'!$B:$B,A1244,'Issuance Log'!$G:$G,$B$4),IF(('Issuance Log'!$B:$B=A1244)*('Issuance Log'!$G:$G=$B$4),'Issuance Log'!$D:$D),0)),"-")</f>
        <v>-</v>
      </c>
    </row>
    <row r="1245" spans="1:5" x14ac:dyDescent="0.25">
      <c r="A1245" s="2" t="s">
        <v>2428</v>
      </c>
      <c r="B1245" s="2" t="s">
        <v>2429</v>
      </c>
      <c r="C1245" s="3">
        <f>IFERROR(SUMIFS('Issuance Log'!$D:$D,'Issuance Log'!$B:$B,A1245,'Issuance Log'!$G:$G,$B$4),0)</f>
        <v>0</v>
      </c>
      <c r="D1245" s="3">
        <f>IFERROR(COUNTIFS('Issuance Log'!$B:$B,A1245,'Issuance Log'!$G:$G,$B$4),0)</f>
        <v>0</v>
      </c>
      <c r="E1245" s="3" t="str">
        <f ca="1">IFERROR(INDEX('Issuance Log'!$E:$E,MATCH(MAXIFS('Issuance Log'!$D:$D,'Issuance Log'!$B:$B,A1245,'Issuance Log'!$G:$G,$B$4),IF(('Issuance Log'!$B:$B=A1245)*('Issuance Log'!$G:$G=$B$4),'Issuance Log'!$D:$D),0)),"-")</f>
        <v>-</v>
      </c>
    </row>
    <row r="1246" spans="1:5" x14ac:dyDescent="0.25">
      <c r="A1246" s="4" t="s">
        <v>2430</v>
      </c>
      <c r="B1246" s="4" t="s">
        <v>2431</v>
      </c>
      <c r="C1246" s="5">
        <f>IFERROR(SUMIFS('Issuance Log'!$D:$D,'Issuance Log'!$B:$B,A1246,'Issuance Log'!$G:$G,$B$4),0)</f>
        <v>0</v>
      </c>
      <c r="D1246" s="5">
        <f>IFERROR(COUNTIFS('Issuance Log'!$B:$B,A1246,'Issuance Log'!$G:$G,$B$4),0)</f>
        <v>0</v>
      </c>
      <c r="E1246" s="5" t="str">
        <f ca="1">IFERROR(INDEX('Issuance Log'!$E:$E,MATCH(MAXIFS('Issuance Log'!$D:$D,'Issuance Log'!$B:$B,A1246,'Issuance Log'!$G:$G,$B$4),IF(('Issuance Log'!$B:$B=A1246)*('Issuance Log'!$G:$G=$B$4),'Issuance Log'!$D:$D),0)),"-")</f>
        <v>-</v>
      </c>
    </row>
    <row r="1247" spans="1:5" x14ac:dyDescent="0.25">
      <c r="A1247" s="2" t="s">
        <v>2432</v>
      </c>
      <c r="B1247" s="2" t="s">
        <v>2433</v>
      </c>
      <c r="C1247" s="3">
        <f>IFERROR(SUMIFS('Issuance Log'!$D:$D,'Issuance Log'!$B:$B,A1247,'Issuance Log'!$G:$G,$B$4),0)</f>
        <v>0</v>
      </c>
      <c r="D1247" s="3">
        <f>IFERROR(COUNTIFS('Issuance Log'!$B:$B,A1247,'Issuance Log'!$G:$G,$B$4),0)</f>
        <v>0</v>
      </c>
      <c r="E1247" s="3" t="str">
        <f ca="1">IFERROR(INDEX('Issuance Log'!$E:$E,MATCH(MAXIFS('Issuance Log'!$D:$D,'Issuance Log'!$B:$B,A1247,'Issuance Log'!$G:$G,$B$4),IF(('Issuance Log'!$B:$B=A1247)*('Issuance Log'!$G:$G=$B$4),'Issuance Log'!$D:$D),0)),"-")</f>
        <v>-</v>
      </c>
    </row>
    <row r="1248" spans="1:5" x14ac:dyDescent="0.25">
      <c r="A1248" s="4" t="s">
        <v>2434</v>
      </c>
      <c r="B1248" s="4" t="s">
        <v>2435</v>
      </c>
      <c r="C1248" s="5">
        <f>IFERROR(SUMIFS('Issuance Log'!$D:$D,'Issuance Log'!$B:$B,A1248,'Issuance Log'!$G:$G,$B$4),0)</f>
        <v>0</v>
      </c>
      <c r="D1248" s="5">
        <f>IFERROR(COUNTIFS('Issuance Log'!$B:$B,A1248,'Issuance Log'!$G:$G,$B$4),0)</f>
        <v>0</v>
      </c>
      <c r="E1248" s="5" t="str">
        <f ca="1">IFERROR(INDEX('Issuance Log'!$E:$E,MATCH(MAXIFS('Issuance Log'!$D:$D,'Issuance Log'!$B:$B,A1248,'Issuance Log'!$G:$G,$B$4),IF(('Issuance Log'!$B:$B=A1248)*('Issuance Log'!$G:$G=$B$4),'Issuance Log'!$D:$D),0)),"-")</f>
        <v>-</v>
      </c>
    </row>
    <row r="1249" spans="1:5" x14ac:dyDescent="0.25">
      <c r="A1249" s="2" t="s">
        <v>2436</v>
      </c>
      <c r="B1249" s="2" t="s">
        <v>2437</v>
      </c>
      <c r="C1249" s="3">
        <f>IFERROR(SUMIFS('Issuance Log'!$D:$D,'Issuance Log'!$B:$B,A1249,'Issuance Log'!$G:$G,$B$4),0)</f>
        <v>0</v>
      </c>
      <c r="D1249" s="3">
        <f>IFERROR(COUNTIFS('Issuance Log'!$B:$B,A1249,'Issuance Log'!$G:$G,$B$4),0)</f>
        <v>0</v>
      </c>
      <c r="E1249" s="3" t="str">
        <f ca="1">IFERROR(INDEX('Issuance Log'!$E:$E,MATCH(MAXIFS('Issuance Log'!$D:$D,'Issuance Log'!$B:$B,A1249,'Issuance Log'!$G:$G,$B$4),IF(('Issuance Log'!$B:$B=A1249)*('Issuance Log'!$G:$G=$B$4),'Issuance Log'!$D:$D),0)),"-")</f>
        <v>-</v>
      </c>
    </row>
    <row r="1250" spans="1:5" x14ac:dyDescent="0.25">
      <c r="A1250" s="4" t="s">
        <v>2438</v>
      </c>
      <c r="B1250" s="4" t="s">
        <v>2439</v>
      </c>
      <c r="C1250" s="5">
        <f>IFERROR(SUMIFS('Issuance Log'!$D:$D,'Issuance Log'!$B:$B,A1250,'Issuance Log'!$G:$G,$B$4),0)</f>
        <v>0</v>
      </c>
      <c r="D1250" s="5">
        <f>IFERROR(COUNTIFS('Issuance Log'!$B:$B,A1250,'Issuance Log'!$G:$G,$B$4),0)</f>
        <v>0</v>
      </c>
      <c r="E1250" s="5" t="str">
        <f ca="1">IFERROR(INDEX('Issuance Log'!$E:$E,MATCH(MAXIFS('Issuance Log'!$D:$D,'Issuance Log'!$B:$B,A1250,'Issuance Log'!$G:$G,$B$4),IF(('Issuance Log'!$B:$B=A1250)*('Issuance Log'!$G:$G=$B$4),'Issuance Log'!$D:$D),0)),"-")</f>
        <v>-</v>
      </c>
    </row>
    <row r="1251" spans="1:5" x14ac:dyDescent="0.25">
      <c r="A1251" s="2" t="s">
        <v>2440</v>
      </c>
      <c r="B1251" s="2" t="s">
        <v>2441</v>
      </c>
      <c r="C1251" s="3">
        <f>IFERROR(SUMIFS('Issuance Log'!$D:$D,'Issuance Log'!$B:$B,A1251,'Issuance Log'!$G:$G,$B$4),0)</f>
        <v>0</v>
      </c>
      <c r="D1251" s="3">
        <f>IFERROR(COUNTIFS('Issuance Log'!$B:$B,A1251,'Issuance Log'!$G:$G,$B$4),0)</f>
        <v>0</v>
      </c>
      <c r="E1251" s="3" t="str">
        <f ca="1">IFERROR(INDEX('Issuance Log'!$E:$E,MATCH(MAXIFS('Issuance Log'!$D:$D,'Issuance Log'!$B:$B,A1251,'Issuance Log'!$G:$G,$B$4),IF(('Issuance Log'!$B:$B=A1251)*('Issuance Log'!$G:$G=$B$4),'Issuance Log'!$D:$D),0)),"-")</f>
        <v>-</v>
      </c>
    </row>
    <row r="1252" spans="1:5" x14ac:dyDescent="0.25">
      <c r="A1252" s="4" t="s">
        <v>2442</v>
      </c>
      <c r="B1252" s="4" t="s">
        <v>2443</v>
      </c>
      <c r="C1252" s="5">
        <f>IFERROR(SUMIFS('Issuance Log'!$D:$D,'Issuance Log'!$B:$B,A1252,'Issuance Log'!$G:$G,$B$4),0)</f>
        <v>0</v>
      </c>
      <c r="D1252" s="5">
        <f>IFERROR(COUNTIFS('Issuance Log'!$B:$B,A1252,'Issuance Log'!$G:$G,$B$4),0)</f>
        <v>0</v>
      </c>
      <c r="E1252" s="5" t="str">
        <f ca="1">IFERROR(INDEX('Issuance Log'!$E:$E,MATCH(MAXIFS('Issuance Log'!$D:$D,'Issuance Log'!$B:$B,A1252,'Issuance Log'!$G:$G,$B$4),IF(('Issuance Log'!$B:$B=A1252)*('Issuance Log'!$G:$G=$B$4),'Issuance Log'!$D:$D),0)),"-")</f>
        <v>-</v>
      </c>
    </row>
    <row r="1253" spans="1:5" x14ac:dyDescent="0.25">
      <c r="A1253" s="2" t="s">
        <v>2444</v>
      </c>
      <c r="B1253" s="2" t="s">
        <v>2445</v>
      </c>
      <c r="C1253" s="3">
        <f>IFERROR(SUMIFS('Issuance Log'!$D:$D,'Issuance Log'!$B:$B,A1253,'Issuance Log'!$G:$G,$B$4),0)</f>
        <v>0</v>
      </c>
      <c r="D1253" s="3">
        <f>IFERROR(COUNTIFS('Issuance Log'!$B:$B,A1253,'Issuance Log'!$G:$G,$B$4),0)</f>
        <v>0</v>
      </c>
      <c r="E1253" s="3" t="str">
        <f ca="1">IFERROR(INDEX('Issuance Log'!$E:$E,MATCH(MAXIFS('Issuance Log'!$D:$D,'Issuance Log'!$B:$B,A1253,'Issuance Log'!$G:$G,$B$4),IF(('Issuance Log'!$B:$B=A1253)*('Issuance Log'!$G:$G=$B$4),'Issuance Log'!$D:$D),0)),"-")</f>
        <v>-</v>
      </c>
    </row>
    <row r="1254" spans="1:5" x14ac:dyDescent="0.25">
      <c r="A1254" s="4" t="s">
        <v>2446</v>
      </c>
      <c r="B1254" s="4" t="s">
        <v>2447</v>
      </c>
      <c r="C1254" s="5">
        <f>IFERROR(SUMIFS('Issuance Log'!$D:$D,'Issuance Log'!$B:$B,A1254,'Issuance Log'!$G:$G,$B$4),0)</f>
        <v>0</v>
      </c>
      <c r="D1254" s="5">
        <f>IFERROR(COUNTIFS('Issuance Log'!$B:$B,A1254,'Issuance Log'!$G:$G,$B$4),0)</f>
        <v>0</v>
      </c>
      <c r="E1254" s="5" t="str">
        <f ca="1">IFERROR(INDEX('Issuance Log'!$E:$E,MATCH(MAXIFS('Issuance Log'!$D:$D,'Issuance Log'!$B:$B,A1254,'Issuance Log'!$G:$G,$B$4),IF(('Issuance Log'!$B:$B=A1254)*('Issuance Log'!$G:$G=$B$4),'Issuance Log'!$D:$D),0)),"-")</f>
        <v>-</v>
      </c>
    </row>
    <row r="1255" spans="1:5" x14ac:dyDescent="0.25">
      <c r="A1255" s="2" t="s">
        <v>2448</v>
      </c>
      <c r="B1255" s="2" t="s">
        <v>2449</v>
      </c>
      <c r="C1255" s="3">
        <f>IFERROR(SUMIFS('Issuance Log'!$D:$D,'Issuance Log'!$B:$B,A1255,'Issuance Log'!$G:$G,$B$4),0)</f>
        <v>0</v>
      </c>
      <c r="D1255" s="3">
        <f>IFERROR(COUNTIFS('Issuance Log'!$B:$B,A1255,'Issuance Log'!$G:$G,$B$4),0)</f>
        <v>0</v>
      </c>
      <c r="E1255" s="3" t="str">
        <f ca="1">IFERROR(INDEX('Issuance Log'!$E:$E,MATCH(MAXIFS('Issuance Log'!$D:$D,'Issuance Log'!$B:$B,A1255,'Issuance Log'!$G:$G,$B$4),IF(('Issuance Log'!$B:$B=A1255)*('Issuance Log'!$G:$G=$B$4),'Issuance Log'!$D:$D),0)),"-")</f>
        <v>-</v>
      </c>
    </row>
    <row r="1256" spans="1:5" x14ac:dyDescent="0.25">
      <c r="A1256" s="4" t="s">
        <v>2450</v>
      </c>
      <c r="B1256" s="4" t="s">
        <v>2451</v>
      </c>
      <c r="C1256" s="5">
        <f>IFERROR(SUMIFS('Issuance Log'!$D:$D,'Issuance Log'!$B:$B,A1256,'Issuance Log'!$G:$G,$B$4),0)</f>
        <v>0</v>
      </c>
      <c r="D1256" s="5">
        <f>IFERROR(COUNTIFS('Issuance Log'!$B:$B,A1256,'Issuance Log'!$G:$G,$B$4),0)</f>
        <v>0</v>
      </c>
      <c r="E1256" s="5" t="str">
        <f ca="1">IFERROR(INDEX('Issuance Log'!$E:$E,MATCH(MAXIFS('Issuance Log'!$D:$D,'Issuance Log'!$B:$B,A1256,'Issuance Log'!$G:$G,$B$4),IF(('Issuance Log'!$B:$B=A1256)*('Issuance Log'!$G:$G=$B$4),'Issuance Log'!$D:$D),0)),"-")</f>
        <v>-</v>
      </c>
    </row>
    <row r="1257" spans="1:5" x14ac:dyDescent="0.25">
      <c r="A1257" s="2" t="s">
        <v>2452</v>
      </c>
      <c r="B1257" s="2" t="s">
        <v>2453</v>
      </c>
      <c r="C1257" s="3">
        <f>IFERROR(SUMIFS('Issuance Log'!$D:$D,'Issuance Log'!$B:$B,A1257,'Issuance Log'!$G:$G,$B$4),0)</f>
        <v>0</v>
      </c>
      <c r="D1257" s="3">
        <f>IFERROR(COUNTIFS('Issuance Log'!$B:$B,A1257,'Issuance Log'!$G:$G,$B$4),0)</f>
        <v>0</v>
      </c>
      <c r="E1257" s="3" t="str">
        <f ca="1">IFERROR(INDEX('Issuance Log'!$E:$E,MATCH(MAXIFS('Issuance Log'!$D:$D,'Issuance Log'!$B:$B,A1257,'Issuance Log'!$G:$G,$B$4),IF(('Issuance Log'!$B:$B=A1257)*('Issuance Log'!$G:$G=$B$4),'Issuance Log'!$D:$D),0)),"-")</f>
        <v>-</v>
      </c>
    </row>
    <row r="1258" spans="1:5" x14ac:dyDescent="0.25">
      <c r="A1258" s="4" t="s">
        <v>2454</v>
      </c>
      <c r="B1258" s="4" t="s">
        <v>2455</v>
      </c>
      <c r="C1258" s="5">
        <f>IFERROR(SUMIFS('Issuance Log'!$D:$D,'Issuance Log'!$B:$B,A1258,'Issuance Log'!$G:$G,$B$4),0)</f>
        <v>0</v>
      </c>
      <c r="D1258" s="5">
        <f>IFERROR(COUNTIFS('Issuance Log'!$B:$B,A1258,'Issuance Log'!$G:$G,$B$4),0)</f>
        <v>0</v>
      </c>
      <c r="E1258" s="5" t="str">
        <f ca="1">IFERROR(INDEX('Issuance Log'!$E:$E,MATCH(MAXIFS('Issuance Log'!$D:$D,'Issuance Log'!$B:$B,A1258,'Issuance Log'!$G:$G,$B$4),IF(('Issuance Log'!$B:$B=A1258)*('Issuance Log'!$G:$G=$B$4),'Issuance Log'!$D:$D),0)),"-")</f>
        <v>-</v>
      </c>
    </row>
    <row r="1259" spans="1:5" x14ac:dyDescent="0.25">
      <c r="A1259" s="2" t="s">
        <v>2456</v>
      </c>
      <c r="B1259" s="2" t="s">
        <v>2457</v>
      </c>
      <c r="C1259" s="3">
        <f>IFERROR(SUMIFS('Issuance Log'!$D:$D,'Issuance Log'!$B:$B,A1259,'Issuance Log'!$G:$G,$B$4),0)</f>
        <v>0</v>
      </c>
      <c r="D1259" s="3">
        <f>IFERROR(COUNTIFS('Issuance Log'!$B:$B,A1259,'Issuance Log'!$G:$G,$B$4),0)</f>
        <v>0</v>
      </c>
      <c r="E1259" s="3" t="str">
        <f ca="1">IFERROR(INDEX('Issuance Log'!$E:$E,MATCH(MAXIFS('Issuance Log'!$D:$D,'Issuance Log'!$B:$B,A1259,'Issuance Log'!$G:$G,$B$4),IF(('Issuance Log'!$B:$B=A1259)*('Issuance Log'!$G:$G=$B$4),'Issuance Log'!$D:$D),0)),"-")</f>
        <v>-</v>
      </c>
    </row>
    <row r="1260" spans="1:5" x14ac:dyDescent="0.25">
      <c r="A1260" s="4" t="s">
        <v>2458</v>
      </c>
      <c r="B1260" s="4" t="s">
        <v>2459</v>
      </c>
      <c r="C1260" s="5">
        <f>IFERROR(SUMIFS('Issuance Log'!$D:$D,'Issuance Log'!$B:$B,A1260,'Issuance Log'!$G:$G,$B$4),0)</f>
        <v>0</v>
      </c>
      <c r="D1260" s="5">
        <f>IFERROR(COUNTIFS('Issuance Log'!$B:$B,A1260,'Issuance Log'!$G:$G,$B$4),0)</f>
        <v>0</v>
      </c>
      <c r="E1260" s="5" t="str">
        <f ca="1">IFERROR(INDEX('Issuance Log'!$E:$E,MATCH(MAXIFS('Issuance Log'!$D:$D,'Issuance Log'!$B:$B,A1260,'Issuance Log'!$G:$G,$B$4),IF(('Issuance Log'!$B:$B=A1260)*('Issuance Log'!$G:$G=$B$4),'Issuance Log'!$D:$D),0)),"-")</f>
        <v>-</v>
      </c>
    </row>
    <row r="1261" spans="1:5" x14ac:dyDescent="0.25">
      <c r="A1261" s="2" t="s">
        <v>2460</v>
      </c>
      <c r="B1261" s="2" t="s">
        <v>2461</v>
      </c>
      <c r="C1261" s="3">
        <f>IFERROR(SUMIFS('Issuance Log'!$D:$D,'Issuance Log'!$B:$B,A1261,'Issuance Log'!$G:$G,$B$4),0)</f>
        <v>0</v>
      </c>
      <c r="D1261" s="3">
        <f>IFERROR(COUNTIFS('Issuance Log'!$B:$B,A1261,'Issuance Log'!$G:$G,$B$4),0)</f>
        <v>0</v>
      </c>
      <c r="E1261" s="3" t="str">
        <f ca="1">IFERROR(INDEX('Issuance Log'!$E:$E,MATCH(MAXIFS('Issuance Log'!$D:$D,'Issuance Log'!$B:$B,A1261,'Issuance Log'!$G:$G,$B$4),IF(('Issuance Log'!$B:$B=A1261)*('Issuance Log'!$G:$G=$B$4),'Issuance Log'!$D:$D),0)),"-")</f>
        <v>-</v>
      </c>
    </row>
    <row r="1262" spans="1:5" x14ac:dyDescent="0.25">
      <c r="A1262" s="4" t="s">
        <v>2462</v>
      </c>
      <c r="B1262" s="4" t="s">
        <v>2463</v>
      </c>
      <c r="C1262" s="5">
        <f>IFERROR(SUMIFS('Issuance Log'!$D:$D,'Issuance Log'!$B:$B,A1262,'Issuance Log'!$G:$G,$B$4),0)</f>
        <v>0</v>
      </c>
      <c r="D1262" s="5">
        <f>IFERROR(COUNTIFS('Issuance Log'!$B:$B,A1262,'Issuance Log'!$G:$G,$B$4),0)</f>
        <v>0</v>
      </c>
      <c r="E1262" s="5" t="str">
        <f ca="1">IFERROR(INDEX('Issuance Log'!$E:$E,MATCH(MAXIFS('Issuance Log'!$D:$D,'Issuance Log'!$B:$B,A1262,'Issuance Log'!$G:$G,$B$4),IF(('Issuance Log'!$B:$B=A1262)*('Issuance Log'!$G:$G=$B$4),'Issuance Log'!$D:$D),0)),"-")</f>
        <v>-</v>
      </c>
    </row>
    <row r="1263" spans="1:5" x14ac:dyDescent="0.25">
      <c r="A1263" s="2" t="s">
        <v>2464</v>
      </c>
      <c r="B1263" s="2" t="s">
        <v>1037</v>
      </c>
      <c r="C1263" s="3">
        <f>IFERROR(SUMIFS('Issuance Log'!$D:$D,'Issuance Log'!$B:$B,A1263,'Issuance Log'!$G:$G,$B$4),0)</f>
        <v>0</v>
      </c>
      <c r="D1263" s="3">
        <f>IFERROR(COUNTIFS('Issuance Log'!$B:$B,A1263,'Issuance Log'!$G:$G,$B$4),0)</f>
        <v>0</v>
      </c>
      <c r="E1263" s="3" t="str">
        <f ca="1">IFERROR(INDEX('Issuance Log'!$E:$E,MATCH(MAXIFS('Issuance Log'!$D:$D,'Issuance Log'!$B:$B,A1263,'Issuance Log'!$G:$G,$B$4),IF(('Issuance Log'!$B:$B=A1263)*('Issuance Log'!$G:$G=$B$4),'Issuance Log'!$D:$D),0)),"-")</f>
        <v>-</v>
      </c>
    </row>
    <row r="1264" spans="1:5" x14ac:dyDescent="0.25">
      <c r="A1264" s="4" t="s">
        <v>2465</v>
      </c>
      <c r="B1264" s="4" t="s">
        <v>1039</v>
      </c>
      <c r="C1264" s="5">
        <f>IFERROR(SUMIFS('Issuance Log'!$D:$D,'Issuance Log'!$B:$B,A1264,'Issuance Log'!$G:$G,$B$4),0)</f>
        <v>0</v>
      </c>
      <c r="D1264" s="5">
        <f>IFERROR(COUNTIFS('Issuance Log'!$B:$B,A1264,'Issuance Log'!$G:$G,$B$4),0)</f>
        <v>0</v>
      </c>
      <c r="E1264" s="5" t="str">
        <f ca="1">IFERROR(INDEX('Issuance Log'!$E:$E,MATCH(MAXIFS('Issuance Log'!$D:$D,'Issuance Log'!$B:$B,A1264,'Issuance Log'!$G:$G,$B$4),IF(('Issuance Log'!$B:$B=A1264)*('Issuance Log'!$G:$G=$B$4),'Issuance Log'!$D:$D),0)),"-")</f>
        <v>-</v>
      </c>
    </row>
    <row r="1265" spans="1:5" x14ac:dyDescent="0.25">
      <c r="A1265" s="2" t="s">
        <v>2466</v>
      </c>
      <c r="B1265" s="2" t="s">
        <v>2467</v>
      </c>
      <c r="C1265" s="3">
        <f>IFERROR(SUMIFS('Issuance Log'!$D:$D,'Issuance Log'!$B:$B,A1265,'Issuance Log'!$G:$G,$B$4),0)</f>
        <v>0</v>
      </c>
      <c r="D1265" s="3">
        <f>IFERROR(COUNTIFS('Issuance Log'!$B:$B,A1265,'Issuance Log'!$G:$G,$B$4),0)</f>
        <v>0</v>
      </c>
      <c r="E1265" s="3" t="str">
        <f ca="1">IFERROR(INDEX('Issuance Log'!$E:$E,MATCH(MAXIFS('Issuance Log'!$D:$D,'Issuance Log'!$B:$B,A1265,'Issuance Log'!$G:$G,$B$4),IF(('Issuance Log'!$B:$B=A1265)*('Issuance Log'!$G:$G=$B$4),'Issuance Log'!$D:$D),0)),"-")</f>
        <v>-</v>
      </c>
    </row>
    <row r="1266" spans="1:5" x14ac:dyDescent="0.25">
      <c r="A1266" s="4" t="s">
        <v>2468</v>
      </c>
      <c r="B1266" s="4" t="s">
        <v>2469</v>
      </c>
      <c r="C1266" s="5">
        <f>IFERROR(SUMIFS('Issuance Log'!$D:$D,'Issuance Log'!$B:$B,A1266,'Issuance Log'!$G:$G,$B$4),0)</f>
        <v>0</v>
      </c>
      <c r="D1266" s="5">
        <f>IFERROR(COUNTIFS('Issuance Log'!$B:$B,A1266,'Issuance Log'!$G:$G,$B$4),0)</f>
        <v>0</v>
      </c>
      <c r="E1266" s="5" t="str">
        <f ca="1">IFERROR(INDEX('Issuance Log'!$E:$E,MATCH(MAXIFS('Issuance Log'!$D:$D,'Issuance Log'!$B:$B,A1266,'Issuance Log'!$G:$G,$B$4),IF(('Issuance Log'!$B:$B=A1266)*('Issuance Log'!$G:$G=$B$4),'Issuance Log'!$D:$D),0)),"-")</f>
        <v>-</v>
      </c>
    </row>
    <row r="1267" spans="1:5" x14ac:dyDescent="0.25">
      <c r="A1267" s="2" t="s">
        <v>2470</v>
      </c>
      <c r="B1267" s="2" t="s">
        <v>2471</v>
      </c>
      <c r="C1267" s="3">
        <f>IFERROR(SUMIFS('Issuance Log'!$D:$D,'Issuance Log'!$B:$B,A1267,'Issuance Log'!$G:$G,$B$4),0)</f>
        <v>0</v>
      </c>
      <c r="D1267" s="3">
        <f>IFERROR(COUNTIFS('Issuance Log'!$B:$B,A1267,'Issuance Log'!$G:$G,$B$4),0)</f>
        <v>0</v>
      </c>
      <c r="E1267" s="3" t="str">
        <f ca="1">IFERROR(INDEX('Issuance Log'!$E:$E,MATCH(MAXIFS('Issuance Log'!$D:$D,'Issuance Log'!$B:$B,A1267,'Issuance Log'!$G:$G,$B$4),IF(('Issuance Log'!$B:$B=A1267)*('Issuance Log'!$G:$G=$B$4),'Issuance Log'!$D:$D),0)),"-")</f>
        <v>-</v>
      </c>
    </row>
    <row r="1268" spans="1:5" x14ac:dyDescent="0.25">
      <c r="A1268" s="4" t="s">
        <v>2472</v>
      </c>
      <c r="B1268" s="4" t="s">
        <v>1107</v>
      </c>
      <c r="C1268" s="5">
        <f>IFERROR(SUMIFS('Issuance Log'!$D:$D,'Issuance Log'!$B:$B,A1268,'Issuance Log'!$G:$G,$B$4),0)</f>
        <v>0</v>
      </c>
      <c r="D1268" s="5">
        <f>IFERROR(COUNTIFS('Issuance Log'!$B:$B,A1268,'Issuance Log'!$G:$G,$B$4),0)</f>
        <v>0</v>
      </c>
      <c r="E1268" s="5" t="str">
        <f ca="1">IFERROR(INDEX('Issuance Log'!$E:$E,MATCH(MAXIFS('Issuance Log'!$D:$D,'Issuance Log'!$B:$B,A1268,'Issuance Log'!$G:$G,$B$4),IF(('Issuance Log'!$B:$B=A1268)*('Issuance Log'!$G:$G=$B$4),'Issuance Log'!$D:$D),0)),"-")</f>
        <v>-</v>
      </c>
    </row>
    <row r="1269" spans="1:5" x14ac:dyDescent="0.25">
      <c r="A1269" s="2" t="s">
        <v>2473</v>
      </c>
      <c r="B1269" s="2" t="s">
        <v>1115</v>
      </c>
      <c r="C1269" s="3">
        <f>IFERROR(SUMIFS('Issuance Log'!$D:$D,'Issuance Log'!$B:$B,A1269,'Issuance Log'!$G:$G,$B$4),0)</f>
        <v>0</v>
      </c>
      <c r="D1269" s="3">
        <f>IFERROR(COUNTIFS('Issuance Log'!$B:$B,A1269,'Issuance Log'!$G:$G,$B$4),0)</f>
        <v>0</v>
      </c>
      <c r="E1269" s="3" t="str">
        <f ca="1">IFERROR(INDEX('Issuance Log'!$E:$E,MATCH(MAXIFS('Issuance Log'!$D:$D,'Issuance Log'!$B:$B,A1269,'Issuance Log'!$G:$G,$B$4),IF(('Issuance Log'!$B:$B=A1269)*('Issuance Log'!$G:$G=$B$4),'Issuance Log'!$D:$D),0)),"-")</f>
        <v>-</v>
      </c>
    </row>
    <row r="1270" spans="1:5" x14ac:dyDescent="0.25">
      <c r="A1270" s="4" t="s">
        <v>2474</v>
      </c>
      <c r="B1270" s="4" t="s">
        <v>1117</v>
      </c>
      <c r="C1270" s="5">
        <f>IFERROR(SUMIFS('Issuance Log'!$D:$D,'Issuance Log'!$B:$B,A1270,'Issuance Log'!$G:$G,$B$4),0)</f>
        <v>0</v>
      </c>
      <c r="D1270" s="5">
        <f>IFERROR(COUNTIFS('Issuance Log'!$B:$B,A1270,'Issuance Log'!$G:$G,$B$4),0)</f>
        <v>0</v>
      </c>
      <c r="E1270" s="5" t="str">
        <f ca="1">IFERROR(INDEX('Issuance Log'!$E:$E,MATCH(MAXIFS('Issuance Log'!$D:$D,'Issuance Log'!$B:$B,A1270,'Issuance Log'!$G:$G,$B$4),IF(('Issuance Log'!$B:$B=A1270)*('Issuance Log'!$G:$G=$B$4),'Issuance Log'!$D:$D),0)),"-")</f>
        <v>-</v>
      </c>
    </row>
    <row r="1271" spans="1:5" x14ac:dyDescent="0.25">
      <c r="A1271" s="2" t="s">
        <v>2475</v>
      </c>
      <c r="B1271" s="2" t="s">
        <v>2476</v>
      </c>
      <c r="C1271" s="3">
        <f>IFERROR(SUMIFS('Issuance Log'!$D:$D,'Issuance Log'!$B:$B,A1271,'Issuance Log'!$G:$G,$B$4),0)</f>
        <v>0</v>
      </c>
      <c r="D1271" s="3">
        <f>IFERROR(COUNTIFS('Issuance Log'!$B:$B,A1271,'Issuance Log'!$G:$G,$B$4),0)</f>
        <v>0</v>
      </c>
      <c r="E1271" s="3" t="str">
        <f ca="1">IFERROR(INDEX('Issuance Log'!$E:$E,MATCH(MAXIFS('Issuance Log'!$D:$D,'Issuance Log'!$B:$B,A1271,'Issuance Log'!$G:$G,$B$4),IF(('Issuance Log'!$B:$B=A1271)*('Issuance Log'!$G:$G=$B$4),'Issuance Log'!$D:$D),0)),"-")</f>
        <v>-</v>
      </c>
    </row>
    <row r="1272" spans="1:5" x14ac:dyDescent="0.25">
      <c r="A1272" s="4" t="s">
        <v>2477</v>
      </c>
      <c r="B1272" s="4" t="s">
        <v>1069</v>
      </c>
      <c r="C1272" s="5">
        <f>IFERROR(SUMIFS('Issuance Log'!$D:$D,'Issuance Log'!$B:$B,A1272,'Issuance Log'!$G:$G,$B$4),0)</f>
        <v>0</v>
      </c>
      <c r="D1272" s="5">
        <f>IFERROR(COUNTIFS('Issuance Log'!$B:$B,A1272,'Issuance Log'!$G:$G,$B$4),0)</f>
        <v>0</v>
      </c>
      <c r="E1272" s="5" t="str">
        <f ca="1">IFERROR(INDEX('Issuance Log'!$E:$E,MATCH(MAXIFS('Issuance Log'!$D:$D,'Issuance Log'!$B:$B,A1272,'Issuance Log'!$G:$G,$B$4),IF(('Issuance Log'!$B:$B=A1272)*('Issuance Log'!$G:$G=$B$4),'Issuance Log'!$D:$D),0)),"-")</f>
        <v>-</v>
      </c>
    </row>
    <row r="1273" spans="1:5" x14ac:dyDescent="0.25">
      <c r="A1273" s="2" t="s">
        <v>2478</v>
      </c>
      <c r="B1273" s="2" t="s">
        <v>2479</v>
      </c>
      <c r="C1273" s="3">
        <f>IFERROR(SUMIFS('Issuance Log'!$D:$D,'Issuance Log'!$B:$B,A1273,'Issuance Log'!$G:$G,$B$4),0)</f>
        <v>0</v>
      </c>
      <c r="D1273" s="3">
        <f>IFERROR(COUNTIFS('Issuance Log'!$B:$B,A1273,'Issuance Log'!$G:$G,$B$4),0)</f>
        <v>0</v>
      </c>
      <c r="E1273" s="3" t="str">
        <f ca="1">IFERROR(INDEX('Issuance Log'!$E:$E,MATCH(MAXIFS('Issuance Log'!$D:$D,'Issuance Log'!$B:$B,A1273,'Issuance Log'!$G:$G,$B$4),IF(('Issuance Log'!$B:$B=A1273)*('Issuance Log'!$G:$G=$B$4),'Issuance Log'!$D:$D),0)),"-")</f>
        <v>-</v>
      </c>
    </row>
    <row r="1274" spans="1:5" x14ac:dyDescent="0.25">
      <c r="A1274" s="4" t="s">
        <v>2480</v>
      </c>
      <c r="B1274" s="4" t="s">
        <v>2481</v>
      </c>
      <c r="C1274" s="5">
        <f>IFERROR(SUMIFS('Issuance Log'!$D:$D,'Issuance Log'!$B:$B,A1274,'Issuance Log'!$G:$G,$B$4),0)</f>
        <v>0</v>
      </c>
      <c r="D1274" s="5">
        <f>IFERROR(COUNTIFS('Issuance Log'!$B:$B,A1274,'Issuance Log'!$G:$G,$B$4),0)</f>
        <v>0</v>
      </c>
      <c r="E1274" s="5" t="str">
        <f ca="1">IFERROR(INDEX('Issuance Log'!$E:$E,MATCH(MAXIFS('Issuance Log'!$D:$D,'Issuance Log'!$B:$B,A1274,'Issuance Log'!$G:$G,$B$4),IF(('Issuance Log'!$B:$B=A1274)*('Issuance Log'!$G:$G=$B$4),'Issuance Log'!$D:$D),0)),"-")</f>
        <v>-</v>
      </c>
    </row>
    <row r="1275" spans="1:5" x14ac:dyDescent="0.25">
      <c r="A1275" s="2" t="s">
        <v>2482</v>
      </c>
      <c r="B1275" s="2" t="s">
        <v>1049</v>
      </c>
      <c r="C1275" s="3">
        <f>IFERROR(SUMIFS('Issuance Log'!$D:$D,'Issuance Log'!$B:$B,A1275,'Issuance Log'!$G:$G,$B$4),0)</f>
        <v>0</v>
      </c>
      <c r="D1275" s="3">
        <f>IFERROR(COUNTIFS('Issuance Log'!$B:$B,A1275,'Issuance Log'!$G:$G,$B$4),0)</f>
        <v>0</v>
      </c>
      <c r="E1275" s="3" t="str">
        <f ca="1">IFERROR(INDEX('Issuance Log'!$E:$E,MATCH(MAXIFS('Issuance Log'!$D:$D,'Issuance Log'!$B:$B,A1275,'Issuance Log'!$G:$G,$B$4),IF(('Issuance Log'!$B:$B=A1275)*('Issuance Log'!$G:$G=$B$4),'Issuance Log'!$D:$D),0)),"-")</f>
        <v>-</v>
      </c>
    </row>
    <row r="1276" spans="1:5" x14ac:dyDescent="0.25">
      <c r="A1276" s="4" t="s">
        <v>2483</v>
      </c>
      <c r="B1276" s="4" t="s">
        <v>2484</v>
      </c>
      <c r="C1276" s="5">
        <f>IFERROR(SUMIFS('Issuance Log'!$D:$D,'Issuance Log'!$B:$B,A1276,'Issuance Log'!$G:$G,$B$4),0)</f>
        <v>0</v>
      </c>
      <c r="D1276" s="5">
        <f>IFERROR(COUNTIFS('Issuance Log'!$B:$B,A1276,'Issuance Log'!$G:$G,$B$4),0)</f>
        <v>0</v>
      </c>
      <c r="E1276" s="5" t="str">
        <f ca="1">IFERROR(INDEX('Issuance Log'!$E:$E,MATCH(MAXIFS('Issuance Log'!$D:$D,'Issuance Log'!$B:$B,A1276,'Issuance Log'!$G:$G,$B$4),IF(('Issuance Log'!$B:$B=A1276)*('Issuance Log'!$G:$G=$B$4),'Issuance Log'!$D:$D),0)),"-")</f>
        <v>-</v>
      </c>
    </row>
    <row r="1277" spans="1:5" x14ac:dyDescent="0.25">
      <c r="A1277" s="2" t="s">
        <v>2485</v>
      </c>
      <c r="B1277" s="2" t="s">
        <v>2486</v>
      </c>
      <c r="C1277" s="3">
        <f>IFERROR(SUMIFS('Issuance Log'!$D:$D,'Issuance Log'!$B:$B,A1277,'Issuance Log'!$G:$G,$B$4),0)</f>
        <v>0</v>
      </c>
      <c r="D1277" s="3">
        <f>IFERROR(COUNTIFS('Issuance Log'!$B:$B,A1277,'Issuance Log'!$G:$G,$B$4),0)</f>
        <v>0</v>
      </c>
      <c r="E1277" s="3" t="str">
        <f ca="1">IFERROR(INDEX('Issuance Log'!$E:$E,MATCH(MAXIFS('Issuance Log'!$D:$D,'Issuance Log'!$B:$B,A1277,'Issuance Log'!$G:$G,$B$4),IF(('Issuance Log'!$B:$B=A1277)*('Issuance Log'!$G:$G=$B$4),'Issuance Log'!$D:$D),0)),"-")</f>
        <v>-</v>
      </c>
    </row>
    <row r="1278" spans="1:5" x14ac:dyDescent="0.25">
      <c r="A1278" s="4" t="s">
        <v>2487</v>
      </c>
      <c r="B1278" s="4" t="s">
        <v>2488</v>
      </c>
      <c r="C1278" s="5">
        <f>IFERROR(SUMIFS('Issuance Log'!$D:$D,'Issuance Log'!$B:$B,A1278,'Issuance Log'!$G:$G,$B$4),0)</f>
        <v>0</v>
      </c>
      <c r="D1278" s="5">
        <f>IFERROR(COUNTIFS('Issuance Log'!$B:$B,A1278,'Issuance Log'!$G:$G,$B$4),0)</f>
        <v>0</v>
      </c>
      <c r="E1278" s="5" t="str">
        <f ca="1">IFERROR(INDEX('Issuance Log'!$E:$E,MATCH(MAXIFS('Issuance Log'!$D:$D,'Issuance Log'!$B:$B,A1278,'Issuance Log'!$G:$G,$B$4),IF(('Issuance Log'!$B:$B=A1278)*('Issuance Log'!$G:$G=$B$4),'Issuance Log'!$D:$D),0)),"-")</f>
        <v>-</v>
      </c>
    </row>
    <row r="1279" spans="1:5" x14ac:dyDescent="0.25">
      <c r="A1279" s="2" t="s">
        <v>2489</v>
      </c>
      <c r="B1279" s="2" t="s">
        <v>2490</v>
      </c>
      <c r="C1279" s="3">
        <f>IFERROR(SUMIFS('Issuance Log'!$D:$D,'Issuance Log'!$B:$B,A1279,'Issuance Log'!$G:$G,$B$4),0)</f>
        <v>0</v>
      </c>
      <c r="D1279" s="3">
        <f>IFERROR(COUNTIFS('Issuance Log'!$B:$B,A1279,'Issuance Log'!$G:$G,$B$4),0)</f>
        <v>0</v>
      </c>
      <c r="E1279" s="3" t="str">
        <f ca="1">IFERROR(INDEX('Issuance Log'!$E:$E,MATCH(MAXIFS('Issuance Log'!$D:$D,'Issuance Log'!$B:$B,A1279,'Issuance Log'!$G:$G,$B$4),IF(('Issuance Log'!$B:$B=A1279)*('Issuance Log'!$G:$G=$B$4),'Issuance Log'!$D:$D),0)),"-")</f>
        <v>-</v>
      </c>
    </row>
    <row r="1280" spans="1:5" x14ac:dyDescent="0.25">
      <c r="A1280" s="4" t="s">
        <v>2491</v>
      </c>
      <c r="B1280" s="4" t="s">
        <v>2492</v>
      </c>
      <c r="C1280" s="5">
        <f>IFERROR(SUMIFS('Issuance Log'!$D:$D,'Issuance Log'!$B:$B,A1280,'Issuance Log'!$G:$G,$B$4),0)</f>
        <v>0</v>
      </c>
      <c r="D1280" s="5">
        <f>IFERROR(COUNTIFS('Issuance Log'!$B:$B,A1280,'Issuance Log'!$G:$G,$B$4),0)</f>
        <v>0</v>
      </c>
      <c r="E1280" s="5" t="str">
        <f ca="1">IFERROR(INDEX('Issuance Log'!$E:$E,MATCH(MAXIFS('Issuance Log'!$D:$D,'Issuance Log'!$B:$B,A1280,'Issuance Log'!$G:$G,$B$4),IF(('Issuance Log'!$B:$B=A1280)*('Issuance Log'!$G:$G=$B$4),'Issuance Log'!$D:$D),0)),"-")</f>
        <v>-</v>
      </c>
    </row>
    <row r="1281" spans="1:5" x14ac:dyDescent="0.25">
      <c r="A1281" s="2" t="s">
        <v>2493</v>
      </c>
      <c r="B1281" s="2" t="s">
        <v>2494</v>
      </c>
      <c r="C1281" s="3">
        <f>IFERROR(SUMIFS('Issuance Log'!$D:$D,'Issuance Log'!$B:$B,A1281,'Issuance Log'!$G:$G,$B$4),0)</f>
        <v>0</v>
      </c>
      <c r="D1281" s="3">
        <f>IFERROR(COUNTIFS('Issuance Log'!$B:$B,A1281,'Issuance Log'!$G:$G,$B$4),0)</f>
        <v>0</v>
      </c>
      <c r="E1281" s="3" t="str">
        <f ca="1">IFERROR(INDEX('Issuance Log'!$E:$E,MATCH(MAXIFS('Issuance Log'!$D:$D,'Issuance Log'!$B:$B,A1281,'Issuance Log'!$G:$G,$B$4),IF(('Issuance Log'!$B:$B=A1281)*('Issuance Log'!$G:$G=$B$4),'Issuance Log'!$D:$D),0)),"-")</f>
        <v>-</v>
      </c>
    </row>
    <row r="1282" spans="1:5" x14ac:dyDescent="0.25">
      <c r="A1282" s="4" t="s">
        <v>2495</v>
      </c>
      <c r="B1282" s="4" t="s">
        <v>2496</v>
      </c>
      <c r="C1282" s="5">
        <f>IFERROR(SUMIFS('Issuance Log'!$D:$D,'Issuance Log'!$B:$B,A1282,'Issuance Log'!$G:$G,$B$4),0)</f>
        <v>0</v>
      </c>
      <c r="D1282" s="5">
        <f>IFERROR(COUNTIFS('Issuance Log'!$B:$B,A1282,'Issuance Log'!$G:$G,$B$4),0)</f>
        <v>0</v>
      </c>
      <c r="E1282" s="5" t="str">
        <f ca="1">IFERROR(INDEX('Issuance Log'!$E:$E,MATCH(MAXIFS('Issuance Log'!$D:$D,'Issuance Log'!$B:$B,A1282,'Issuance Log'!$G:$G,$B$4),IF(('Issuance Log'!$B:$B=A1282)*('Issuance Log'!$G:$G=$B$4),'Issuance Log'!$D:$D),0)),"-")</f>
        <v>-</v>
      </c>
    </row>
    <row r="1283" spans="1:5" x14ac:dyDescent="0.25">
      <c r="A1283" s="2" t="s">
        <v>2497</v>
      </c>
      <c r="B1283" s="2" t="s">
        <v>2498</v>
      </c>
      <c r="C1283" s="3">
        <f>IFERROR(SUMIFS('Issuance Log'!$D:$D,'Issuance Log'!$B:$B,A1283,'Issuance Log'!$G:$G,$B$4),0)</f>
        <v>0</v>
      </c>
      <c r="D1283" s="3">
        <f>IFERROR(COUNTIFS('Issuance Log'!$B:$B,A1283,'Issuance Log'!$G:$G,$B$4),0)</f>
        <v>0</v>
      </c>
      <c r="E1283" s="3" t="str">
        <f ca="1">IFERROR(INDEX('Issuance Log'!$E:$E,MATCH(MAXIFS('Issuance Log'!$D:$D,'Issuance Log'!$B:$B,A1283,'Issuance Log'!$G:$G,$B$4),IF(('Issuance Log'!$B:$B=A1283)*('Issuance Log'!$G:$G=$B$4),'Issuance Log'!$D:$D),0)),"-")</f>
        <v>-</v>
      </c>
    </row>
    <row r="1284" spans="1:5" x14ac:dyDescent="0.25">
      <c r="A1284" s="4" t="s">
        <v>2499</v>
      </c>
      <c r="B1284" s="4" t="s">
        <v>2500</v>
      </c>
      <c r="C1284" s="5">
        <f>IFERROR(SUMIFS('Issuance Log'!$D:$D,'Issuance Log'!$B:$B,A1284,'Issuance Log'!$G:$G,$B$4),0)</f>
        <v>0</v>
      </c>
      <c r="D1284" s="5">
        <f>IFERROR(COUNTIFS('Issuance Log'!$B:$B,A1284,'Issuance Log'!$G:$G,$B$4),0)</f>
        <v>0</v>
      </c>
      <c r="E1284" s="5" t="str">
        <f ca="1">IFERROR(INDEX('Issuance Log'!$E:$E,MATCH(MAXIFS('Issuance Log'!$D:$D,'Issuance Log'!$B:$B,A1284,'Issuance Log'!$G:$G,$B$4),IF(('Issuance Log'!$B:$B=A1284)*('Issuance Log'!$G:$G=$B$4),'Issuance Log'!$D:$D),0)),"-")</f>
        <v>-</v>
      </c>
    </row>
    <row r="1285" spans="1:5" x14ac:dyDescent="0.25">
      <c r="A1285" s="2" t="s">
        <v>2501</v>
      </c>
      <c r="B1285" s="2" t="s">
        <v>2502</v>
      </c>
      <c r="C1285" s="3">
        <f>IFERROR(SUMIFS('Issuance Log'!$D:$D,'Issuance Log'!$B:$B,A1285,'Issuance Log'!$G:$G,$B$4),0)</f>
        <v>0</v>
      </c>
      <c r="D1285" s="3">
        <f>IFERROR(COUNTIFS('Issuance Log'!$B:$B,A1285,'Issuance Log'!$G:$G,$B$4),0)</f>
        <v>0</v>
      </c>
      <c r="E1285" s="3" t="str">
        <f ca="1">IFERROR(INDEX('Issuance Log'!$E:$E,MATCH(MAXIFS('Issuance Log'!$D:$D,'Issuance Log'!$B:$B,A1285,'Issuance Log'!$G:$G,$B$4),IF(('Issuance Log'!$B:$B=A1285)*('Issuance Log'!$G:$G=$B$4),'Issuance Log'!$D:$D),0)),"-")</f>
        <v>-</v>
      </c>
    </row>
    <row r="1286" spans="1:5" x14ac:dyDescent="0.25">
      <c r="A1286" s="4" t="s">
        <v>2503</v>
      </c>
      <c r="B1286" s="4" t="s">
        <v>2504</v>
      </c>
      <c r="C1286" s="5">
        <f>IFERROR(SUMIFS('Issuance Log'!$D:$D,'Issuance Log'!$B:$B,A1286,'Issuance Log'!$G:$G,$B$4),0)</f>
        <v>0</v>
      </c>
      <c r="D1286" s="5">
        <f>IFERROR(COUNTIFS('Issuance Log'!$B:$B,A1286,'Issuance Log'!$G:$G,$B$4),0)</f>
        <v>0</v>
      </c>
      <c r="E1286" s="5" t="str">
        <f ca="1">IFERROR(INDEX('Issuance Log'!$E:$E,MATCH(MAXIFS('Issuance Log'!$D:$D,'Issuance Log'!$B:$B,A1286,'Issuance Log'!$G:$G,$B$4),IF(('Issuance Log'!$B:$B=A1286)*('Issuance Log'!$G:$G=$B$4),'Issuance Log'!$D:$D),0)),"-")</f>
        <v>-</v>
      </c>
    </row>
    <row r="1287" spans="1:5" x14ac:dyDescent="0.25">
      <c r="A1287" s="2" t="s">
        <v>2505</v>
      </c>
      <c r="B1287" s="2" t="s">
        <v>2506</v>
      </c>
      <c r="C1287" s="3">
        <f>IFERROR(SUMIFS('Issuance Log'!$D:$D,'Issuance Log'!$B:$B,A1287,'Issuance Log'!$G:$G,$B$4),0)</f>
        <v>0</v>
      </c>
      <c r="D1287" s="3">
        <f>IFERROR(COUNTIFS('Issuance Log'!$B:$B,A1287,'Issuance Log'!$G:$G,$B$4),0)</f>
        <v>0</v>
      </c>
      <c r="E1287" s="3" t="str">
        <f ca="1">IFERROR(INDEX('Issuance Log'!$E:$E,MATCH(MAXIFS('Issuance Log'!$D:$D,'Issuance Log'!$B:$B,A1287,'Issuance Log'!$G:$G,$B$4),IF(('Issuance Log'!$B:$B=A1287)*('Issuance Log'!$G:$G=$B$4),'Issuance Log'!$D:$D),0)),"-")</f>
        <v>-</v>
      </c>
    </row>
    <row r="1288" spans="1:5" x14ac:dyDescent="0.25">
      <c r="A1288" s="4" t="s">
        <v>2507</v>
      </c>
      <c r="B1288" s="4" t="s">
        <v>2508</v>
      </c>
      <c r="C1288" s="5">
        <f>IFERROR(SUMIFS('Issuance Log'!$D:$D,'Issuance Log'!$B:$B,A1288,'Issuance Log'!$G:$G,$B$4),0)</f>
        <v>0</v>
      </c>
      <c r="D1288" s="5">
        <f>IFERROR(COUNTIFS('Issuance Log'!$B:$B,A1288,'Issuance Log'!$G:$G,$B$4),0)</f>
        <v>0</v>
      </c>
      <c r="E1288" s="5" t="str">
        <f ca="1">IFERROR(INDEX('Issuance Log'!$E:$E,MATCH(MAXIFS('Issuance Log'!$D:$D,'Issuance Log'!$B:$B,A1288,'Issuance Log'!$G:$G,$B$4),IF(('Issuance Log'!$B:$B=A1288)*('Issuance Log'!$G:$G=$B$4),'Issuance Log'!$D:$D),0)),"-")</f>
        <v>-</v>
      </c>
    </row>
    <row r="1289" spans="1:5" x14ac:dyDescent="0.25">
      <c r="A1289" s="2" t="s">
        <v>2509</v>
      </c>
      <c r="B1289" s="2" t="s">
        <v>2510</v>
      </c>
      <c r="C1289" s="3">
        <f>IFERROR(SUMIFS('Issuance Log'!$D:$D,'Issuance Log'!$B:$B,A1289,'Issuance Log'!$G:$G,$B$4),0)</f>
        <v>0</v>
      </c>
      <c r="D1289" s="3">
        <f>IFERROR(COUNTIFS('Issuance Log'!$B:$B,A1289,'Issuance Log'!$G:$G,$B$4),0)</f>
        <v>0</v>
      </c>
      <c r="E1289" s="3" t="str">
        <f ca="1">IFERROR(INDEX('Issuance Log'!$E:$E,MATCH(MAXIFS('Issuance Log'!$D:$D,'Issuance Log'!$B:$B,A1289,'Issuance Log'!$G:$G,$B$4),IF(('Issuance Log'!$B:$B=A1289)*('Issuance Log'!$G:$G=$B$4),'Issuance Log'!$D:$D),0)),"-")</f>
        <v>-</v>
      </c>
    </row>
    <row r="1290" spans="1:5" x14ac:dyDescent="0.25">
      <c r="A1290" s="4" t="s">
        <v>2511</v>
      </c>
      <c r="B1290" s="4" t="s">
        <v>2512</v>
      </c>
      <c r="C1290" s="5">
        <f>IFERROR(SUMIFS('Issuance Log'!$D:$D,'Issuance Log'!$B:$B,A1290,'Issuance Log'!$G:$G,$B$4),0)</f>
        <v>0</v>
      </c>
      <c r="D1290" s="5">
        <f>IFERROR(COUNTIFS('Issuance Log'!$B:$B,A1290,'Issuance Log'!$G:$G,$B$4),0)</f>
        <v>0</v>
      </c>
      <c r="E1290" s="5" t="str">
        <f ca="1">IFERROR(INDEX('Issuance Log'!$E:$E,MATCH(MAXIFS('Issuance Log'!$D:$D,'Issuance Log'!$B:$B,A1290,'Issuance Log'!$G:$G,$B$4),IF(('Issuance Log'!$B:$B=A1290)*('Issuance Log'!$G:$G=$B$4),'Issuance Log'!$D:$D),0)),"-")</f>
        <v>-</v>
      </c>
    </row>
    <row r="1291" spans="1:5" x14ac:dyDescent="0.25">
      <c r="A1291" s="2" t="s">
        <v>2513</v>
      </c>
      <c r="B1291" s="2" t="s">
        <v>2514</v>
      </c>
      <c r="C1291" s="3">
        <f>IFERROR(SUMIFS('Issuance Log'!$D:$D,'Issuance Log'!$B:$B,A1291,'Issuance Log'!$G:$G,$B$4),0)</f>
        <v>0</v>
      </c>
      <c r="D1291" s="3">
        <f>IFERROR(COUNTIFS('Issuance Log'!$B:$B,A1291,'Issuance Log'!$G:$G,$B$4),0)</f>
        <v>0</v>
      </c>
      <c r="E1291" s="3" t="str">
        <f ca="1">IFERROR(INDEX('Issuance Log'!$E:$E,MATCH(MAXIFS('Issuance Log'!$D:$D,'Issuance Log'!$B:$B,A1291,'Issuance Log'!$G:$G,$B$4),IF(('Issuance Log'!$B:$B=A1291)*('Issuance Log'!$G:$G=$B$4),'Issuance Log'!$D:$D),0)),"-")</f>
        <v>-</v>
      </c>
    </row>
    <row r="1292" spans="1:5" x14ac:dyDescent="0.25">
      <c r="A1292" s="4" t="s">
        <v>2515</v>
      </c>
      <c r="B1292" s="4" t="s">
        <v>2516</v>
      </c>
      <c r="C1292" s="5">
        <f>IFERROR(SUMIFS('Issuance Log'!$D:$D,'Issuance Log'!$B:$B,A1292,'Issuance Log'!$G:$G,$B$4),0)</f>
        <v>0</v>
      </c>
      <c r="D1292" s="5">
        <f>IFERROR(COUNTIFS('Issuance Log'!$B:$B,A1292,'Issuance Log'!$G:$G,$B$4),0)</f>
        <v>0</v>
      </c>
      <c r="E1292" s="5" t="str">
        <f ca="1">IFERROR(INDEX('Issuance Log'!$E:$E,MATCH(MAXIFS('Issuance Log'!$D:$D,'Issuance Log'!$B:$B,A1292,'Issuance Log'!$G:$G,$B$4),IF(('Issuance Log'!$B:$B=A1292)*('Issuance Log'!$G:$G=$B$4),'Issuance Log'!$D:$D),0)),"-")</f>
        <v>-</v>
      </c>
    </row>
    <row r="1293" spans="1:5" x14ac:dyDescent="0.25">
      <c r="A1293" s="2" t="s">
        <v>2517</v>
      </c>
      <c r="B1293" s="2" t="s">
        <v>2518</v>
      </c>
      <c r="C1293" s="3">
        <f>IFERROR(SUMIFS('Issuance Log'!$D:$D,'Issuance Log'!$B:$B,A1293,'Issuance Log'!$G:$G,$B$4),0)</f>
        <v>0</v>
      </c>
      <c r="D1293" s="3">
        <f>IFERROR(COUNTIFS('Issuance Log'!$B:$B,A1293,'Issuance Log'!$G:$G,$B$4),0)</f>
        <v>0</v>
      </c>
      <c r="E1293" s="3" t="str">
        <f ca="1">IFERROR(INDEX('Issuance Log'!$E:$E,MATCH(MAXIFS('Issuance Log'!$D:$D,'Issuance Log'!$B:$B,A1293,'Issuance Log'!$G:$G,$B$4),IF(('Issuance Log'!$B:$B=A1293)*('Issuance Log'!$G:$G=$B$4),'Issuance Log'!$D:$D),0)),"-")</f>
        <v>-</v>
      </c>
    </row>
    <row r="1294" spans="1:5" x14ac:dyDescent="0.25">
      <c r="A1294" s="4" t="s">
        <v>2519</v>
      </c>
      <c r="B1294" s="4" t="s">
        <v>2520</v>
      </c>
      <c r="C1294" s="5">
        <f>IFERROR(SUMIFS('Issuance Log'!$D:$D,'Issuance Log'!$B:$B,A1294,'Issuance Log'!$G:$G,$B$4),0)</f>
        <v>0</v>
      </c>
      <c r="D1294" s="5">
        <f>IFERROR(COUNTIFS('Issuance Log'!$B:$B,A1294,'Issuance Log'!$G:$G,$B$4),0)</f>
        <v>0</v>
      </c>
      <c r="E1294" s="5" t="str">
        <f ca="1">IFERROR(INDEX('Issuance Log'!$E:$E,MATCH(MAXIFS('Issuance Log'!$D:$D,'Issuance Log'!$B:$B,A1294,'Issuance Log'!$G:$G,$B$4),IF(('Issuance Log'!$B:$B=A1294)*('Issuance Log'!$G:$G=$B$4),'Issuance Log'!$D:$D),0)),"-")</f>
        <v>-</v>
      </c>
    </row>
    <row r="1295" spans="1:5" x14ac:dyDescent="0.25">
      <c r="A1295" s="2" t="s">
        <v>2521</v>
      </c>
      <c r="B1295" s="2" t="s">
        <v>2522</v>
      </c>
      <c r="C1295" s="3">
        <f>IFERROR(SUMIFS('Issuance Log'!$D:$D,'Issuance Log'!$B:$B,A1295,'Issuance Log'!$G:$G,$B$4),0)</f>
        <v>0</v>
      </c>
      <c r="D1295" s="3">
        <f>IFERROR(COUNTIFS('Issuance Log'!$B:$B,A1295,'Issuance Log'!$G:$G,$B$4),0)</f>
        <v>0</v>
      </c>
      <c r="E1295" s="3" t="str">
        <f ca="1">IFERROR(INDEX('Issuance Log'!$E:$E,MATCH(MAXIFS('Issuance Log'!$D:$D,'Issuance Log'!$B:$B,A1295,'Issuance Log'!$G:$G,$B$4),IF(('Issuance Log'!$B:$B=A1295)*('Issuance Log'!$G:$G=$B$4),'Issuance Log'!$D:$D),0)),"-")</f>
        <v>-</v>
      </c>
    </row>
    <row r="1296" spans="1:5" x14ac:dyDescent="0.25">
      <c r="A1296" s="4" t="s">
        <v>2523</v>
      </c>
      <c r="B1296" s="4" t="s">
        <v>2524</v>
      </c>
      <c r="C1296" s="5">
        <f>IFERROR(SUMIFS('Issuance Log'!$D:$D,'Issuance Log'!$B:$B,A1296,'Issuance Log'!$G:$G,$B$4),0)</f>
        <v>0</v>
      </c>
      <c r="D1296" s="5">
        <f>IFERROR(COUNTIFS('Issuance Log'!$B:$B,A1296,'Issuance Log'!$G:$G,$B$4),0)</f>
        <v>0</v>
      </c>
      <c r="E1296" s="5" t="str">
        <f ca="1">IFERROR(INDEX('Issuance Log'!$E:$E,MATCH(MAXIFS('Issuance Log'!$D:$D,'Issuance Log'!$B:$B,A1296,'Issuance Log'!$G:$G,$B$4),IF(('Issuance Log'!$B:$B=A1296)*('Issuance Log'!$G:$G=$B$4),'Issuance Log'!$D:$D),0)),"-")</f>
        <v>-</v>
      </c>
    </row>
    <row r="1297" spans="1:5" x14ac:dyDescent="0.25">
      <c r="A1297" s="2" t="s">
        <v>2525</v>
      </c>
      <c r="B1297" s="2" t="s">
        <v>2526</v>
      </c>
      <c r="C1297" s="3">
        <f>IFERROR(SUMIFS('Issuance Log'!$D:$D,'Issuance Log'!$B:$B,A1297,'Issuance Log'!$G:$G,$B$4),0)</f>
        <v>0</v>
      </c>
      <c r="D1297" s="3">
        <f>IFERROR(COUNTIFS('Issuance Log'!$B:$B,A1297,'Issuance Log'!$G:$G,$B$4),0)</f>
        <v>0</v>
      </c>
      <c r="E1297" s="3" t="str">
        <f ca="1">IFERROR(INDEX('Issuance Log'!$E:$E,MATCH(MAXIFS('Issuance Log'!$D:$D,'Issuance Log'!$B:$B,A1297,'Issuance Log'!$G:$G,$B$4),IF(('Issuance Log'!$B:$B=A1297)*('Issuance Log'!$G:$G=$B$4),'Issuance Log'!$D:$D),0)),"-")</f>
        <v>-</v>
      </c>
    </row>
    <row r="1298" spans="1:5" x14ac:dyDescent="0.25">
      <c r="A1298" s="4" t="s">
        <v>2527</v>
      </c>
      <c r="B1298" s="4" t="s">
        <v>2528</v>
      </c>
      <c r="C1298" s="5">
        <f>IFERROR(SUMIFS('Issuance Log'!$D:$D,'Issuance Log'!$B:$B,A1298,'Issuance Log'!$G:$G,$B$4),0)</f>
        <v>0</v>
      </c>
      <c r="D1298" s="5">
        <f>IFERROR(COUNTIFS('Issuance Log'!$B:$B,A1298,'Issuance Log'!$G:$G,$B$4),0)</f>
        <v>0</v>
      </c>
      <c r="E1298" s="5" t="str">
        <f ca="1">IFERROR(INDEX('Issuance Log'!$E:$E,MATCH(MAXIFS('Issuance Log'!$D:$D,'Issuance Log'!$B:$B,A1298,'Issuance Log'!$G:$G,$B$4),IF(('Issuance Log'!$B:$B=A1298)*('Issuance Log'!$G:$G=$B$4),'Issuance Log'!$D:$D),0)),"-")</f>
        <v>-</v>
      </c>
    </row>
    <row r="1299" spans="1:5" x14ac:dyDescent="0.25">
      <c r="A1299" s="2" t="s">
        <v>2529</v>
      </c>
      <c r="B1299" s="2" t="s">
        <v>2530</v>
      </c>
      <c r="C1299" s="3">
        <f>IFERROR(SUMIFS('Issuance Log'!$D:$D,'Issuance Log'!$B:$B,A1299,'Issuance Log'!$G:$G,$B$4),0)</f>
        <v>0</v>
      </c>
      <c r="D1299" s="3">
        <f>IFERROR(COUNTIFS('Issuance Log'!$B:$B,A1299,'Issuance Log'!$G:$G,$B$4),0)</f>
        <v>0</v>
      </c>
      <c r="E1299" s="3" t="str">
        <f ca="1">IFERROR(INDEX('Issuance Log'!$E:$E,MATCH(MAXIFS('Issuance Log'!$D:$D,'Issuance Log'!$B:$B,A1299,'Issuance Log'!$G:$G,$B$4),IF(('Issuance Log'!$B:$B=A1299)*('Issuance Log'!$G:$G=$B$4),'Issuance Log'!$D:$D),0)),"-")</f>
        <v>-</v>
      </c>
    </row>
    <row r="1300" spans="1:5" x14ac:dyDescent="0.25">
      <c r="A1300" s="4" t="s">
        <v>2531</v>
      </c>
      <c r="B1300" s="4" t="s">
        <v>2532</v>
      </c>
      <c r="C1300" s="5">
        <f>IFERROR(SUMIFS('Issuance Log'!$D:$D,'Issuance Log'!$B:$B,A1300,'Issuance Log'!$G:$G,$B$4),0)</f>
        <v>0</v>
      </c>
      <c r="D1300" s="5">
        <f>IFERROR(COUNTIFS('Issuance Log'!$B:$B,A1300,'Issuance Log'!$G:$G,$B$4),0)</f>
        <v>0</v>
      </c>
      <c r="E1300" s="5" t="str">
        <f ca="1">IFERROR(INDEX('Issuance Log'!$E:$E,MATCH(MAXIFS('Issuance Log'!$D:$D,'Issuance Log'!$B:$B,A1300,'Issuance Log'!$G:$G,$B$4),IF(('Issuance Log'!$B:$B=A1300)*('Issuance Log'!$G:$G=$B$4),'Issuance Log'!$D:$D),0)),"-")</f>
        <v>-</v>
      </c>
    </row>
    <row r="1301" spans="1:5" x14ac:dyDescent="0.25">
      <c r="A1301" s="2" t="s">
        <v>2533</v>
      </c>
      <c r="B1301" s="2" t="s">
        <v>2534</v>
      </c>
      <c r="C1301" s="3">
        <f>IFERROR(SUMIFS('Issuance Log'!$D:$D,'Issuance Log'!$B:$B,A1301,'Issuance Log'!$G:$G,$B$4),0)</f>
        <v>0</v>
      </c>
      <c r="D1301" s="3">
        <f>IFERROR(COUNTIFS('Issuance Log'!$B:$B,A1301,'Issuance Log'!$G:$G,$B$4),0)</f>
        <v>0</v>
      </c>
      <c r="E1301" s="3" t="str">
        <f ca="1">IFERROR(INDEX('Issuance Log'!$E:$E,MATCH(MAXIFS('Issuance Log'!$D:$D,'Issuance Log'!$B:$B,A1301,'Issuance Log'!$G:$G,$B$4),IF(('Issuance Log'!$B:$B=A1301)*('Issuance Log'!$G:$G=$B$4),'Issuance Log'!$D:$D),0)),"-")</f>
        <v>-</v>
      </c>
    </row>
    <row r="1302" spans="1:5" x14ac:dyDescent="0.25">
      <c r="A1302" s="4" t="s">
        <v>2535</v>
      </c>
      <c r="B1302" s="4" t="s">
        <v>2536</v>
      </c>
      <c r="C1302" s="5">
        <f>IFERROR(SUMIFS('Issuance Log'!$D:$D,'Issuance Log'!$B:$B,A1302,'Issuance Log'!$G:$G,$B$4),0)</f>
        <v>0</v>
      </c>
      <c r="D1302" s="5">
        <f>IFERROR(COUNTIFS('Issuance Log'!$B:$B,A1302,'Issuance Log'!$G:$G,$B$4),0)</f>
        <v>0</v>
      </c>
      <c r="E1302" s="5" t="str">
        <f ca="1">IFERROR(INDEX('Issuance Log'!$E:$E,MATCH(MAXIFS('Issuance Log'!$D:$D,'Issuance Log'!$B:$B,A1302,'Issuance Log'!$G:$G,$B$4),IF(('Issuance Log'!$B:$B=A1302)*('Issuance Log'!$G:$G=$B$4),'Issuance Log'!$D:$D),0)),"-")</f>
        <v>-</v>
      </c>
    </row>
    <row r="1303" spans="1:5" x14ac:dyDescent="0.25">
      <c r="A1303" s="2" t="s">
        <v>2537</v>
      </c>
      <c r="B1303" s="2" t="s">
        <v>2538</v>
      </c>
      <c r="C1303" s="3">
        <f>IFERROR(SUMIFS('Issuance Log'!$D:$D,'Issuance Log'!$B:$B,A1303,'Issuance Log'!$G:$G,$B$4),0)</f>
        <v>0</v>
      </c>
      <c r="D1303" s="3">
        <f>IFERROR(COUNTIFS('Issuance Log'!$B:$B,A1303,'Issuance Log'!$G:$G,$B$4),0)</f>
        <v>0</v>
      </c>
      <c r="E1303" s="3" t="str">
        <f ca="1">IFERROR(INDEX('Issuance Log'!$E:$E,MATCH(MAXIFS('Issuance Log'!$D:$D,'Issuance Log'!$B:$B,A1303,'Issuance Log'!$G:$G,$B$4),IF(('Issuance Log'!$B:$B=A1303)*('Issuance Log'!$G:$G=$B$4),'Issuance Log'!$D:$D),0)),"-")</f>
        <v>-</v>
      </c>
    </row>
    <row r="1304" spans="1:5" x14ac:dyDescent="0.25">
      <c r="A1304" s="4" t="s">
        <v>2539</v>
      </c>
      <c r="B1304" s="4" t="s">
        <v>2540</v>
      </c>
      <c r="C1304" s="5">
        <f>IFERROR(SUMIFS('Issuance Log'!$D:$D,'Issuance Log'!$B:$B,A1304,'Issuance Log'!$G:$G,$B$4),0)</f>
        <v>0</v>
      </c>
      <c r="D1304" s="5">
        <f>IFERROR(COUNTIFS('Issuance Log'!$B:$B,A1304,'Issuance Log'!$G:$G,$B$4),0)</f>
        <v>0</v>
      </c>
      <c r="E1304" s="5" t="str">
        <f ca="1">IFERROR(INDEX('Issuance Log'!$E:$E,MATCH(MAXIFS('Issuance Log'!$D:$D,'Issuance Log'!$B:$B,A1304,'Issuance Log'!$G:$G,$B$4),IF(('Issuance Log'!$B:$B=A1304)*('Issuance Log'!$G:$G=$B$4),'Issuance Log'!$D:$D),0)),"-")</f>
        <v>-</v>
      </c>
    </row>
    <row r="1305" spans="1:5" x14ac:dyDescent="0.25">
      <c r="A1305" s="2" t="s">
        <v>2541</v>
      </c>
      <c r="B1305" s="2" t="s">
        <v>2542</v>
      </c>
      <c r="C1305" s="3">
        <f>IFERROR(SUMIFS('Issuance Log'!$D:$D,'Issuance Log'!$B:$B,A1305,'Issuance Log'!$G:$G,$B$4),0)</f>
        <v>0</v>
      </c>
      <c r="D1305" s="3">
        <f>IFERROR(COUNTIFS('Issuance Log'!$B:$B,A1305,'Issuance Log'!$G:$G,$B$4),0)</f>
        <v>0</v>
      </c>
      <c r="E1305" s="3" t="str">
        <f ca="1">IFERROR(INDEX('Issuance Log'!$E:$E,MATCH(MAXIFS('Issuance Log'!$D:$D,'Issuance Log'!$B:$B,A1305,'Issuance Log'!$G:$G,$B$4),IF(('Issuance Log'!$B:$B=A1305)*('Issuance Log'!$G:$G=$B$4),'Issuance Log'!$D:$D),0)),"-")</f>
        <v>-</v>
      </c>
    </row>
    <row r="1306" spans="1:5" x14ac:dyDescent="0.25">
      <c r="A1306" s="4" t="s">
        <v>2543</v>
      </c>
      <c r="B1306" s="4" t="s">
        <v>2544</v>
      </c>
      <c r="C1306" s="5">
        <f>IFERROR(SUMIFS('Issuance Log'!$D:$D,'Issuance Log'!$B:$B,A1306,'Issuance Log'!$G:$G,$B$4),0)</f>
        <v>0</v>
      </c>
      <c r="D1306" s="5">
        <f>IFERROR(COUNTIFS('Issuance Log'!$B:$B,A1306,'Issuance Log'!$G:$G,$B$4),0)</f>
        <v>0</v>
      </c>
      <c r="E1306" s="5" t="str">
        <f ca="1">IFERROR(INDEX('Issuance Log'!$E:$E,MATCH(MAXIFS('Issuance Log'!$D:$D,'Issuance Log'!$B:$B,A1306,'Issuance Log'!$G:$G,$B$4),IF(('Issuance Log'!$B:$B=A1306)*('Issuance Log'!$G:$G=$B$4),'Issuance Log'!$D:$D),0)),"-")</f>
        <v>-</v>
      </c>
    </row>
    <row r="1307" spans="1:5" x14ac:dyDescent="0.25">
      <c r="A1307" s="2" t="s">
        <v>2545</v>
      </c>
      <c r="B1307" s="2" t="s">
        <v>2546</v>
      </c>
      <c r="C1307" s="3">
        <f>IFERROR(SUMIFS('Issuance Log'!$D:$D,'Issuance Log'!$B:$B,A1307,'Issuance Log'!$G:$G,$B$4),0)</f>
        <v>0</v>
      </c>
      <c r="D1307" s="3">
        <f>IFERROR(COUNTIFS('Issuance Log'!$B:$B,A1307,'Issuance Log'!$G:$G,$B$4),0)</f>
        <v>0</v>
      </c>
      <c r="E1307" s="3" t="str">
        <f ca="1">IFERROR(INDEX('Issuance Log'!$E:$E,MATCH(MAXIFS('Issuance Log'!$D:$D,'Issuance Log'!$B:$B,A1307,'Issuance Log'!$G:$G,$B$4),IF(('Issuance Log'!$B:$B=A1307)*('Issuance Log'!$G:$G=$B$4),'Issuance Log'!$D:$D),0)),"-")</f>
        <v>-</v>
      </c>
    </row>
    <row r="1308" spans="1:5" x14ac:dyDescent="0.25">
      <c r="A1308" s="4" t="s">
        <v>2547</v>
      </c>
      <c r="B1308" s="4" t="s">
        <v>2548</v>
      </c>
      <c r="C1308" s="5">
        <f>IFERROR(SUMIFS('Issuance Log'!$D:$D,'Issuance Log'!$B:$B,A1308,'Issuance Log'!$G:$G,$B$4),0)</f>
        <v>0</v>
      </c>
      <c r="D1308" s="5">
        <f>IFERROR(COUNTIFS('Issuance Log'!$B:$B,A1308,'Issuance Log'!$G:$G,$B$4),0)</f>
        <v>0</v>
      </c>
      <c r="E1308" s="5" t="str">
        <f ca="1">IFERROR(INDEX('Issuance Log'!$E:$E,MATCH(MAXIFS('Issuance Log'!$D:$D,'Issuance Log'!$B:$B,A1308,'Issuance Log'!$G:$G,$B$4),IF(('Issuance Log'!$B:$B=A1308)*('Issuance Log'!$G:$G=$B$4),'Issuance Log'!$D:$D),0)),"-")</f>
        <v>-</v>
      </c>
    </row>
    <row r="1309" spans="1:5" x14ac:dyDescent="0.25">
      <c r="A1309" s="2" t="s">
        <v>2549</v>
      </c>
      <c r="B1309" s="2" t="s">
        <v>2550</v>
      </c>
      <c r="C1309" s="3">
        <f>IFERROR(SUMIFS('Issuance Log'!$D:$D,'Issuance Log'!$B:$B,A1309,'Issuance Log'!$G:$G,$B$4),0)</f>
        <v>0</v>
      </c>
      <c r="D1309" s="3">
        <f>IFERROR(COUNTIFS('Issuance Log'!$B:$B,A1309,'Issuance Log'!$G:$G,$B$4),0)</f>
        <v>0</v>
      </c>
      <c r="E1309" s="3" t="str">
        <f ca="1">IFERROR(INDEX('Issuance Log'!$E:$E,MATCH(MAXIFS('Issuance Log'!$D:$D,'Issuance Log'!$B:$B,A1309,'Issuance Log'!$G:$G,$B$4),IF(('Issuance Log'!$B:$B=A1309)*('Issuance Log'!$G:$G=$B$4),'Issuance Log'!$D:$D),0)),"-")</f>
        <v>-</v>
      </c>
    </row>
    <row r="1310" spans="1:5" x14ac:dyDescent="0.25">
      <c r="A1310" s="4" t="s">
        <v>2551</v>
      </c>
      <c r="B1310" s="4" t="s">
        <v>2552</v>
      </c>
      <c r="C1310" s="5">
        <f>IFERROR(SUMIFS('Issuance Log'!$D:$D,'Issuance Log'!$B:$B,A1310,'Issuance Log'!$G:$G,$B$4),0)</f>
        <v>0</v>
      </c>
      <c r="D1310" s="5">
        <f>IFERROR(COUNTIFS('Issuance Log'!$B:$B,A1310,'Issuance Log'!$G:$G,$B$4),0)</f>
        <v>0</v>
      </c>
      <c r="E1310" s="5" t="str">
        <f ca="1">IFERROR(INDEX('Issuance Log'!$E:$E,MATCH(MAXIFS('Issuance Log'!$D:$D,'Issuance Log'!$B:$B,A1310,'Issuance Log'!$G:$G,$B$4),IF(('Issuance Log'!$B:$B=A1310)*('Issuance Log'!$G:$G=$B$4),'Issuance Log'!$D:$D),0)),"-")</f>
        <v>-</v>
      </c>
    </row>
    <row r="1311" spans="1:5" x14ac:dyDescent="0.25">
      <c r="A1311" s="2" t="s">
        <v>2553</v>
      </c>
      <c r="B1311" s="2" t="s">
        <v>2554</v>
      </c>
      <c r="C1311" s="3">
        <f>IFERROR(SUMIFS('Issuance Log'!$D:$D,'Issuance Log'!$B:$B,A1311,'Issuance Log'!$G:$G,$B$4),0)</f>
        <v>0</v>
      </c>
      <c r="D1311" s="3">
        <f>IFERROR(COUNTIFS('Issuance Log'!$B:$B,A1311,'Issuance Log'!$G:$G,$B$4),0)</f>
        <v>0</v>
      </c>
      <c r="E1311" s="3" t="str">
        <f ca="1">IFERROR(INDEX('Issuance Log'!$E:$E,MATCH(MAXIFS('Issuance Log'!$D:$D,'Issuance Log'!$B:$B,A1311,'Issuance Log'!$G:$G,$B$4),IF(('Issuance Log'!$B:$B=A1311)*('Issuance Log'!$G:$G=$B$4),'Issuance Log'!$D:$D),0)),"-")</f>
        <v>-</v>
      </c>
    </row>
    <row r="1312" spans="1:5" x14ac:dyDescent="0.25">
      <c r="A1312" s="4" t="s">
        <v>2555</v>
      </c>
      <c r="B1312" s="4" t="s">
        <v>2556</v>
      </c>
      <c r="C1312" s="5">
        <f>IFERROR(SUMIFS('Issuance Log'!$D:$D,'Issuance Log'!$B:$B,A1312,'Issuance Log'!$G:$G,$B$4),0)</f>
        <v>0</v>
      </c>
      <c r="D1312" s="5">
        <f>IFERROR(COUNTIFS('Issuance Log'!$B:$B,A1312,'Issuance Log'!$G:$G,$B$4),0)</f>
        <v>0</v>
      </c>
      <c r="E1312" s="5" t="str">
        <f ca="1">IFERROR(INDEX('Issuance Log'!$E:$E,MATCH(MAXIFS('Issuance Log'!$D:$D,'Issuance Log'!$B:$B,A1312,'Issuance Log'!$G:$G,$B$4),IF(('Issuance Log'!$B:$B=A1312)*('Issuance Log'!$G:$G=$B$4),'Issuance Log'!$D:$D),0)),"-")</f>
        <v>-</v>
      </c>
    </row>
    <row r="1313" spans="1:5" x14ac:dyDescent="0.25">
      <c r="A1313" s="2" t="s">
        <v>2557</v>
      </c>
      <c r="B1313" s="2" t="s">
        <v>2558</v>
      </c>
      <c r="C1313" s="3">
        <f>IFERROR(SUMIFS('Issuance Log'!$D:$D,'Issuance Log'!$B:$B,A1313,'Issuance Log'!$G:$G,$B$4),0)</f>
        <v>0</v>
      </c>
      <c r="D1313" s="3">
        <f>IFERROR(COUNTIFS('Issuance Log'!$B:$B,A1313,'Issuance Log'!$G:$G,$B$4),0)</f>
        <v>0</v>
      </c>
      <c r="E1313" s="3" t="str">
        <f ca="1">IFERROR(INDEX('Issuance Log'!$E:$E,MATCH(MAXIFS('Issuance Log'!$D:$D,'Issuance Log'!$B:$B,A1313,'Issuance Log'!$G:$G,$B$4),IF(('Issuance Log'!$B:$B=A1313)*('Issuance Log'!$G:$G=$B$4),'Issuance Log'!$D:$D),0)),"-")</f>
        <v>-</v>
      </c>
    </row>
    <row r="1314" spans="1:5" x14ac:dyDescent="0.25">
      <c r="A1314" s="4" t="s">
        <v>2559</v>
      </c>
      <c r="B1314" s="4" t="s">
        <v>2560</v>
      </c>
      <c r="C1314" s="5">
        <f>IFERROR(SUMIFS('Issuance Log'!$D:$D,'Issuance Log'!$B:$B,A1314,'Issuance Log'!$G:$G,$B$4),0)</f>
        <v>0</v>
      </c>
      <c r="D1314" s="5">
        <f>IFERROR(COUNTIFS('Issuance Log'!$B:$B,A1314,'Issuance Log'!$G:$G,$B$4),0)</f>
        <v>0</v>
      </c>
      <c r="E1314" s="5" t="str">
        <f ca="1">IFERROR(INDEX('Issuance Log'!$E:$E,MATCH(MAXIFS('Issuance Log'!$D:$D,'Issuance Log'!$B:$B,A1314,'Issuance Log'!$G:$G,$B$4),IF(('Issuance Log'!$B:$B=A1314)*('Issuance Log'!$G:$G=$B$4),'Issuance Log'!$D:$D),0)),"-")</f>
        <v>-</v>
      </c>
    </row>
    <row r="1315" spans="1:5" x14ac:dyDescent="0.25">
      <c r="A1315" s="2" t="s">
        <v>2561</v>
      </c>
      <c r="B1315" s="2" t="s">
        <v>2562</v>
      </c>
      <c r="C1315" s="3">
        <f>IFERROR(SUMIFS('Issuance Log'!$D:$D,'Issuance Log'!$B:$B,A1315,'Issuance Log'!$G:$G,$B$4),0)</f>
        <v>0</v>
      </c>
      <c r="D1315" s="3">
        <f>IFERROR(COUNTIFS('Issuance Log'!$B:$B,A1315,'Issuance Log'!$G:$G,$B$4),0)</f>
        <v>0</v>
      </c>
      <c r="E1315" s="3" t="str">
        <f ca="1">IFERROR(INDEX('Issuance Log'!$E:$E,MATCH(MAXIFS('Issuance Log'!$D:$D,'Issuance Log'!$B:$B,A1315,'Issuance Log'!$G:$G,$B$4),IF(('Issuance Log'!$B:$B=A1315)*('Issuance Log'!$G:$G=$B$4),'Issuance Log'!$D:$D),0)),"-")</f>
        <v>-</v>
      </c>
    </row>
    <row r="1316" spans="1:5" x14ac:dyDescent="0.25">
      <c r="A1316" s="4" t="s">
        <v>2563</v>
      </c>
      <c r="B1316" s="4" t="s">
        <v>2564</v>
      </c>
      <c r="C1316" s="5">
        <f>IFERROR(SUMIFS('Issuance Log'!$D:$D,'Issuance Log'!$B:$B,A1316,'Issuance Log'!$G:$G,$B$4),0)</f>
        <v>0</v>
      </c>
      <c r="D1316" s="5">
        <f>IFERROR(COUNTIFS('Issuance Log'!$B:$B,A1316,'Issuance Log'!$G:$G,$B$4),0)</f>
        <v>0</v>
      </c>
      <c r="E1316" s="5" t="str">
        <f ca="1">IFERROR(INDEX('Issuance Log'!$E:$E,MATCH(MAXIFS('Issuance Log'!$D:$D,'Issuance Log'!$B:$B,A1316,'Issuance Log'!$G:$G,$B$4),IF(('Issuance Log'!$B:$B=A1316)*('Issuance Log'!$G:$G=$B$4),'Issuance Log'!$D:$D),0)),"-")</f>
        <v>-</v>
      </c>
    </row>
    <row r="1317" spans="1:5" x14ac:dyDescent="0.25">
      <c r="A1317" s="2" t="s">
        <v>2565</v>
      </c>
      <c r="B1317" s="2" t="s">
        <v>2566</v>
      </c>
      <c r="C1317" s="3">
        <f>IFERROR(SUMIFS('Issuance Log'!$D:$D,'Issuance Log'!$B:$B,A1317,'Issuance Log'!$G:$G,$B$4),0)</f>
        <v>0</v>
      </c>
      <c r="D1317" s="3">
        <f>IFERROR(COUNTIFS('Issuance Log'!$B:$B,A1317,'Issuance Log'!$G:$G,$B$4),0)</f>
        <v>0</v>
      </c>
      <c r="E1317" s="3" t="str">
        <f ca="1">IFERROR(INDEX('Issuance Log'!$E:$E,MATCH(MAXIFS('Issuance Log'!$D:$D,'Issuance Log'!$B:$B,A1317,'Issuance Log'!$G:$G,$B$4),IF(('Issuance Log'!$B:$B=A1317)*('Issuance Log'!$G:$G=$B$4),'Issuance Log'!$D:$D),0)),"-")</f>
        <v>-</v>
      </c>
    </row>
    <row r="1318" spans="1:5" x14ac:dyDescent="0.25">
      <c r="A1318" s="4" t="s">
        <v>2567</v>
      </c>
      <c r="B1318" s="4" t="s">
        <v>2568</v>
      </c>
      <c r="C1318" s="5">
        <f>IFERROR(SUMIFS('Issuance Log'!$D:$D,'Issuance Log'!$B:$B,A1318,'Issuance Log'!$G:$G,$B$4),0)</f>
        <v>0</v>
      </c>
      <c r="D1318" s="5">
        <f>IFERROR(COUNTIFS('Issuance Log'!$B:$B,A1318,'Issuance Log'!$G:$G,$B$4),0)</f>
        <v>0</v>
      </c>
      <c r="E1318" s="5" t="str">
        <f ca="1">IFERROR(INDEX('Issuance Log'!$E:$E,MATCH(MAXIFS('Issuance Log'!$D:$D,'Issuance Log'!$B:$B,A1318,'Issuance Log'!$G:$G,$B$4),IF(('Issuance Log'!$B:$B=A1318)*('Issuance Log'!$G:$G=$B$4),'Issuance Log'!$D:$D),0)),"-")</f>
        <v>-</v>
      </c>
    </row>
    <row r="1319" spans="1:5" x14ac:dyDescent="0.25">
      <c r="A1319" s="2" t="s">
        <v>2569</v>
      </c>
      <c r="B1319" s="2" t="s">
        <v>2570</v>
      </c>
      <c r="C1319" s="3">
        <f>IFERROR(SUMIFS('Issuance Log'!$D:$D,'Issuance Log'!$B:$B,A1319,'Issuance Log'!$G:$G,$B$4),0)</f>
        <v>0</v>
      </c>
      <c r="D1319" s="3">
        <f>IFERROR(COUNTIFS('Issuance Log'!$B:$B,A1319,'Issuance Log'!$G:$G,$B$4),0)</f>
        <v>0</v>
      </c>
      <c r="E1319" s="3" t="str">
        <f ca="1">IFERROR(INDEX('Issuance Log'!$E:$E,MATCH(MAXIFS('Issuance Log'!$D:$D,'Issuance Log'!$B:$B,A1319,'Issuance Log'!$G:$G,$B$4),IF(('Issuance Log'!$B:$B=A1319)*('Issuance Log'!$G:$G=$B$4),'Issuance Log'!$D:$D),0)),"-")</f>
        <v>-</v>
      </c>
    </row>
    <row r="1320" spans="1:5" x14ac:dyDescent="0.25">
      <c r="A1320" s="4" t="s">
        <v>2571</v>
      </c>
      <c r="B1320" s="4" t="s">
        <v>2572</v>
      </c>
      <c r="C1320" s="5">
        <f>IFERROR(SUMIFS('Issuance Log'!$D:$D,'Issuance Log'!$B:$B,A1320,'Issuance Log'!$G:$G,$B$4),0)</f>
        <v>0</v>
      </c>
      <c r="D1320" s="5">
        <f>IFERROR(COUNTIFS('Issuance Log'!$B:$B,A1320,'Issuance Log'!$G:$G,$B$4),0)</f>
        <v>0</v>
      </c>
      <c r="E1320" s="5" t="str">
        <f ca="1">IFERROR(INDEX('Issuance Log'!$E:$E,MATCH(MAXIFS('Issuance Log'!$D:$D,'Issuance Log'!$B:$B,A1320,'Issuance Log'!$G:$G,$B$4),IF(('Issuance Log'!$B:$B=A1320)*('Issuance Log'!$G:$G=$B$4),'Issuance Log'!$D:$D),0)),"-")</f>
        <v>-</v>
      </c>
    </row>
    <row r="1321" spans="1:5" x14ac:dyDescent="0.25">
      <c r="A1321" s="2" t="s">
        <v>2573</v>
      </c>
      <c r="B1321" s="2" t="s">
        <v>2574</v>
      </c>
      <c r="C1321" s="3">
        <f>IFERROR(SUMIFS('Issuance Log'!$D:$D,'Issuance Log'!$B:$B,A1321,'Issuance Log'!$G:$G,$B$4),0)</f>
        <v>0</v>
      </c>
      <c r="D1321" s="3">
        <f>IFERROR(COUNTIFS('Issuance Log'!$B:$B,A1321,'Issuance Log'!$G:$G,$B$4),0)</f>
        <v>0</v>
      </c>
      <c r="E1321" s="3" t="str">
        <f ca="1">IFERROR(INDEX('Issuance Log'!$E:$E,MATCH(MAXIFS('Issuance Log'!$D:$D,'Issuance Log'!$B:$B,A1321,'Issuance Log'!$G:$G,$B$4),IF(('Issuance Log'!$B:$B=A1321)*('Issuance Log'!$G:$G=$B$4),'Issuance Log'!$D:$D),0)),"-")</f>
        <v>-</v>
      </c>
    </row>
    <row r="1322" spans="1:5" x14ac:dyDescent="0.25">
      <c r="A1322" s="4" t="s">
        <v>2575</v>
      </c>
      <c r="B1322" s="4" t="s">
        <v>2576</v>
      </c>
      <c r="C1322" s="5">
        <f>IFERROR(SUMIFS('Issuance Log'!$D:$D,'Issuance Log'!$B:$B,A1322,'Issuance Log'!$G:$G,$B$4),0)</f>
        <v>0</v>
      </c>
      <c r="D1322" s="5">
        <f>IFERROR(COUNTIFS('Issuance Log'!$B:$B,A1322,'Issuance Log'!$G:$G,$B$4),0)</f>
        <v>0</v>
      </c>
      <c r="E1322" s="5" t="str">
        <f ca="1">IFERROR(INDEX('Issuance Log'!$E:$E,MATCH(MAXIFS('Issuance Log'!$D:$D,'Issuance Log'!$B:$B,A1322,'Issuance Log'!$G:$G,$B$4),IF(('Issuance Log'!$B:$B=A1322)*('Issuance Log'!$G:$G=$B$4),'Issuance Log'!$D:$D),0)),"-")</f>
        <v>-</v>
      </c>
    </row>
    <row r="1323" spans="1:5" x14ac:dyDescent="0.25">
      <c r="A1323" s="2" t="s">
        <v>2577</v>
      </c>
      <c r="B1323" s="2" t="s">
        <v>2578</v>
      </c>
      <c r="C1323" s="3">
        <f>IFERROR(SUMIFS('Issuance Log'!$D:$D,'Issuance Log'!$B:$B,A1323,'Issuance Log'!$G:$G,$B$4),0)</f>
        <v>0</v>
      </c>
      <c r="D1323" s="3">
        <f>IFERROR(COUNTIFS('Issuance Log'!$B:$B,A1323,'Issuance Log'!$G:$G,$B$4),0)</f>
        <v>0</v>
      </c>
      <c r="E1323" s="3" t="str">
        <f ca="1">IFERROR(INDEX('Issuance Log'!$E:$E,MATCH(MAXIFS('Issuance Log'!$D:$D,'Issuance Log'!$B:$B,A1323,'Issuance Log'!$G:$G,$B$4),IF(('Issuance Log'!$B:$B=A1323)*('Issuance Log'!$G:$G=$B$4),'Issuance Log'!$D:$D),0)),"-")</f>
        <v>-</v>
      </c>
    </row>
    <row r="1324" spans="1:5" x14ac:dyDescent="0.25">
      <c r="A1324" s="4" t="s">
        <v>2579</v>
      </c>
      <c r="B1324" s="4" t="s">
        <v>2580</v>
      </c>
      <c r="C1324" s="5">
        <f>IFERROR(SUMIFS('Issuance Log'!$D:$D,'Issuance Log'!$B:$B,A1324,'Issuance Log'!$G:$G,$B$4),0)</f>
        <v>0</v>
      </c>
      <c r="D1324" s="5">
        <f>IFERROR(COUNTIFS('Issuance Log'!$B:$B,A1324,'Issuance Log'!$G:$G,$B$4),0)</f>
        <v>0</v>
      </c>
      <c r="E1324" s="5" t="str">
        <f ca="1">IFERROR(INDEX('Issuance Log'!$E:$E,MATCH(MAXIFS('Issuance Log'!$D:$D,'Issuance Log'!$B:$B,A1324,'Issuance Log'!$G:$G,$B$4),IF(('Issuance Log'!$B:$B=A1324)*('Issuance Log'!$G:$G=$B$4),'Issuance Log'!$D:$D),0)),"-")</f>
        <v>-</v>
      </c>
    </row>
    <row r="1325" spans="1:5" x14ac:dyDescent="0.25">
      <c r="A1325" s="2" t="s">
        <v>2581</v>
      </c>
      <c r="B1325" s="2" t="s">
        <v>2582</v>
      </c>
      <c r="C1325" s="3">
        <f>IFERROR(SUMIFS('Issuance Log'!$D:$D,'Issuance Log'!$B:$B,A1325,'Issuance Log'!$G:$G,$B$4),0)</f>
        <v>0</v>
      </c>
      <c r="D1325" s="3">
        <f>IFERROR(COUNTIFS('Issuance Log'!$B:$B,A1325,'Issuance Log'!$G:$G,$B$4),0)</f>
        <v>0</v>
      </c>
      <c r="E1325" s="3" t="str">
        <f ca="1">IFERROR(INDEX('Issuance Log'!$E:$E,MATCH(MAXIFS('Issuance Log'!$D:$D,'Issuance Log'!$B:$B,A1325,'Issuance Log'!$G:$G,$B$4),IF(('Issuance Log'!$B:$B=A1325)*('Issuance Log'!$G:$G=$B$4),'Issuance Log'!$D:$D),0)),"-")</f>
        <v>-</v>
      </c>
    </row>
    <row r="1326" spans="1:5" x14ac:dyDescent="0.25">
      <c r="A1326" s="4" t="s">
        <v>2583</v>
      </c>
      <c r="B1326" s="4" t="s">
        <v>2584</v>
      </c>
      <c r="C1326" s="5">
        <f>IFERROR(SUMIFS('Issuance Log'!$D:$D,'Issuance Log'!$B:$B,A1326,'Issuance Log'!$G:$G,$B$4),0)</f>
        <v>0</v>
      </c>
      <c r="D1326" s="5">
        <f>IFERROR(COUNTIFS('Issuance Log'!$B:$B,A1326,'Issuance Log'!$G:$G,$B$4),0)</f>
        <v>0</v>
      </c>
      <c r="E1326" s="5" t="str">
        <f ca="1">IFERROR(INDEX('Issuance Log'!$E:$E,MATCH(MAXIFS('Issuance Log'!$D:$D,'Issuance Log'!$B:$B,A1326,'Issuance Log'!$G:$G,$B$4),IF(('Issuance Log'!$B:$B=A1326)*('Issuance Log'!$G:$G=$B$4),'Issuance Log'!$D:$D),0)),"-")</f>
        <v>-</v>
      </c>
    </row>
    <row r="1327" spans="1:5" x14ac:dyDescent="0.25">
      <c r="A1327" s="2" t="s">
        <v>2585</v>
      </c>
      <c r="B1327" s="2" t="s">
        <v>2586</v>
      </c>
      <c r="C1327" s="3">
        <f>IFERROR(SUMIFS('Issuance Log'!$D:$D,'Issuance Log'!$B:$B,A1327,'Issuance Log'!$G:$G,$B$4),0)</f>
        <v>0</v>
      </c>
      <c r="D1327" s="3">
        <f>IFERROR(COUNTIFS('Issuance Log'!$B:$B,A1327,'Issuance Log'!$G:$G,$B$4),0)</f>
        <v>0</v>
      </c>
      <c r="E1327" s="3" t="str">
        <f ca="1">IFERROR(INDEX('Issuance Log'!$E:$E,MATCH(MAXIFS('Issuance Log'!$D:$D,'Issuance Log'!$B:$B,A1327,'Issuance Log'!$G:$G,$B$4),IF(('Issuance Log'!$B:$B=A1327)*('Issuance Log'!$G:$G=$B$4),'Issuance Log'!$D:$D),0)),"-")</f>
        <v>-</v>
      </c>
    </row>
    <row r="1328" spans="1:5" x14ac:dyDescent="0.25">
      <c r="A1328" s="4" t="s">
        <v>2587</v>
      </c>
      <c r="B1328" s="4" t="s">
        <v>2588</v>
      </c>
      <c r="C1328" s="5">
        <f>IFERROR(SUMIFS('Issuance Log'!$D:$D,'Issuance Log'!$B:$B,A1328,'Issuance Log'!$G:$G,$B$4),0)</f>
        <v>0</v>
      </c>
      <c r="D1328" s="5">
        <f>IFERROR(COUNTIFS('Issuance Log'!$B:$B,A1328,'Issuance Log'!$G:$G,$B$4),0)</f>
        <v>0</v>
      </c>
      <c r="E1328" s="5" t="str">
        <f ca="1">IFERROR(INDEX('Issuance Log'!$E:$E,MATCH(MAXIFS('Issuance Log'!$D:$D,'Issuance Log'!$B:$B,A1328,'Issuance Log'!$G:$G,$B$4),IF(('Issuance Log'!$B:$B=A1328)*('Issuance Log'!$G:$G=$B$4),'Issuance Log'!$D:$D),0)),"-")</f>
        <v>-</v>
      </c>
    </row>
    <row r="1329" spans="1:5" x14ac:dyDescent="0.25">
      <c r="A1329" s="2" t="s">
        <v>2589</v>
      </c>
      <c r="B1329" s="2" t="s">
        <v>2590</v>
      </c>
      <c r="C1329" s="3">
        <f>IFERROR(SUMIFS('Issuance Log'!$D:$D,'Issuance Log'!$B:$B,A1329,'Issuance Log'!$G:$G,$B$4),0)</f>
        <v>0</v>
      </c>
      <c r="D1329" s="3">
        <f>IFERROR(COUNTIFS('Issuance Log'!$B:$B,A1329,'Issuance Log'!$G:$G,$B$4),0)</f>
        <v>0</v>
      </c>
      <c r="E1329" s="3" t="str">
        <f ca="1">IFERROR(INDEX('Issuance Log'!$E:$E,MATCH(MAXIFS('Issuance Log'!$D:$D,'Issuance Log'!$B:$B,A1329,'Issuance Log'!$G:$G,$B$4),IF(('Issuance Log'!$B:$B=A1329)*('Issuance Log'!$G:$G=$B$4),'Issuance Log'!$D:$D),0)),"-")</f>
        <v>-</v>
      </c>
    </row>
    <row r="1330" spans="1:5" x14ac:dyDescent="0.25">
      <c r="A1330" s="4" t="s">
        <v>2591</v>
      </c>
      <c r="B1330" s="4" t="s">
        <v>2592</v>
      </c>
      <c r="C1330" s="5">
        <f>IFERROR(SUMIFS('Issuance Log'!$D:$D,'Issuance Log'!$B:$B,A1330,'Issuance Log'!$G:$G,$B$4),0)</f>
        <v>0</v>
      </c>
      <c r="D1330" s="5">
        <f>IFERROR(COUNTIFS('Issuance Log'!$B:$B,A1330,'Issuance Log'!$G:$G,$B$4),0)</f>
        <v>0</v>
      </c>
      <c r="E1330" s="5" t="str">
        <f ca="1">IFERROR(INDEX('Issuance Log'!$E:$E,MATCH(MAXIFS('Issuance Log'!$D:$D,'Issuance Log'!$B:$B,A1330,'Issuance Log'!$G:$G,$B$4),IF(('Issuance Log'!$B:$B=A1330)*('Issuance Log'!$G:$G=$B$4),'Issuance Log'!$D:$D),0)),"-")</f>
        <v>-</v>
      </c>
    </row>
    <row r="1331" spans="1:5" x14ac:dyDescent="0.25">
      <c r="A1331" s="2" t="s">
        <v>2593</v>
      </c>
      <c r="B1331" s="2" t="s">
        <v>2594</v>
      </c>
      <c r="C1331" s="3">
        <f>IFERROR(SUMIFS('Issuance Log'!$D:$D,'Issuance Log'!$B:$B,A1331,'Issuance Log'!$G:$G,$B$4),0)</f>
        <v>0</v>
      </c>
      <c r="D1331" s="3">
        <f>IFERROR(COUNTIFS('Issuance Log'!$B:$B,A1331,'Issuance Log'!$G:$G,$B$4),0)</f>
        <v>0</v>
      </c>
      <c r="E1331" s="3" t="str">
        <f ca="1">IFERROR(INDEX('Issuance Log'!$E:$E,MATCH(MAXIFS('Issuance Log'!$D:$D,'Issuance Log'!$B:$B,A1331,'Issuance Log'!$G:$G,$B$4),IF(('Issuance Log'!$B:$B=A1331)*('Issuance Log'!$G:$G=$B$4),'Issuance Log'!$D:$D),0)),"-")</f>
        <v>-</v>
      </c>
    </row>
    <row r="1332" spans="1:5" x14ac:dyDescent="0.25">
      <c r="A1332" s="4" t="s">
        <v>2595</v>
      </c>
      <c r="B1332" s="4" t="s">
        <v>2596</v>
      </c>
      <c r="C1332" s="5">
        <f>IFERROR(SUMIFS('Issuance Log'!$D:$D,'Issuance Log'!$B:$B,A1332,'Issuance Log'!$G:$G,$B$4),0)</f>
        <v>0</v>
      </c>
      <c r="D1332" s="5">
        <f>IFERROR(COUNTIFS('Issuance Log'!$B:$B,A1332,'Issuance Log'!$G:$G,$B$4),0)</f>
        <v>0</v>
      </c>
      <c r="E1332" s="5" t="str">
        <f ca="1">IFERROR(INDEX('Issuance Log'!$E:$E,MATCH(MAXIFS('Issuance Log'!$D:$D,'Issuance Log'!$B:$B,A1332,'Issuance Log'!$G:$G,$B$4),IF(('Issuance Log'!$B:$B=A1332)*('Issuance Log'!$G:$G=$B$4),'Issuance Log'!$D:$D),0)),"-")</f>
        <v>-</v>
      </c>
    </row>
    <row r="1333" spans="1:5" x14ac:dyDescent="0.25">
      <c r="A1333" s="2" t="s">
        <v>2597</v>
      </c>
      <c r="B1333" s="2" t="s">
        <v>2598</v>
      </c>
      <c r="C1333" s="3">
        <f>IFERROR(SUMIFS('Issuance Log'!$D:$D,'Issuance Log'!$B:$B,A1333,'Issuance Log'!$G:$G,$B$4),0)</f>
        <v>0</v>
      </c>
      <c r="D1333" s="3">
        <f>IFERROR(COUNTIFS('Issuance Log'!$B:$B,A1333,'Issuance Log'!$G:$G,$B$4),0)</f>
        <v>0</v>
      </c>
      <c r="E1333" s="3" t="str">
        <f ca="1">IFERROR(INDEX('Issuance Log'!$E:$E,MATCH(MAXIFS('Issuance Log'!$D:$D,'Issuance Log'!$B:$B,A1333,'Issuance Log'!$G:$G,$B$4),IF(('Issuance Log'!$B:$B=A1333)*('Issuance Log'!$G:$G=$B$4),'Issuance Log'!$D:$D),0)),"-")</f>
        <v>-</v>
      </c>
    </row>
    <row r="1334" spans="1:5" x14ac:dyDescent="0.25">
      <c r="A1334" s="4" t="s">
        <v>2599</v>
      </c>
      <c r="B1334" s="4" t="s">
        <v>2600</v>
      </c>
      <c r="C1334" s="5">
        <f>IFERROR(SUMIFS('Issuance Log'!$D:$D,'Issuance Log'!$B:$B,A1334,'Issuance Log'!$G:$G,$B$4),0)</f>
        <v>0</v>
      </c>
      <c r="D1334" s="5">
        <f>IFERROR(COUNTIFS('Issuance Log'!$B:$B,A1334,'Issuance Log'!$G:$G,$B$4),0)</f>
        <v>0</v>
      </c>
      <c r="E1334" s="5" t="str">
        <f ca="1">IFERROR(INDEX('Issuance Log'!$E:$E,MATCH(MAXIFS('Issuance Log'!$D:$D,'Issuance Log'!$B:$B,A1334,'Issuance Log'!$G:$G,$B$4),IF(('Issuance Log'!$B:$B=A1334)*('Issuance Log'!$G:$G=$B$4),'Issuance Log'!$D:$D),0)),"-")</f>
        <v>-</v>
      </c>
    </row>
    <row r="1335" spans="1:5" x14ac:dyDescent="0.25">
      <c r="A1335" s="2" t="s">
        <v>2601</v>
      </c>
      <c r="B1335" s="2" t="s">
        <v>2602</v>
      </c>
      <c r="C1335" s="3">
        <f>IFERROR(SUMIFS('Issuance Log'!$D:$D,'Issuance Log'!$B:$B,A1335,'Issuance Log'!$G:$G,$B$4),0)</f>
        <v>0</v>
      </c>
      <c r="D1335" s="3">
        <f>IFERROR(COUNTIFS('Issuance Log'!$B:$B,A1335,'Issuance Log'!$G:$G,$B$4),0)</f>
        <v>0</v>
      </c>
      <c r="E1335" s="3" t="str">
        <f ca="1">IFERROR(INDEX('Issuance Log'!$E:$E,MATCH(MAXIFS('Issuance Log'!$D:$D,'Issuance Log'!$B:$B,A1335,'Issuance Log'!$G:$G,$B$4),IF(('Issuance Log'!$B:$B=A1335)*('Issuance Log'!$G:$G=$B$4),'Issuance Log'!$D:$D),0)),"-")</f>
        <v>-</v>
      </c>
    </row>
    <row r="1336" spans="1:5" x14ac:dyDescent="0.25">
      <c r="A1336" s="4" t="s">
        <v>2603</v>
      </c>
      <c r="B1336" s="4" t="s">
        <v>2604</v>
      </c>
      <c r="C1336" s="5">
        <f>IFERROR(SUMIFS('Issuance Log'!$D:$D,'Issuance Log'!$B:$B,A1336,'Issuance Log'!$G:$G,$B$4),0)</f>
        <v>0</v>
      </c>
      <c r="D1336" s="5">
        <f>IFERROR(COUNTIFS('Issuance Log'!$B:$B,A1336,'Issuance Log'!$G:$G,$B$4),0)</f>
        <v>0</v>
      </c>
      <c r="E1336" s="5" t="str">
        <f ca="1">IFERROR(INDEX('Issuance Log'!$E:$E,MATCH(MAXIFS('Issuance Log'!$D:$D,'Issuance Log'!$B:$B,A1336,'Issuance Log'!$G:$G,$B$4),IF(('Issuance Log'!$B:$B=A1336)*('Issuance Log'!$G:$G=$B$4),'Issuance Log'!$D:$D),0)),"-")</f>
        <v>-</v>
      </c>
    </row>
    <row r="1337" spans="1:5" x14ac:dyDescent="0.25">
      <c r="A1337" s="2" t="s">
        <v>2605</v>
      </c>
      <c r="B1337" s="2" t="s">
        <v>2606</v>
      </c>
      <c r="C1337" s="3">
        <f>IFERROR(SUMIFS('Issuance Log'!$D:$D,'Issuance Log'!$B:$B,A1337,'Issuance Log'!$G:$G,$B$4),0)</f>
        <v>0</v>
      </c>
      <c r="D1337" s="3">
        <f>IFERROR(COUNTIFS('Issuance Log'!$B:$B,A1337,'Issuance Log'!$G:$G,$B$4),0)</f>
        <v>0</v>
      </c>
      <c r="E1337" s="3" t="str">
        <f ca="1">IFERROR(INDEX('Issuance Log'!$E:$E,MATCH(MAXIFS('Issuance Log'!$D:$D,'Issuance Log'!$B:$B,A1337,'Issuance Log'!$G:$G,$B$4),IF(('Issuance Log'!$B:$B=A1337)*('Issuance Log'!$G:$G=$B$4),'Issuance Log'!$D:$D),0)),"-")</f>
        <v>-</v>
      </c>
    </row>
    <row r="1338" spans="1:5" x14ac:dyDescent="0.25">
      <c r="A1338" s="4" t="s">
        <v>2607</v>
      </c>
      <c r="B1338" s="4" t="s">
        <v>2608</v>
      </c>
      <c r="C1338" s="5">
        <f>IFERROR(SUMIFS('Issuance Log'!$D:$D,'Issuance Log'!$B:$B,A1338,'Issuance Log'!$G:$G,$B$4),0)</f>
        <v>0</v>
      </c>
      <c r="D1338" s="5">
        <f>IFERROR(COUNTIFS('Issuance Log'!$B:$B,A1338,'Issuance Log'!$G:$G,$B$4),0)</f>
        <v>0</v>
      </c>
      <c r="E1338" s="5" t="str">
        <f ca="1">IFERROR(INDEX('Issuance Log'!$E:$E,MATCH(MAXIFS('Issuance Log'!$D:$D,'Issuance Log'!$B:$B,A1338,'Issuance Log'!$G:$G,$B$4),IF(('Issuance Log'!$B:$B=A1338)*('Issuance Log'!$G:$G=$B$4),'Issuance Log'!$D:$D),0)),"-")</f>
        <v>-</v>
      </c>
    </row>
    <row r="1339" spans="1:5" x14ac:dyDescent="0.25">
      <c r="A1339" s="2" t="s">
        <v>2609</v>
      </c>
      <c r="B1339" s="2" t="s">
        <v>2610</v>
      </c>
      <c r="C1339" s="3">
        <f>IFERROR(SUMIFS('Issuance Log'!$D:$D,'Issuance Log'!$B:$B,A1339,'Issuance Log'!$G:$G,$B$4),0)</f>
        <v>0</v>
      </c>
      <c r="D1339" s="3">
        <f>IFERROR(COUNTIFS('Issuance Log'!$B:$B,A1339,'Issuance Log'!$G:$G,$B$4),0)</f>
        <v>0</v>
      </c>
      <c r="E1339" s="3" t="str">
        <f ca="1">IFERROR(INDEX('Issuance Log'!$E:$E,MATCH(MAXIFS('Issuance Log'!$D:$D,'Issuance Log'!$B:$B,A1339,'Issuance Log'!$G:$G,$B$4),IF(('Issuance Log'!$B:$B=A1339)*('Issuance Log'!$G:$G=$B$4),'Issuance Log'!$D:$D),0)),"-")</f>
        <v>-</v>
      </c>
    </row>
    <row r="1340" spans="1:5" x14ac:dyDescent="0.25">
      <c r="A1340" s="4" t="s">
        <v>2611</v>
      </c>
      <c r="B1340" s="4" t="s">
        <v>2612</v>
      </c>
      <c r="C1340" s="5">
        <f>IFERROR(SUMIFS('Issuance Log'!$D:$D,'Issuance Log'!$B:$B,A1340,'Issuance Log'!$G:$G,$B$4),0)</f>
        <v>0</v>
      </c>
      <c r="D1340" s="5">
        <f>IFERROR(COUNTIFS('Issuance Log'!$B:$B,A1340,'Issuance Log'!$G:$G,$B$4),0)</f>
        <v>0</v>
      </c>
      <c r="E1340" s="5" t="str">
        <f ca="1">IFERROR(INDEX('Issuance Log'!$E:$E,MATCH(MAXIFS('Issuance Log'!$D:$D,'Issuance Log'!$B:$B,A1340,'Issuance Log'!$G:$G,$B$4),IF(('Issuance Log'!$B:$B=A1340)*('Issuance Log'!$G:$G=$B$4),'Issuance Log'!$D:$D),0)),"-")</f>
        <v>-</v>
      </c>
    </row>
    <row r="1341" spans="1:5" x14ac:dyDescent="0.25">
      <c r="A1341" s="2" t="s">
        <v>2613</v>
      </c>
      <c r="B1341" s="2" t="s">
        <v>2614</v>
      </c>
      <c r="C1341" s="3">
        <f>IFERROR(SUMIFS('Issuance Log'!$D:$D,'Issuance Log'!$B:$B,A1341,'Issuance Log'!$G:$G,$B$4),0)</f>
        <v>0</v>
      </c>
      <c r="D1341" s="3">
        <f>IFERROR(COUNTIFS('Issuance Log'!$B:$B,A1341,'Issuance Log'!$G:$G,$B$4),0)</f>
        <v>0</v>
      </c>
      <c r="E1341" s="3" t="str">
        <f ca="1">IFERROR(INDEX('Issuance Log'!$E:$E,MATCH(MAXIFS('Issuance Log'!$D:$D,'Issuance Log'!$B:$B,A1341,'Issuance Log'!$G:$G,$B$4),IF(('Issuance Log'!$B:$B=A1341)*('Issuance Log'!$G:$G=$B$4),'Issuance Log'!$D:$D),0)),"-")</f>
        <v>-</v>
      </c>
    </row>
    <row r="1342" spans="1:5" x14ac:dyDescent="0.25">
      <c r="A1342" s="4" t="s">
        <v>2615</v>
      </c>
      <c r="B1342" s="4" t="s">
        <v>2616</v>
      </c>
      <c r="C1342" s="5">
        <f>IFERROR(SUMIFS('Issuance Log'!$D:$D,'Issuance Log'!$B:$B,A1342,'Issuance Log'!$G:$G,$B$4),0)</f>
        <v>0</v>
      </c>
      <c r="D1342" s="5">
        <f>IFERROR(COUNTIFS('Issuance Log'!$B:$B,A1342,'Issuance Log'!$G:$G,$B$4),0)</f>
        <v>0</v>
      </c>
      <c r="E1342" s="5" t="str">
        <f ca="1">IFERROR(INDEX('Issuance Log'!$E:$E,MATCH(MAXIFS('Issuance Log'!$D:$D,'Issuance Log'!$B:$B,A1342,'Issuance Log'!$G:$G,$B$4),IF(('Issuance Log'!$B:$B=A1342)*('Issuance Log'!$G:$G=$B$4),'Issuance Log'!$D:$D),0)),"-")</f>
        <v>-</v>
      </c>
    </row>
    <row r="1343" spans="1:5" x14ac:dyDescent="0.25">
      <c r="A1343" s="2" t="s">
        <v>2617</v>
      </c>
      <c r="B1343" s="2" t="s">
        <v>2270</v>
      </c>
      <c r="C1343" s="3">
        <f>IFERROR(SUMIFS('Issuance Log'!$D:$D,'Issuance Log'!$B:$B,A1343,'Issuance Log'!$G:$G,$B$4),0)</f>
        <v>0</v>
      </c>
      <c r="D1343" s="3">
        <f>IFERROR(COUNTIFS('Issuance Log'!$B:$B,A1343,'Issuance Log'!$G:$G,$B$4),0)</f>
        <v>0</v>
      </c>
      <c r="E1343" s="3" t="str">
        <f ca="1">IFERROR(INDEX('Issuance Log'!$E:$E,MATCH(MAXIFS('Issuance Log'!$D:$D,'Issuance Log'!$B:$B,A1343,'Issuance Log'!$G:$G,$B$4),IF(('Issuance Log'!$B:$B=A1343)*('Issuance Log'!$G:$G=$B$4),'Issuance Log'!$D:$D),0)),"-")</f>
        <v>-</v>
      </c>
    </row>
    <row r="1344" spans="1:5" x14ac:dyDescent="0.25">
      <c r="A1344" s="4" t="s">
        <v>2618</v>
      </c>
      <c r="B1344" s="4" t="s">
        <v>2619</v>
      </c>
      <c r="C1344" s="5">
        <f>IFERROR(SUMIFS('Issuance Log'!$D:$D,'Issuance Log'!$B:$B,A1344,'Issuance Log'!$G:$G,$B$4),0)</f>
        <v>0</v>
      </c>
      <c r="D1344" s="5">
        <f>IFERROR(COUNTIFS('Issuance Log'!$B:$B,A1344,'Issuance Log'!$G:$G,$B$4),0)</f>
        <v>0</v>
      </c>
      <c r="E1344" s="5" t="str">
        <f ca="1">IFERROR(INDEX('Issuance Log'!$E:$E,MATCH(MAXIFS('Issuance Log'!$D:$D,'Issuance Log'!$B:$B,A1344,'Issuance Log'!$G:$G,$B$4),IF(('Issuance Log'!$B:$B=A1344)*('Issuance Log'!$G:$G=$B$4),'Issuance Log'!$D:$D),0)),"-")</f>
        <v>-</v>
      </c>
    </row>
    <row r="1345" spans="1:5" x14ac:dyDescent="0.25">
      <c r="A1345" s="2" t="s">
        <v>2620</v>
      </c>
      <c r="B1345" s="2" t="s">
        <v>2621</v>
      </c>
      <c r="C1345" s="3">
        <f>IFERROR(SUMIFS('Issuance Log'!$D:$D,'Issuance Log'!$B:$B,A1345,'Issuance Log'!$G:$G,$B$4),0)</f>
        <v>0</v>
      </c>
      <c r="D1345" s="3">
        <f>IFERROR(COUNTIFS('Issuance Log'!$B:$B,A1345,'Issuance Log'!$G:$G,$B$4),0)</f>
        <v>0</v>
      </c>
      <c r="E1345" s="3" t="str">
        <f ca="1">IFERROR(INDEX('Issuance Log'!$E:$E,MATCH(MAXIFS('Issuance Log'!$D:$D,'Issuance Log'!$B:$B,A1345,'Issuance Log'!$G:$G,$B$4),IF(('Issuance Log'!$B:$B=A1345)*('Issuance Log'!$G:$G=$B$4),'Issuance Log'!$D:$D),0)),"-")</f>
        <v>-</v>
      </c>
    </row>
    <row r="1346" spans="1:5" x14ac:dyDescent="0.25">
      <c r="A1346" s="4" t="s">
        <v>2622</v>
      </c>
      <c r="B1346" s="4" t="s">
        <v>2623</v>
      </c>
      <c r="C1346" s="5">
        <f>IFERROR(SUMIFS('Issuance Log'!$D:$D,'Issuance Log'!$B:$B,A1346,'Issuance Log'!$G:$G,$B$4),0)</f>
        <v>0</v>
      </c>
      <c r="D1346" s="5">
        <f>IFERROR(COUNTIFS('Issuance Log'!$B:$B,A1346,'Issuance Log'!$G:$G,$B$4),0)</f>
        <v>0</v>
      </c>
      <c r="E1346" s="5" t="str">
        <f ca="1">IFERROR(INDEX('Issuance Log'!$E:$E,MATCH(MAXIFS('Issuance Log'!$D:$D,'Issuance Log'!$B:$B,A1346,'Issuance Log'!$G:$G,$B$4),IF(('Issuance Log'!$B:$B=A1346)*('Issuance Log'!$G:$G=$B$4),'Issuance Log'!$D:$D),0)),"-")</f>
        <v>-</v>
      </c>
    </row>
    <row r="1347" spans="1:5" x14ac:dyDescent="0.25">
      <c r="A1347" s="2" t="s">
        <v>2624</v>
      </c>
      <c r="B1347" s="2" t="s">
        <v>2625</v>
      </c>
      <c r="C1347" s="3">
        <f>IFERROR(SUMIFS('Issuance Log'!$D:$D,'Issuance Log'!$B:$B,A1347,'Issuance Log'!$G:$G,$B$4),0)</f>
        <v>0</v>
      </c>
      <c r="D1347" s="3">
        <f>IFERROR(COUNTIFS('Issuance Log'!$B:$B,A1347,'Issuance Log'!$G:$G,$B$4),0)</f>
        <v>0</v>
      </c>
      <c r="E1347" s="3" t="str">
        <f ca="1">IFERROR(INDEX('Issuance Log'!$E:$E,MATCH(MAXIFS('Issuance Log'!$D:$D,'Issuance Log'!$B:$B,A1347,'Issuance Log'!$G:$G,$B$4),IF(('Issuance Log'!$B:$B=A1347)*('Issuance Log'!$G:$G=$B$4),'Issuance Log'!$D:$D),0)),"-")</f>
        <v>-</v>
      </c>
    </row>
    <row r="1348" spans="1:5" x14ac:dyDescent="0.25">
      <c r="A1348" s="4" t="s">
        <v>2626</v>
      </c>
      <c r="B1348" s="4" t="s">
        <v>2627</v>
      </c>
      <c r="C1348" s="5">
        <f>IFERROR(SUMIFS('Issuance Log'!$D:$D,'Issuance Log'!$B:$B,A1348,'Issuance Log'!$G:$G,$B$4),0)</f>
        <v>0</v>
      </c>
      <c r="D1348" s="5">
        <f>IFERROR(COUNTIFS('Issuance Log'!$B:$B,A1348,'Issuance Log'!$G:$G,$B$4),0)</f>
        <v>0</v>
      </c>
      <c r="E1348" s="5" t="str">
        <f ca="1">IFERROR(INDEX('Issuance Log'!$E:$E,MATCH(MAXIFS('Issuance Log'!$D:$D,'Issuance Log'!$B:$B,A1348,'Issuance Log'!$G:$G,$B$4),IF(('Issuance Log'!$B:$B=A1348)*('Issuance Log'!$G:$G=$B$4),'Issuance Log'!$D:$D),0)),"-")</f>
        <v>-</v>
      </c>
    </row>
    <row r="1349" spans="1:5" x14ac:dyDescent="0.25">
      <c r="A1349" s="2" t="s">
        <v>2628</v>
      </c>
      <c r="B1349" s="2" t="s">
        <v>2629</v>
      </c>
      <c r="C1349" s="3">
        <f>IFERROR(SUMIFS('Issuance Log'!$D:$D,'Issuance Log'!$B:$B,A1349,'Issuance Log'!$G:$G,$B$4),0)</f>
        <v>0</v>
      </c>
      <c r="D1349" s="3">
        <f>IFERROR(COUNTIFS('Issuance Log'!$B:$B,A1349,'Issuance Log'!$G:$G,$B$4),0)</f>
        <v>0</v>
      </c>
      <c r="E1349" s="3" t="str">
        <f ca="1">IFERROR(INDEX('Issuance Log'!$E:$E,MATCH(MAXIFS('Issuance Log'!$D:$D,'Issuance Log'!$B:$B,A1349,'Issuance Log'!$G:$G,$B$4),IF(('Issuance Log'!$B:$B=A1349)*('Issuance Log'!$G:$G=$B$4),'Issuance Log'!$D:$D),0)),"-")</f>
        <v>-</v>
      </c>
    </row>
    <row r="1350" spans="1:5" x14ac:dyDescent="0.25">
      <c r="A1350" s="4" t="s">
        <v>2630</v>
      </c>
      <c r="B1350" s="4" t="s">
        <v>2631</v>
      </c>
      <c r="C1350" s="5">
        <f>IFERROR(SUMIFS('Issuance Log'!$D:$D,'Issuance Log'!$B:$B,A1350,'Issuance Log'!$G:$G,$B$4),0)</f>
        <v>0</v>
      </c>
      <c r="D1350" s="5">
        <f>IFERROR(COUNTIFS('Issuance Log'!$B:$B,A1350,'Issuance Log'!$G:$G,$B$4),0)</f>
        <v>0</v>
      </c>
      <c r="E1350" s="5" t="str">
        <f ca="1">IFERROR(INDEX('Issuance Log'!$E:$E,MATCH(MAXIFS('Issuance Log'!$D:$D,'Issuance Log'!$B:$B,A1350,'Issuance Log'!$G:$G,$B$4),IF(('Issuance Log'!$B:$B=A1350)*('Issuance Log'!$G:$G=$B$4),'Issuance Log'!$D:$D),0)),"-")</f>
        <v>-</v>
      </c>
    </row>
    <row r="1351" spans="1:5" x14ac:dyDescent="0.25">
      <c r="A1351" s="2" t="s">
        <v>2632</v>
      </c>
      <c r="B1351" s="2" t="s">
        <v>2633</v>
      </c>
      <c r="C1351" s="3">
        <f>IFERROR(SUMIFS('Issuance Log'!$D:$D,'Issuance Log'!$B:$B,A1351,'Issuance Log'!$G:$G,$B$4),0)</f>
        <v>0</v>
      </c>
      <c r="D1351" s="3">
        <f>IFERROR(COUNTIFS('Issuance Log'!$B:$B,A1351,'Issuance Log'!$G:$G,$B$4),0)</f>
        <v>0</v>
      </c>
      <c r="E1351" s="3" t="str">
        <f ca="1">IFERROR(INDEX('Issuance Log'!$E:$E,MATCH(MAXIFS('Issuance Log'!$D:$D,'Issuance Log'!$B:$B,A1351,'Issuance Log'!$G:$G,$B$4),IF(('Issuance Log'!$B:$B=A1351)*('Issuance Log'!$G:$G=$B$4),'Issuance Log'!$D:$D),0)),"-")</f>
        <v>-</v>
      </c>
    </row>
    <row r="1352" spans="1:5" x14ac:dyDescent="0.25">
      <c r="A1352" s="4" t="s">
        <v>2634</v>
      </c>
      <c r="B1352" s="4" t="s">
        <v>2635</v>
      </c>
      <c r="C1352" s="5">
        <f>IFERROR(SUMIFS('Issuance Log'!$D:$D,'Issuance Log'!$B:$B,A1352,'Issuance Log'!$G:$G,$B$4),0)</f>
        <v>0</v>
      </c>
      <c r="D1352" s="5">
        <f>IFERROR(COUNTIFS('Issuance Log'!$B:$B,A1352,'Issuance Log'!$G:$G,$B$4),0)</f>
        <v>0</v>
      </c>
      <c r="E1352" s="5" t="str">
        <f ca="1">IFERROR(INDEX('Issuance Log'!$E:$E,MATCH(MAXIFS('Issuance Log'!$D:$D,'Issuance Log'!$B:$B,A1352,'Issuance Log'!$G:$G,$B$4),IF(('Issuance Log'!$B:$B=A1352)*('Issuance Log'!$G:$G=$B$4),'Issuance Log'!$D:$D),0)),"-")</f>
        <v>-</v>
      </c>
    </row>
    <row r="1353" spans="1:5" x14ac:dyDescent="0.25">
      <c r="A1353" s="2" t="s">
        <v>2636</v>
      </c>
      <c r="B1353" s="2" t="s">
        <v>1091</v>
      </c>
      <c r="C1353" s="3">
        <f>IFERROR(SUMIFS('Issuance Log'!$D:$D,'Issuance Log'!$B:$B,A1353,'Issuance Log'!$G:$G,$B$4),0)</f>
        <v>0</v>
      </c>
      <c r="D1353" s="3">
        <f>IFERROR(COUNTIFS('Issuance Log'!$B:$B,A1353,'Issuance Log'!$G:$G,$B$4),0)</f>
        <v>0</v>
      </c>
      <c r="E1353" s="3" t="str">
        <f ca="1">IFERROR(INDEX('Issuance Log'!$E:$E,MATCH(MAXIFS('Issuance Log'!$D:$D,'Issuance Log'!$B:$B,A1353,'Issuance Log'!$G:$G,$B$4),IF(('Issuance Log'!$B:$B=A1353)*('Issuance Log'!$G:$G=$B$4),'Issuance Log'!$D:$D),0)),"-")</f>
        <v>-</v>
      </c>
    </row>
    <row r="1354" spans="1:5" x14ac:dyDescent="0.25">
      <c r="A1354" s="4" t="s">
        <v>2637</v>
      </c>
      <c r="B1354" s="4" t="s">
        <v>2638</v>
      </c>
      <c r="C1354" s="5">
        <f>IFERROR(SUMIFS('Issuance Log'!$D:$D,'Issuance Log'!$B:$B,A1354,'Issuance Log'!$G:$G,$B$4),0)</f>
        <v>0</v>
      </c>
      <c r="D1354" s="5">
        <f>IFERROR(COUNTIFS('Issuance Log'!$B:$B,A1354,'Issuance Log'!$G:$G,$B$4),0)</f>
        <v>0</v>
      </c>
      <c r="E1354" s="5" t="str">
        <f ca="1">IFERROR(INDEX('Issuance Log'!$E:$E,MATCH(MAXIFS('Issuance Log'!$D:$D,'Issuance Log'!$B:$B,A1354,'Issuance Log'!$G:$G,$B$4),IF(('Issuance Log'!$B:$B=A1354)*('Issuance Log'!$G:$G=$B$4),'Issuance Log'!$D:$D),0)),"-")</f>
        <v>-</v>
      </c>
    </row>
    <row r="1355" spans="1:5" x14ac:dyDescent="0.25">
      <c r="A1355" s="2" t="s">
        <v>2639</v>
      </c>
      <c r="B1355" s="2" t="s">
        <v>2640</v>
      </c>
      <c r="C1355" s="3">
        <f>IFERROR(SUMIFS('Issuance Log'!$D:$D,'Issuance Log'!$B:$B,A1355,'Issuance Log'!$G:$G,$B$4),0)</f>
        <v>0</v>
      </c>
      <c r="D1355" s="3">
        <f>IFERROR(COUNTIFS('Issuance Log'!$B:$B,A1355,'Issuance Log'!$G:$G,$B$4),0)</f>
        <v>0</v>
      </c>
      <c r="E1355" s="3" t="str">
        <f ca="1">IFERROR(INDEX('Issuance Log'!$E:$E,MATCH(MAXIFS('Issuance Log'!$D:$D,'Issuance Log'!$B:$B,A1355,'Issuance Log'!$G:$G,$B$4),IF(('Issuance Log'!$B:$B=A1355)*('Issuance Log'!$G:$G=$B$4),'Issuance Log'!$D:$D),0)),"-")</f>
        <v>-</v>
      </c>
    </row>
    <row r="1356" spans="1:5" x14ac:dyDescent="0.25">
      <c r="A1356" s="4" t="s">
        <v>2641</v>
      </c>
      <c r="B1356" s="4" t="s">
        <v>2642</v>
      </c>
      <c r="C1356" s="5">
        <f>IFERROR(SUMIFS('Issuance Log'!$D:$D,'Issuance Log'!$B:$B,A1356,'Issuance Log'!$G:$G,$B$4),0)</f>
        <v>0</v>
      </c>
      <c r="D1356" s="5">
        <f>IFERROR(COUNTIFS('Issuance Log'!$B:$B,A1356,'Issuance Log'!$G:$G,$B$4),0)</f>
        <v>0</v>
      </c>
      <c r="E1356" s="5" t="str">
        <f ca="1">IFERROR(INDEX('Issuance Log'!$E:$E,MATCH(MAXIFS('Issuance Log'!$D:$D,'Issuance Log'!$B:$B,A1356,'Issuance Log'!$G:$G,$B$4),IF(('Issuance Log'!$B:$B=A1356)*('Issuance Log'!$G:$G=$B$4),'Issuance Log'!$D:$D),0)),"-")</f>
        <v>-</v>
      </c>
    </row>
    <row r="1357" spans="1:5" x14ac:dyDescent="0.25">
      <c r="A1357" s="2" t="s">
        <v>2643</v>
      </c>
      <c r="B1357" s="2" t="s">
        <v>2644</v>
      </c>
      <c r="C1357" s="3">
        <f>IFERROR(SUMIFS('Issuance Log'!$D:$D,'Issuance Log'!$B:$B,A1357,'Issuance Log'!$G:$G,$B$4),0)</f>
        <v>0</v>
      </c>
      <c r="D1357" s="3">
        <f>IFERROR(COUNTIFS('Issuance Log'!$B:$B,A1357,'Issuance Log'!$G:$G,$B$4),0)</f>
        <v>0</v>
      </c>
      <c r="E1357" s="3" t="str">
        <f ca="1">IFERROR(INDEX('Issuance Log'!$E:$E,MATCH(MAXIFS('Issuance Log'!$D:$D,'Issuance Log'!$B:$B,A1357,'Issuance Log'!$G:$G,$B$4),IF(('Issuance Log'!$B:$B=A1357)*('Issuance Log'!$G:$G=$B$4),'Issuance Log'!$D:$D),0)),"-")</f>
        <v>-</v>
      </c>
    </row>
    <row r="1358" spans="1:5" x14ac:dyDescent="0.25">
      <c r="A1358" s="4" t="s">
        <v>2645</v>
      </c>
      <c r="B1358" s="4" t="s">
        <v>2646</v>
      </c>
      <c r="C1358" s="5">
        <f>IFERROR(SUMIFS('Issuance Log'!$D:$D,'Issuance Log'!$B:$B,A1358,'Issuance Log'!$G:$G,$B$4),0)</f>
        <v>0</v>
      </c>
      <c r="D1358" s="5">
        <f>IFERROR(COUNTIFS('Issuance Log'!$B:$B,A1358,'Issuance Log'!$G:$G,$B$4),0)</f>
        <v>0</v>
      </c>
      <c r="E1358" s="5" t="str">
        <f ca="1">IFERROR(INDEX('Issuance Log'!$E:$E,MATCH(MAXIFS('Issuance Log'!$D:$D,'Issuance Log'!$B:$B,A1358,'Issuance Log'!$G:$G,$B$4),IF(('Issuance Log'!$B:$B=A1358)*('Issuance Log'!$G:$G=$B$4),'Issuance Log'!$D:$D),0)),"-")</f>
        <v>-</v>
      </c>
    </row>
    <row r="1359" spans="1:5" x14ac:dyDescent="0.25">
      <c r="A1359" s="2" t="s">
        <v>2647</v>
      </c>
      <c r="B1359" s="2" t="s">
        <v>2648</v>
      </c>
      <c r="C1359" s="3">
        <f>IFERROR(SUMIFS('Issuance Log'!$D:$D,'Issuance Log'!$B:$B,A1359,'Issuance Log'!$G:$G,$B$4),0)</f>
        <v>0</v>
      </c>
      <c r="D1359" s="3">
        <f>IFERROR(COUNTIFS('Issuance Log'!$B:$B,A1359,'Issuance Log'!$G:$G,$B$4),0)</f>
        <v>0</v>
      </c>
      <c r="E1359" s="3" t="str">
        <f ca="1">IFERROR(INDEX('Issuance Log'!$E:$E,MATCH(MAXIFS('Issuance Log'!$D:$D,'Issuance Log'!$B:$B,A1359,'Issuance Log'!$G:$G,$B$4),IF(('Issuance Log'!$B:$B=A1359)*('Issuance Log'!$G:$G=$B$4),'Issuance Log'!$D:$D),0)),"-")</f>
        <v>-</v>
      </c>
    </row>
    <row r="1360" spans="1:5" x14ac:dyDescent="0.25">
      <c r="A1360" s="4" t="s">
        <v>2649</v>
      </c>
      <c r="B1360" s="4" t="s">
        <v>2650</v>
      </c>
      <c r="C1360" s="5">
        <f>IFERROR(SUMIFS('Issuance Log'!$D:$D,'Issuance Log'!$B:$B,A1360,'Issuance Log'!$G:$G,$B$4),0)</f>
        <v>0</v>
      </c>
      <c r="D1360" s="5">
        <f>IFERROR(COUNTIFS('Issuance Log'!$B:$B,A1360,'Issuance Log'!$G:$G,$B$4),0)</f>
        <v>0</v>
      </c>
      <c r="E1360" s="5" t="str">
        <f ca="1">IFERROR(INDEX('Issuance Log'!$E:$E,MATCH(MAXIFS('Issuance Log'!$D:$D,'Issuance Log'!$B:$B,A1360,'Issuance Log'!$G:$G,$B$4),IF(('Issuance Log'!$B:$B=A1360)*('Issuance Log'!$G:$G=$B$4),'Issuance Log'!$D:$D),0)),"-")</f>
        <v>-</v>
      </c>
    </row>
    <row r="1361" spans="1:5" x14ac:dyDescent="0.25">
      <c r="A1361" s="2" t="s">
        <v>2651</v>
      </c>
      <c r="B1361" s="2" t="s">
        <v>2652</v>
      </c>
      <c r="C1361" s="3">
        <f>IFERROR(SUMIFS('Issuance Log'!$D:$D,'Issuance Log'!$B:$B,A1361,'Issuance Log'!$G:$G,$B$4),0)</f>
        <v>0</v>
      </c>
      <c r="D1361" s="3">
        <f>IFERROR(COUNTIFS('Issuance Log'!$B:$B,A1361,'Issuance Log'!$G:$G,$B$4),0)</f>
        <v>0</v>
      </c>
      <c r="E1361" s="3" t="str">
        <f ca="1">IFERROR(INDEX('Issuance Log'!$E:$E,MATCH(MAXIFS('Issuance Log'!$D:$D,'Issuance Log'!$B:$B,A1361,'Issuance Log'!$G:$G,$B$4),IF(('Issuance Log'!$B:$B=A1361)*('Issuance Log'!$G:$G=$B$4),'Issuance Log'!$D:$D),0)),"-")</f>
        <v>-</v>
      </c>
    </row>
    <row r="1362" spans="1:5" x14ac:dyDescent="0.25">
      <c r="A1362" s="4" t="s">
        <v>2653</v>
      </c>
      <c r="B1362" s="4" t="s">
        <v>2654</v>
      </c>
      <c r="C1362" s="5">
        <f>IFERROR(SUMIFS('Issuance Log'!$D:$D,'Issuance Log'!$B:$B,A1362,'Issuance Log'!$G:$G,$B$4),0)</f>
        <v>0</v>
      </c>
      <c r="D1362" s="5">
        <f>IFERROR(COUNTIFS('Issuance Log'!$B:$B,A1362,'Issuance Log'!$G:$G,$B$4),0)</f>
        <v>0</v>
      </c>
      <c r="E1362" s="5" t="str">
        <f ca="1">IFERROR(INDEX('Issuance Log'!$E:$E,MATCH(MAXIFS('Issuance Log'!$D:$D,'Issuance Log'!$B:$B,A1362,'Issuance Log'!$G:$G,$B$4),IF(('Issuance Log'!$B:$B=A1362)*('Issuance Log'!$G:$G=$B$4),'Issuance Log'!$D:$D),0)),"-")</f>
        <v>-</v>
      </c>
    </row>
    <row r="1363" spans="1:5" x14ac:dyDescent="0.25">
      <c r="A1363" s="2" t="s">
        <v>2655</v>
      </c>
      <c r="B1363" s="2" t="s">
        <v>2656</v>
      </c>
      <c r="C1363" s="3">
        <f>IFERROR(SUMIFS('Issuance Log'!$D:$D,'Issuance Log'!$B:$B,A1363,'Issuance Log'!$G:$G,$B$4),0)</f>
        <v>0</v>
      </c>
      <c r="D1363" s="3">
        <f>IFERROR(COUNTIFS('Issuance Log'!$B:$B,A1363,'Issuance Log'!$G:$G,$B$4),0)</f>
        <v>0</v>
      </c>
      <c r="E1363" s="3" t="str">
        <f ca="1">IFERROR(INDEX('Issuance Log'!$E:$E,MATCH(MAXIFS('Issuance Log'!$D:$D,'Issuance Log'!$B:$B,A1363,'Issuance Log'!$G:$G,$B$4),IF(('Issuance Log'!$B:$B=A1363)*('Issuance Log'!$G:$G=$B$4),'Issuance Log'!$D:$D),0)),"-")</f>
        <v>-</v>
      </c>
    </row>
    <row r="1364" spans="1:5" x14ac:dyDescent="0.25">
      <c r="A1364" s="4" t="s">
        <v>2657</v>
      </c>
      <c r="B1364" s="4" t="s">
        <v>2658</v>
      </c>
      <c r="C1364" s="5">
        <f>IFERROR(SUMIFS('Issuance Log'!$D:$D,'Issuance Log'!$B:$B,A1364,'Issuance Log'!$G:$G,$B$4),0)</f>
        <v>0</v>
      </c>
      <c r="D1364" s="5">
        <f>IFERROR(COUNTIFS('Issuance Log'!$B:$B,A1364,'Issuance Log'!$G:$G,$B$4),0)</f>
        <v>0</v>
      </c>
      <c r="E1364" s="5" t="str">
        <f ca="1">IFERROR(INDEX('Issuance Log'!$E:$E,MATCH(MAXIFS('Issuance Log'!$D:$D,'Issuance Log'!$B:$B,A1364,'Issuance Log'!$G:$G,$B$4),IF(('Issuance Log'!$B:$B=A1364)*('Issuance Log'!$G:$G=$B$4),'Issuance Log'!$D:$D),0)),"-")</f>
        <v>-</v>
      </c>
    </row>
    <row r="1365" spans="1:5" x14ac:dyDescent="0.25">
      <c r="A1365" s="2" t="s">
        <v>2659</v>
      </c>
      <c r="B1365" s="2" t="s">
        <v>2660</v>
      </c>
      <c r="C1365" s="3">
        <f>IFERROR(SUMIFS('Issuance Log'!$D:$D,'Issuance Log'!$B:$B,A1365,'Issuance Log'!$G:$G,$B$4),0)</f>
        <v>0</v>
      </c>
      <c r="D1365" s="3">
        <f>IFERROR(COUNTIFS('Issuance Log'!$B:$B,A1365,'Issuance Log'!$G:$G,$B$4),0)</f>
        <v>0</v>
      </c>
      <c r="E1365" s="3" t="str">
        <f ca="1">IFERROR(INDEX('Issuance Log'!$E:$E,MATCH(MAXIFS('Issuance Log'!$D:$D,'Issuance Log'!$B:$B,A1365,'Issuance Log'!$G:$G,$B$4),IF(('Issuance Log'!$B:$B=A1365)*('Issuance Log'!$G:$G=$B$4),'Issuance Log'!$D:$D),0)),"-")</f>
        <v>-</v>
      </c>
    </row>
    <row r="1366" spans="1:5" x14ac:dyDescent="0.25">
      <c r="A1366" s="4" t="s">
        <v>2661</v>
      </c>
      <c r="B1366" s="4" t="s">
        <v>2662</v>
      </c>
      <c r="C1366" s="5">
        <f>IFERROR(SUMIFS('Issuance Log'!$D:$D,'Issuance Log'!$B:$B,A1366,'Issuance Log'!$G:$G,$B$4),0)</f>
        <v>0</v>
      </c>
      <c r="D1366" s="5">
        <f>IFERROR(COUNTIFS('Issuance Log'!$B:$B,A1366,'Issuance Log'!$G:$G,$B$4),0)</f>
        <v>0</v>
      </c>
      <c r="E1366" s="5" t="str">
        <f ca="1">IFERROR(INDEX('Issuance Log'!$E:$E,MATCH(MAXIFS('Issuance Log'!$D:$D,'Issuance Log'!$B:$B,A1366,'Issuance Log'!$G:$G,$B$4),IF(('Issuance Log'!$B:$B=A1366)*('Issuance Log'!$G:$G=$B$4),'Issuance Log'!$D:$D),0)),"-")</f>
        <v>-</v>
      </c>
    </row>
    <row r="1367" spans="1:5" x14ac:dyDescent="0.25">
      <c r="A1367" s="2" t="s">
        <v>2663</v>
      </c>
      <c r="B1367" s="2" t="s">
        <v>2664</v>
      </c>
      <c r="C1367" s="3">
        <f>IFERROR(SUMIFS('Issuance Log'!$D:$D,'Issuance Log'!$B:$B,A1367,'Issuance Log'!$G:$G,$B$4),0)</f>
        <v>0</v>
      </c>
      <c r="D1367" s="3">
        <f>IFERROR(COUNTIFS('Issuance Log'!$B:$B,A1367,'Issuance Log'!$G:$G,$B$4),0)</f>
        <v>0</v>
      </c>
      <c r="E1367" s="3" t="str">
        <f ca="1">IFERROR(INDEX('Issuance Log'!$E:$E,MATCH(MAXIFS('Issuance Log'!$D:$D,'Issuance Log'!$B:$B,A1367,'Issuance Log'!$G:$G,$B$4),IF(('Issuance Log'!$B:$B=A1367)*('Issuance Log'!$G:$G=$B$4),'Issuance Log'!$D:$D),0)),"-")</f>
        <v>-</v>
      </c>
    </row>
    <row r="1368" spans="1:5" x14ac:dyDescent="0.25">
      <c r="A1368" s="4" t="s">
        <v>2665</v>
      </c>
      <c r="B1368" s="4" t="s">
        <v>2666</v>
      </c>
      <c r="C1368" s="5">
        <f>IFERROR(SUMIFS('Issuance Log'!$D:$D,'Issuance Log'!$B:$B,A1368,'Issuance Log'!$G:$G,$B$4),0)</f>
        <v>0</v>
      </c>
      <c r="D1368" s="5">
        <f>IFERROR(COUNTIFS('Issuance Log'!$B:$B,A1368,'Issuance Log'!$G:$G,$B$4),0)</f>
        <v>0</v>
      </c>
      <c r="E1368" s="5" t="str">
        <f ca="1">IFERROR(INDEX('Issuance Log'!$E:$E,MATCH(MAXIFS('Issuance Log'!$D:$D,'Issuance Log'!$B:$B,A1368,'Issuance Log'!$G:$G,$B$4),IF(('Issuance Log'!$B:$B=A1368)*('Issuance Log'!$G:$G=$B$4),'Issuance Log'!$D:$D),0)),"-")</f>
        <v>-</v>
      </c>
    </row>
    <row r="1369" spans="1:5" x14ac:dyDescent="0.25">
      <c r="A1369" s="2" t="s">
        <v>2667</v>
      </c>
      <c r="B1369" s="2" t="s">
        <v>2668</v>
      </c>
      <c r="C1369" s="3">
        <f>IFERROR(SUMIFS('Issuance Log'!$D:$D,'Issuance Log'!$B:$B,A1369,'Issuance Log'!$G:$G,$B$4),0)</f>
        <v>0</v>
      </c>
      <c r="D1369" s="3">
        <f>IFERROR(COUNTIFS('Issuance Log'!$B:$B,A1369,'Issuance Log'!$G:$G,$B$4),0)</f>
        <v>0</v>
      </c>
      <c r="E1369" s="3" t="str">
        <f ca="1">IFERROR(INDEX('Issuance Log'!$E:$E,MATCH(MAXIFS('Issuance Log'!$D:$D,'Issuance Log'!$B:$B,A1369,'Issuance Log'!$G:$G,$B$4),IF(('Issuance Log'!$B:$B=A1369)*('Issuance Log'!$G:$G=$B$4),'Issuance Log'!$D:$D),0)),"-")</f>
        <v>-</v>
      </c>
    </row>
    <row r="1370" spans="1:5" x14ac:dyDescent="0.25">
      <c r="A1370" s="4" t="s">
        <v>2669</v>
      </c>
      <c r="B1370" s="4" t="s">
        <v>2670</v>
      </c>
      <c r="C1370" s="5">
        <f>IFERROR(SUMIFS('Issuance Log'!$D:$D,'Issuance Log'!$B:$B,A1370,'Issuance Log'!$G:$G,$B$4),0)</f>
        <v>0</v>
      </c>
      <c r="D1370" s="5">
        <f>IFERROR(COUNTIFS('Issuance Log'!$B:$B,A1370,'Issuance Log'!$G:$G,$B$4),0)</f>
        <v>0</v>
      </c>
      <c r="E1370" s="5" t="str">
        <f ca="1">IFERROR(INDEX('Issuance Log'!$E:$E,MATCH(MAXIFS('Issuance Log'!$D:$D,'Issuance Log'!$B:$B,A1370,'Issuance Log'!$G:$G,$B$4),IF(('Issuance Log'!$B:$B=A1370)*('Issuance Log'!$G:$G=$B$4),'Issuance Log'!$D:$D),0)),"-")</f>
        <v>-</v>
      </c>
    </row>
    <row r="1371" spans="1:5" x14ac:dyDescent="0.25">
      <c r="A1371" s="2" t="s">
        <v>2671</v>
      </c>
      <c r="B1371" s="2" t="s">
        <v>2672</v>
      </c>
      <c r="C1371" s="3">
        <f>IFERROR(SUMIFS('Issuance Log'!$D:$D,'Issuance Log'!$B:$B,A1371,'Issuance Log'!$G:$G,$B$4),0)</f>
        <v>0</v>
      </c>
      <c r="D1371" s="3">
        <f>IFERROR(COUNTIFS('Issuance Log'!$B:$B,A1371,'Issuance Log'!$G:$G,$B$4),0)</f>
        <v>0</v>
      </c>
      <c r="E1371" s="3" t="str">
        <f ca="1">IFERROR(INDEX('Issuance Log'!$E:$E,MATCH(MAXIFS('Issuance Log'!$D:$D,'Issuance Log'!$B:$B,A1371,'Issuance Log'!$G:$G,$B$4),IF(('Issuance Log'!$B:$B=A1371)*('Issuance Log'!$G:$G=$B$4),'Issuance Log'!$D:$D),0)),"-")</f>
        <v>-</v>
      </c>
    </row>
    <row r="1372" spans="1:5" x14ac:dyDescent="0.25">
      <c r="A1372" s="4" t="s">
        <v>2673</v>
      </c>
      <c r="B1372" s="4" t="s">
        <v>2674</v>
      </c>
      <c r="C1372" s="5">
        <f>IFERROR(SUMIFS('Issuance Log'!$D:$D,'Issuance Log'!$B:$B,A1372,'Issuance Log'!$G:$G,$B$4),0)</f>
        <v>0</v>
      </c>
      <c r="D1372" s="5">
        <f>IFERROR(COUNTIFS('Issuance Log'!$B:$B,A1372,'Issuance Log'!$G:$G,$B$4),0)</f>
        <v>0</v>
      </c>
      <c r="E1372" s="5" t="str">
        <f ca="1">IFERROR(INDEX('Issuance Log'!$E:$E,MATCH(MAXIFS('Issuance Log'!$D:$D,'Issuance Log'!$B:$B,A1372,'Issuance Log'!$G:$G,$B$4),IF(('Issuance Log'!$B:$B=A1372)*('Issuance Log'!$G:$G=$B$4),'Issuance Log'!$D:$D),0)),"-")</f>
        <v>-</v>
      </c>
    </row>
    <row r="1373" spans="1:5" x14ac:dyDescent="0.25">
      <c r="A1373" s="2" t="s">
        <v>2675</v>
      </c>
      <c r="B1373" s="2" t="s">
        <v>2676</v>
      </c>
      <c r="C1373" s="3">
        <f>IFERROR(SUMIFS('Issuance Log'!$D:$D,'Issuance Log'!$B:$B,A1373,'Issuance Log'!$G:$G,$B$4),0)</f>
        <v>0</v>
      </c>
      <c r="D1373" s="3">
        <f>IFERROR(COUNTIFS('Issuance Log'!$B:$B,A1373,'Issuance Log'!$G:$G,$B$4),0)</f>
        <v>0</v>
      </c>
      <c r="E1373" s="3" t="str">
        <f ca="1">IFERROR(INDEX('Issuance Log'!$E:$E,MATCH(MAXIFS('Issuance Log'!$D:$D,'Issuance Log'!$B:$B,A1373,'Issuance Log'!$G:$G,$B$4),IF(('Issuance Log'!$B:$B=A1373)*('Issuance Log'!$G:$G=$B$4),'Issuance Log'!$D:$D),0)),"-")</f>
        <v>-</v>
      </c>
    </row>
    <row r="1374" spans="1:5" x14ac:dyDescent="0.25">
      <c r="A1374" s="4" t="s">
        <v>2677</v>
      </c>
      <c r="B1374" s="4" t="s">
        <v>2678</v>
      </c>
      <c r="C1374" s="5">
        <f>IFERROR(SUMIFS('Issuance Log'!$D:$D,'Issuance Log'!$B:$B,A1374,'Issuance Log'!$G:$G,$B$4),0)</f>
        <v>0</v>
      </c>
      <c r="D1374" s="5">
        <f>IFERROR(COUNTIFS('Issuance Log'!$B:$B,A1374,'Issuance Log'!$G:$G,$B$4),0)</f>
        <v>0</v>
      </c>
      <c r="E1374" s="5" t="str">
        <f ca="1">IFERROR(INDEX('Issuance Log'!$E:$E,MATCH(MAXIFS('Issuance Log'!$D:$D,'Issuance Log'!$B:$B,A1374,'Issuance Log'!$G:$G,$B$4),IF(('Issuance Log'!$B:$B=A1374)*('Issuance Log'!$G:$G=$B$4),'Issuance Log'!$D:$D),0)),"-")</f>
        <v>-</v>
      </c>
    </row>
    <row r="1375" spans="1:5" x14ac:dyDescent="0.25">
      <c r="A1375" s="2" t="s">
        <v>2679</v>
      </c>
      <c r="B1375" s="2" t="s">
        <v>2680</v>
      </c>
      <c r="C1375" s="3">
        <f>IFERROR(SUMIFS('Issuance Log'!$D:$D,'Issuance Log'!$B:$B,A1375,'Issuance Log'!$G:$G,$B$4),0)</f>
        <v>0</v>
      </c>
      <c r="D1375" s="3">
        <f>IFERROR(COUNTIFS('Issuance Log'!$B:$B,A1375,'Issuance Log'!$G:$G,$B$4),0)</f>
        <v>0</v>
      </c>
      <c r="E1375" s="3" t="str">
        <f ca="1">IFERROR(INDEX('Issuance Log'!$E:$E,MATCH(MAXIFS('Issuance Log'!$D:$D,'Issuance Log'!$B:$B,A1375,'Issuance Log'!$G:$G,$B$4),IF(('Issuance Log'!$B:$B=A1375)*('Issuance Log'!$G:$G=$B$4),'Issuance Log'!$D:$D),0)),"-")</f>
        <v>-</v>
      </c>
    </row>
    <row r="1376" spans="1:5" x14ac:dyDescent="0.25">
      <c r="A1376" s="4" t="s">
        <v>2681</v>
      </c>
      <c r="B1376" s="4" t="s">
        <v>2682</v>
      </c>
      <c r="C1376" s="5">
        <f>IFERROR(SUMIFS('Issuance Log'!$D:$D,'Issuance Log'!$B:$B,A1376,'Issuance Log'!$G:$G,$B$4),0)</f>
        <v>0</v>
      </c>
      <c r="D1376" s="5">
        <f>IFERROR(COUNTIFS('Issuance Log'!$B:$B,A1376,'Issuance Log'!$G:$G,$B$4),0)</f>
        <v>0</v>
      </c>
      <c r="E1376" s="5" t="str">
        <f ca="1">IFERROR(INDEX('Issuance Log'!$E:$E,MATCH(MAXIFS('Issuance Log'!$D:$D,'Issuance Log'!$B:$B,A1376,'Issuance Log'!$G:$G,$B$4),IF(('Issuance Log'!$B:$B=A1376)*('Issuance Log'!$G:$G=$B$4),'Issuance Log'!$D:$D),0)),"-")</f>
        <v>-</v>
      </c>
    </row>
    <row r="1377" spans="1:5" x14ac:dyDescent="0.25">
      <c r="A1377" s="2" t="s">
        <v>2683</v>
      </c>
      <c r="B1377" s="2" t="s">
        <v>2684</v>
      </c>
      <c r="C1377" s="3">
        <f>IFERROR(SUMIFS('Issuance Log'!$D:$D,'Issuance Log'!$B:$B,A1377,'Issuance Log'!$G:$G,$B$4),0)</f>
        <v>0</v>
      </c>
      <c r="D1377" s="3">
        <f>IFERROR(COUNTIFS('Issuance Log'!$B:$B,A1377,'Issuance Log'!$G:$G,$B$4),0)</f>
        <v>0</v>
      </c>
      <c r="E1377" s="3" t="str">
        <f ca="1">IFERROR(INDEX('Issuance Log'!$E:$E,MATCH(MAXIFS('Issuance Log'!$D:$D,'Issuance Log'!$B:$B,A1377,'Issuance Log'!$G:$G,$B$4),IF(('Issuance Log'!$B:$B=A1377)*('Issuance Log'!$G:$G=$B$4),'Issuance Log'!$D:$D),0)),"-")</f>
        <v>-</v>
      </c>
    </row>
    <row r="1378" spans="1:5" x14ac:dyDescent="0.25">
      <c r="A1378" s="4" t="s">
        <v>2685</v>
      </c>
      <c r="B1378" s="4" t="s">
        <v>2686</v>
      </c>
      <c r="C1378" s="5">
        <f>IFERROR(SUMIFS('Issuance Log'!$D:$D,'Issuance Log'!$B:$B,A1378,'Issuance Log'!$G:$G,$B$4),0)</f>
        <v>0</v>
      </c>
      <c r="D1378" s="5">
        <f>IFERROR(COUNTIFS('Issuance Log'!$B:$B,A1378,'Issuance Log'!$G:$G,$B$4),0)</f>
        <v>0</v>
      </c>
      <c r="E1378" s="5" t="str">
        <f ca="1">IFERROR(INDEX('Issuance Log'!$E:$E,MATCH(MAXIFS('Issuance Log'!$D:$D,'Issuance Log'!$B:$B,A1378,'Issuance Log'!$G:$G,$B$4),IF(('Issuance Log'!$B:$B=A1378)*('Issuance Log'!$G:$G=$B$4),'Issuance Log'!$D:$D),0)),"-")</f>
        <v>-</v>
      </c>
    </row>
    <row r="1379" spans="1:5" x14ac:dyDescent="0.25">
      <c r="A1379" s="2" t="s">
        <v>2687</v>
      </c>
      <c r="B1379" s="2" t="s">
        <v>2688</v>
      </c>
      <c r="C1379" s="3">
        <f>IFERROR(SUMIFS('Issuance Log'!$D:$D,'Issuance Log'!$B:$B,A1379,'Issuance Log'!$G:$G,$B$4),0)</f>
        <v>0</v>
      </c>
      <c r="D1379" s="3">
        <f>IFERROR(COUNTIFS('Issuance Log'!$B:$B,A1379,'Issuance Log'!$G:$G,$B$4),0)</f>
        <v>0</v>
      </c>
      <c r="E1379" s="3" t="str">
        <f ca="1">IFERROR(INDEX('Issuance Log'!$E:$E,MATCH(MAXIFS('Issuance Log'!$D:$D,'Issuance Log'!$B:$B,A1379,'Issuance Log'!$G:$G,$B$4),IF(('Issuance Log'!$B:$B=A1379)*('Issuance Log'!$G:$G=$B$4),'Issuance Log'!$D:$D),0)),"-")</f>
        <v>-</v>
      </c>
    </row>
    <row r="1380" spans="1:5" x14ac:dyDescent="0.25">
      <c r="A1380" s="4" t="s">
        <v>2689</v>
      </c>
      <c r="B1380" s="4" t="s">
        <v>2690</v>
      </c>
      <c r="C1380" s="5">
        <f>IFERROR(SUMIFS('Issuance Log'!$D:$D,'Issuance Log'!$B:$B,A1380,'Issuance Log'!$G:$G,$B$4),0)</f>
        <v>0</v>
      </c>
      <c r="D1380" s="5">
        <f>IFERROR(COUNTIFS('Issuance Log'!$B:$B,A1380,'Issuance Log'!$G:$G,$B$4),0)</f>
        <v>0</v>
      </c>
      <c r="E1380" s="5" t="str">
        <f ca="1">IFERROR(INDEX('Issuance Log'!$E:$E,MATCH(MAXIFS('Issuance Log'!$D:$D,'Issuance Log'!$B:$B,A1380,'Issuance Log'!$G:$G,$B$4),IF(('Issuance Log'!$B:$B=A1380)*('Issuance Log'!$G:$G=$B$4),'Issuance Log'!$D:$D),0)),"-")</f>
        <v>-</v>
      </c>
    </row>
    <row r="1381" spans="1:5" x14ac:dyDescent="0.25">
      <c r="A1381" s="2" t="s">
        <v>2691</v>
      </c>
      <c r="B1381" s="2" t="s">
        <v>2692</v>
      </c>
      <c r="C1381" s="3">
        <f>IFERROR(SUMIFS('Issuance Log'!$D:$D,'Issuance Log'!$B:$B,A1381,'Issuance Log'!$G:$G,$B$4),0)</f>
        <v>0</v>
      </c>
      <c r="D1381" s="3">
        <f>IFERROR(COUNTIFS('Issuance Log'!$B:$B,A1381,'Issuance Log'!$G:$G,$B$4),0)</f>
        <v>0</v>
      </c>
      <c r="E1381" s="3" t="str">
        <f ca="1">IFERROR(INDEX('Issuance Log'!$E:$E,MATCH(MAXIFS('Issuance Log'!$D:$D,'Issuance Log'!$B:$B,A1381,'Issuance Log'!$G:$G,$B$4),IF(('Issuance Log'!$B:$B=A1381)*('Issuance Log'!$G:$G=$B$4),'Issuance Log'!$D:$D),0)),"-")</f>
        <v>-</v>
      </c>
    </row>
    <row r="1382" spans="1:5" x14ac:dyDescent="0.25">
      <c r="A1382" s="4" t="s">
        <v>2693</v>
      </c>
      <c r="B1382" s="4" t="s">
        <v>2694</v>
      </c>
      <c r="C1382" s="5">
        <f>IFERROR(SUMIFS('Issuance Log'!$D:$D,'Issuance Log'!$B:$B,A1382,'Issuance Log'!$G:$G,$B$4),0)</f>
        <v>0</v>
      </c>
      <c r="D1382" s="5">
        <f>IFERROR(COUNTIFS('Issuance Log'!$B:$B,A1382,'Issuance Log'!$G:$G,$B$4),0)</f>
        <v>0</v>
      </c>
      <c r="E1382" s="5" t="str">
        <f ca="1">IFERROR(INDEX('Issuance Log'!$E:$E,MATCH(MAXIFS('Issuance Log'!$D:$D,'Issuance Log'!$B:$B,A1382,'Issuance Log'!$G:$G,$B$4),IF(('Issuance Log'!$B:$B=A1382)*('Issuance Log'!$G:$G=$B$4),'Issuance Log'!$D:$D),0)),"-")</f>
        <v>-</v>
      </c>
    </row>
    <row r="1383" spans="1:5" x14ac:dyDescent="0.25">
      <c r="A1383" s="2" t="s">
        <v>2695</v>
      </c>
      <c r="B1383" s="2" t="s">
        <v>2696</v>
      </c>
      <c r="C1383" s="3">
        <f>IFERROR(SUMIFS('Issuance Log'!$D:$D,'Issuance Log'!$B:$B,A1383,'Issuance Log'!$G:$G,$B$4),0)</f>
        <v>0</v>
      </c>
      <c r="D1383" s="3">
        <f>IFERROR(COUNTIFS('Issuance Log'!$B:$B,A1383,'Issuance Log'!$G:$G,$B$4),0)</f>
        <v>0</v>
      </c>
      <c r="E1383" s="3" t="str">
        <f ca="1">IFERROR(INDEX('Issuance Log'!$E:$E,MATCH(MAXIFS('Issuance Log'!$D:$D,'Issuance Log'!$B:$B,A1383,'Issuance Log'!$G:$G,$B$4),IF(('Issuance Log'!$B:$B=A1383)*('Issuance Log'!$G:$G=$B$4),'Issuance Log'!$D:$D),0)),"-")</f>
        <v>-</v>
      </c>
    </row>
    <row r="1384" spans="1:5" x14ac:dyDescent="0.25">
      <c r="A1384" s="4" t="s">
        <v>2697</v>
      </c>
      <c r="B1384" s="4" t="s">
        <v>42</v>
      </c>
      <c r="C1384" s="5">
        <f>IFERROR(SUMIFS('Issuance Log'!$D:$D,'Issuance Log'!$B:$B,A1384,'Issuance Log'!$G:$G,$B$4),0)</f>
        <v>0</v>
      </c>
      <c r="D1384" s="5">
        <f>IFERROR(COUNTIFS('Issuance Log'!$B:$B,A1384,'Issuance Log'!$G:$G,$B$4),0)</f>
        <v>0</v>
      </c>
      <c r="E1384" s="5" t="str">
        <f ca="1">IFERROR(INDEX('Issuance Log'!$E:$E,MATCH(MAXIFS('Issuance Log'!$D:$D,'Issuance Log'!$B:$B,A1384,'Issuance Log'!$G:$G,$B$4),IF(('Issuance Log'!$B:$B=A1384)*('Issuance Log'!$G:$G=$B$4),'Issuance Log'!$D:$D),0)),"-")</f>
        <v>-</v>
      </c>
    </row>
    <row r="1385" spans="1:5" x14ac:dyDescent="0.25">
      <c r="A1385" s="2" t="s">
        <v>2698</v>
      </c>
      <c r="B1385" s="2" t="s">
        <v>2699</v>
      </c>
      <c r="C1385" s="3">
        <f>IFERROR(SUMIFS('Issuance Log'!$D:$D,'Issuance Log'!$B:$B,A1385,'Issuance Log'!$G:$G,$B$4),0)</f>
        <v>0</v>
      </c>
      <c r="D1385" s="3">
        <f>IFERROR(COUNTIFS('Issuance Log'!$B:$B,A1385,'Issuance Log'!$G:$G,$B$4),0)</f>
        <v>0</v>
      </c>
      <c r="E1385" s="3" t="str">
        <f ca="1">IFERROR(INDEX('Issuance Log'!$E:$E,MATCH(MAXIFS('Issuance Log'!$D:$D,'Issuance Log'!$B:$B,A1385,'Issuance Log'!$G:$G,$B$4),IF(('Issuance Log'!$B:$B=A1385)*('Issuance Log'!$G:$G=$B$4),'Issuance Log'!$D:$D),0)),"-")</f>
        <v>-</v>
      </c>
    </row>
    <row r="1386" spans="1:5" x14ac:dyDescent="0.25">
      <c r="A1386" s="4" t="s">
        <v>2700</v>
      </c>
      <c r="B1386" s="4" t="s">
        <v>2701</v>
      </c>
      <c r="C1386" s="5">
        <f>IFERROR(SUMIFS('Issuance Log'!$D:$D,'Issuance Log'!$B:$B,A1386,'Issuance Log'!$G:$G,$B$4),0)</f>
        <v>0</v>
      </c>
      <c r="D1386" s="5">
        <f>IFERROR(COUNTIFS('Issuance Log'!$B:$B,A1386,'Issuance Log'!$G:$G,$B$4),0)</f>
        <v>0</v>
      </c>
      <c r="E1386" s="5" t="str">
        <f ca="1">IFERROR(INDEX('Issuance Log'!$E:$E,MATCH(MAXIFS('Issuance Log'!$D:$D,'Issuance Log'!$B:$B,A1386,'Issuance Log'!$G:$G,$B$4),IF(('Issuance Log'!$B:$B=A1386)*('Issuance Log'!$G:$G=$B$4),'Issuance Log'!$D:$D),0)),"-")</f>
        <v>-</v>
      </c>
    </row>
    <row r="1387" spans="1:5" x14ac:dyDescent="0.25">
      <c r="A1387" s="2" t="s">
        <v>2702</v>
      </c>
      <c r="B1387" s="2" t="s">
        <v>2703</v>
      </c>
      <c r="C1387" s="3">
        <f>IFERROR(SUMIFS('Issuance Log'!$D:$D,'Issuance Log'!$B:$B,A1387,'Issuance Log'!$G:$G,$B$4),0)</f>
        <v>0</v>
      </c>
      <c r="D1387" s="3">
        <f>IFERROR(COUNTIFS('Issuance Log'!$B:$B,A1387,'Issuance Log'!$G:$G,$B$4),0)</f>
        <v>0</v>
      </c>
      <c r="E1387" s="3" t="str">
        <f ca="1">IFERROR(INDEX('Issuance Log'!$E:$E,MATCH(MAXIFS('Issuance Log'!$D:$D,'Issuance Log'!$B:$B,A1387,'Issuance Log'!$G:$G,$B$4),IF(('Issuance Log'!$B:$B=A1387)*('Issuance Log'!$G:$G=$B$4),'Issuance Log'!$D:$D),0)),"-")</f>
        <v>-</v>
      </c>
    </row>
    <row r="1388" spans="1:5" x14ac:dyDescent="0.25">
      <c r="A1388" s="4" t="s">
        <v>2704</v>
      </c>
      <c r="B1388" s="4" t="s">
        <v>2705</v>
      </c>
      <c r="C1388" s="5">
        <f>IFERROR(SUMIFS('Issuance Log'!$D:$D,'Issuance Log'!$B:$B,A1388,'Issuance Log'!$G:$G,$B$4),0)</f>
        <v>0</v>
      </c>
      <c r="D1388" s="5">
        <f>IFERROR(COUNTIFS('Issuance Log'!$B:$B,A1388,'Issuance Log'!$G:$G,$B$4),0)</f>
        <v>0</v>
      </c>
      <c r="E1388" s="5" t="str">
        <f ca="1">IFERROR(INDEX('Issuance Log'!$E:$E,MATCH(MAXIFS('Issuance Log'!$D:$D,'Issuance Log'!$B:$B,A1388,'Issuance Log'!$G:$G,$B$4),IF(('Issuance Log'!$B:$B=A1388)*('Issuance Log'!$G:$G=$B$4),'Issuance Log'!$D:$D),0)),"-")</f>
        <v>-</v>
      </c>
    </row>
    <row r="1389" spans="1:5" x14ac:dyDescent="0.25">
      <c r="A1389" s="2" t="s">
        <v>2706</v>
      </c>
      <c r="B1389" s="2" t="s">
        <v>2707</v>
      </c>
      <c r="C1389" s="3">
        <f>IFERROR(SUMIFS('Issuance Log'!$D:$D,'Issuance Log'!$B:$B,A1389,'Issuance Log'!$G:$G,$B$4),0)</f>
        <v>0</v>
      </c>
      <c r="D1389" s="3">
        <f>IFERROR(COUNTIFS('Issuance Log'!$B:$B,A1389,'Issuance Log'!$G:$G,$B$4),0)</f>
        <v>0</v>
      </c>
      <c r="E1389" s="3" t="str">
        <f ca="1">IFERROR(INDEX('Issuance Log'!$E:$E,MATCH(MAXIFS('Issuance Log'!$D:$D,'Issuance Log'!$B:$B,A1389,'Issuance Log'!$G:$G,$B$4),IF(('Issuance Log'!$B:$B=A1389)*('Issuance Log'!$G:$G=$B$4),'Issuance Log'!$D:$D),0)),"-")</f>
        <v>-</v>
      </c>
    </row>
    <row r="1390" spans="1:5" x14ac:dyDescent="0.25">
      <c r="A1390" s="4" t="s">
        <v>2708</v>
      </c>
      <c r="B1390" s="4" t="s">
        <v>2709</v>
      </c>
      <c r="C1390" s="5">
        <f>IFERROR(SUMIFS('Issuance Log'!$D:$D,'Issuance Log'!$B:$B,A1390,'Issuance Log'!$G:$G,$B$4),0)</f>
        <v>0</v>
      </c>
      <c r="D1390" s="5">
        <f>IFERROR(COUNTIFS('Issuance Log'!$B:$B,A1390,'Issuance Log'!$G:$G,$B$4),0)</f>
        <v>0</v>
      </c>
      <c r="E1390" s="5" t="str">
        <f ca="1">IFERROR(INDEX('Issuance Log'!$E:$E,MATCH(MAXIFS('Issuance Log'!$D:$D,'Issuance Log'!$B:$B,A1390,'Issuance Log'!$G:$G,$B$4),IF(('Issuance Log'!$B:$B=A1390)*('Issuance Log'!$G:$G=$B$4),'Issuance Log'!$D:$D),0)),"-")</f>
        <v>-</v>
      </c>
    </row>
    <row r="1391" spans="1:5" x14ac:dyDescent="0.25">
      <c r="A1391" s="2" t="s">
        <v>2710</v>
      </c>
      <c r="B1391" s="2" t="s">
        <v>2711</v>
      </c>
      <c r="C1391" s="3">
        <f>IFERROR(SUMIFS('Issuance Log'!$D:$D,'Issuance Log'!$B:$B,A1391,'Issuance Log'!$G:$G,$B$4),0)</f>
        <v>0</v>
      </c>
      <c r="D1391" s="3">
        <f>IFERROR(COUNTIFS('Issuance Log'!$B:$B,A1391,'Issuance Log'!$G:$G,$B$4),0)</f>
        <v>0</v>
      </c>
      <c r="E1391" s="3" t="str">
        <f ca="1">IFERROR(INDEX('Issuance Log'!$E:$E,MATCH(MAXIFS('Issuance Log'!$D:$D,'Issuance Log'!$B:$B,A1391,'Issuance Log'!$G:$G,$B$4),IF(('Issuance Log'!$B:$B=A1391)*('Issuance Log'!$G:$G=$B$4),'Issuance Log'!$D:$D),0)),"-")</f>
        <v>-</v>
      </c>
    </row>
    <row r="1392" spans="1:5" x14ac:dyDescent="0.25">
      <c r="A1392" s="4" t="s">
        <v>2712</v>
      </c>
      <c r="B1392" s="4" t="s">
        <v>2713</v>
      </c>
      <c r="C1392" s="5">
        <f>IFERROR(SUMIFS('Issuance Log'!$D:$D,'Issuance Log'!$B:$B,A1392,'Issuance Log'!$G:$G,$B$4),0)</f>
        <v>0</v>
      </c>
      <c r="D1392" s="5">
        <f>IFERROR(COUNTIFS('Issuance Log'!$B:$B,A1392,'Issuance Log'!$G:$G,$B$4),0)</f>
        <v>0</v>
      </c>
      <c r="E1392" s="5" t="str">
        <f ca="1">IFERROR(INDEX('Issuance Log'!$E:$E,MATCH(MAXIFS('Issuance Log'!$D:$D,'Issuance Log'!$B:$B,A1392,'Issuance Log'!$G:$G,$B$4),IF(('Issuance Log'!$B:$B=A1392)*('Issuance Log'!$G:$G=$B$4),'Issuance Log'!$D:$D),0)),"-")</f>
        <v>-</v>
      </c>
    </row>
    <row r="1393" spans="1:5" x14ac:dyDescent="0.25">
      <c r="A1393" s="2" t="s">
        <v>2714</v>
      </c>
      <c r="B1393" s="2" t="s">
        <v>2715</v>
      </c>
      <c r="C1393" s="3">
        <f>IFERROR(SUMIFS('Issuance Log'!$D:$D,'Issuance Log'!$B:$B,A1393,'Issuance Log'!$G:$G,$B$4),0)</f>
        <v>0</v>
      </c>
      <c r="D1393" s="3">
        <f>IFERROR(COUNTIFS('Issuance Log'!$B:$B,A1393,'Issuance Log'!$G:$G,$B$4),0)</f>
        <v>0</v>
      </c>
      <c r="E1393" s="3" t="str">
        <f ca="1">IFERROR(INDEX('Issuance Log'!$E:$E,MATCH(MAXIFS('Issuance Log'!$D:$D,'Issuance Log'!$B:$B,A1393,'Issuance Log'!$G:$G,$B$4),IF(('Issuance Log'!$B:$B=A1393)*('Issuance Log'!$G:$G=$B$4),'Issuance Log'!$D:$D),0)),"-")</f>
        <v>-</v>
      </c>
    </row>
    <row r="1394" spans="1:5" x14ac:dyDescent="0.25">
      <c r="A1394" s="4" t="s">
        <v>2716</v>
      </c>
      <c r="B1394" s="4" t="s">
        <v>2717</v>
      </c>
      <c r="C1394" s="5">
        <f>IFERROR(SUMIFS('Issuance Log'!$D:$D,'Issuance Log'!$B:$B,A1394,'Issuance Log'!$G:$G,$B$4),0)</f>
        <v>0</v>
      </c>
      <c r="D1394" s="5">
        <f>IFERROR(COUNTIFS('Issuance Log'!$B:$B,A1394,'Issuance Log'!$G:$G,$B$4),0)</f>
        <v>0</v>
      </c>
      <c r="E1394" s="5" t="str">
        <f ca="1">IFERROR(INDEX('Issuance Log'!$E:$E,MATCH(MAXIFS('Issuance Log'!$D:$D,'Issuance Log'!$B:$B,A1394,'Issuance Log'!$G:$G,$B$4),IF(('Issuance Log'!$B:$B=A1394)*('Issuance Log'!$G:$G=$B$4),'Issuance Log'!$D:$D),0)),"-")</f>
        <v>-</v>
      </c>
    </row>
    <row r="1395" spans="1:5" x14ac:dyDescent="0.25">
      <c r="A1395" s="2" t="s">
        <v>2718</v>
      </c>
      <c r="B1395" s="2" t="s">
        <v>2719</v>
      </c>
      <c r="C1395" s="3">
        <f>IFERROR(SUMIFS('Issuance Log'!$D:$D,'Issuance Log'!$B:$B,A1395,'Issuance Log'!$G:$G,$B$4),0)</f>
        <v>0</v>
      </c>
      <c r="D1395" s="3">
        <f>IFERROR(COUNTIFS('Issuance Log'!$B:$B,A1395,'Issuance Log'!$G:$G,$B$4),0)</f>
        <v>0</v>
      </c>
      <c r="E1395" s="3" t="str">
        <f ca="1">IFERROR(INDEX('Issuance Log'!$E:$E,MATCH(MAXIFS('Issuance Log'!$D:$D,'Issuance Log'!$B:$B,A1395,'Issuance Log'!$G:$G,$B$4),IF(('Issuance Log'!$B:$B=A1395)*('Issuance Log'!$G:$G=$B$4),'Issuance Log'!$D:$D),0)),"-")</f>
        <v>-</v>
      </c>
    </row>
    <row r="1396" spans="1:5" x14ac:dyDescent="0.25">
      <c r="A1396" s="4" t="s">
        <v>2720</v>
      </c>
      <c r="B1396" s="4" t="s">
        <v>2721</v>
      </c>
      <c r="C1396" s="5">
        <f>IFERROR(SUMIFS('Issuance Log'!$D:$D,'Issuance Log'!$B:$B,A1396,'Issuance Log'!$G:$G,$B$4),0)</f>
        <v>0</v>
      </c>
      <c r="D1396" s="5">
        <f>IFERROR(COUNTIFS('Issuance Log'!$B:$B,A1396,'Issuance Log'!$G:$G,$B$4),0)</f>
        <v>0</v>
      </c>
      <c r="E1396" s="5" t="str">
        <f ca="1">IFERROR(INDEX('Issuance Log'!$E:$E,MATCH(MAXIFS('Issuance Log'!$D:$D,'Issuance Log'!$B:$B,A1396,'Issuance Log'!$G:$G,$B$4),IF(('Issuance Log'!$B:$B=A1396)*('Issuance Log'!$G:$G=$B$4),'Issuance Log'!$D:$D),0)),"-")</f>
        <v>-</v>
      </c>
    </row>
    <row r="1397" spans="1:5" x14ac:dyDescent="0.25">
      <c r="A1397" s="2" t="s">
        <v>2722</v>
      </c>
      <c r="B1397" s="2" t="s">
        <v>2723</v>
      </c>
      <c r="C1397" s="3">
        <f>IFERROR(SUMIFS('Issuance Log'!$D:$D,'Issuance Log'!$B:$B,A1397,'Issuance Log'!$G:$G,$B$4),0)</f>
        <v>0</v>
      </c>
      <c r="D1397" s="3">
        <f>IFERROR(COUNTIFS('Issuance Log'!$B:$B,A1397,'Issuance Log'!$G:$G,$B$4),0)</f>
        <v>0</v>
      </c>
      <c r="E1397" s="3" t="str">
        <f ca="1">IFERROR(INDEX('Issuance Log'!$E:$E,MATCH(MAXIFS('Issuance Log'!$D:$D,'Issuance Log'!$B:$B,A1397,'Issuance Log'!$G:$G,$B$4),IF(('Issuance Log'!$B:$B=A1397)*('Issuance Log'!$G:$G=$B$4),'Issuance Log'!$D:$D),0)),"-")</f>
        <v>-</v>
      </c>
    </row>
    <row r="1398" spans="1:5" x14ac:dyDescent="0.25">
      <c r="A1398" s="4" t="s">
        <v>2724</v>
      </c>
      <c r="B1398" s="4" t="s">
        <v>2725</v>
      </c>
      <c r="C1398" s="5">
        <f>IFERROR(SUMIFS('Issuance Log'!$D:$D,'Issuance Log'!$B:$B,A1398,'Issuance Log'!$G:$G,$B$4),0)</f>
        <v>0</v>
      </c>
      <c r="D1398" s="5">
        <f>IFERROR(COUNTIFS('Issuance Log'!$B:$B,A1398,'Issuance Log'!$G:$G,$B$4),0)</f>
        <v>0</v>
      </c>
      <c r="E1398" s="5" t="str">
        <f ca="1">IFERROR(INDEX('Issuance Log'!$E:$E,MATCH(MAXIFS('Issuance Log'!$D:$D,'Issuance Log'!$B:$B,A1398,'Issuance Log'!$G:$G,$B$4),IF(('Issuance Log'!$B:$B=A1398)*('Issuance Log'!$G:$G=$B$4),'Issuance Log'!$D:$D),0)),"-")</f>
        <v>-</v>
      </c>
    </row>
    <row r="1399" spans="1:5" x14ac:dyDescent="0.25">
      <c r="A1399" s="2" t="s">
        <v>2726</v>
      </c>
      <c r="B1399" s="2" t="s">
        <v>2727</v>
      </c>
      <c r="C1399" s="3">
        <f>IFERROR(SUMIFS('Issuance Log'!$D:$D,'Issuance Log'!$B:$B,A1399,'Issuance Log'!$G:$G,$B$4),0)</f>
        <v>0</v>
      </c>
      <c r="D1399" s="3">
        <f>IFERROR(COUNTIFS('Issuance Log'!$B:$B,A1399,'Issuance Log'!$G:$G,$B$4),0)</f>
        <v>0</v>
      </c>
      <c r="E1399" s="3" t="str">
        <f ca="1">IFERROR(INDEX('Issuance Log'!$E:$E,MATCH(MAXIFS('Issuance Log'!$D:$D,'Issuance Log'!$B:$B,A1399,'Issuance Log'!$G:$G,$B$4),IF(('Issuance Log'!$B:$B=A1399)*('Issuance Log'!$G:$G=$B$4),'Issuance Log'!$D:$D),0)),"-")</f>
        <v>-</v>
      </c>
    </row>
    <row r="1400" spans="1:5" x14ac:dyDescent="0.25">
      <c r="A1400" s="4" t="s">
        <v>2728</v>
      </c>
      <c r="B1400" s="4" t="s">
        <v>2729</v>
      </c>
      <c r="C1400" s="5">
        <f>IFERROR(SUMIFS('Issuance Log'!$D:$D,'Issuance Log'!$B:$B,A1400,'Issuance Log'!$G:$G,$B$4),0)</f>
        <v>0</v>
      </c>
      <c r="D1400" s="5">
        <f>IFERROR(COUNTIFS('Issuance Log'!$B:$B,A1400,'Issuance Log'!$G:$G,$B$4),0)</f>
        <v>0</v>
      </c>
      <c r="E1400" s="5" t="str">
        <f ca="1">IFERROR(INDEX('Issuance Log'!$E:$E,MATCH(MAXIFS('Issuance Log'!$D:$D,'Issuance Log'!$B:$B,A1400,'Issuance Log'!$G:$G,$B$4),IF(('Issuance Log'!$B:$B=A1400)*('Issuance Log'!$G:$G=$B$4),'Issuance Log'!$D:$D),0)),"-")</f>
        <v>-</v>
      </c>
    </row>
    <row r="1401" spans="1:5" x14ac:dyDescent="0.25">
      <c r="A1401" s="2" t="s">
        <v>2730</v>
      </c>
      <c r="B1401" s="2" t="s">
        <v>2731</v>
      </c>
      <c r="C1401" s="3">
        <f>IFERROR(SUMIFS('Issuance Log'!$D:$D,'Issuance Log'!$B:$B,A1401,'Issuance Log'!$G:$G,$B$4),0)</f>
        <v>0</v>
      </c>
      <c r="D1401" s="3">
        <f>IFERROR(COUNTIFS('Issuance Log'!$B:$B,A1401,'Issuance Log'!$G:$G,$B$4),0)</f>
        <v>0</v>
      </c>
      <c r="E1401" s="3" t="str">
        <f ca="1">IFERROR(INDEX('Issuance Log'!$E:$E,MATCH(MAXIFS('Issuance Log'!$D:$D,'Issuance Log'!$B:$B,A1401,'Issuance Log'!$G:$G,$B$4),IF(('Issuance Log'!$B:$B=A1401)*('Issuance Log'!$G:$G=$B$4),'Issuance Log'!$D:$D),0)),"-")</f>
        <v>-</v>
      </c>
    </row>
    <row r="1402" spans="1:5" x14ac:dyDescent="0.25">
      <c r="A1402" s="4" t="s">
        <v>2732</v>
      </c>
      <c r="B1402" s="4" t="s">
        <v>2733</v>
      </c>
      <c r="C1402" s="5">
        <f>IFERROR(SUMIFS('Issuance Log'!$D:$D,'Issuance Log'!$B:$B,A1402,'Issuance Log'!$G:$G,$B$4),0)</f>
        <v>0</v>
      </c>
      <c r="D1402" s="5">
        <f>IFERROR(COUNTIFS('Issuance Log'!$B:$B,A1402,'Issuance Log'!$G:$G,$B$4),0)</f>
        <v>0</v>
      </c>
      <c r="E1402" s="5" t="str">
        <f ca="1">IFERROR(INDEX('Issuance Log'!$E:$E,MATCH(MAXIFS('Issuance Log'!$D:$D,'Issuance Log'!$B:$B,A1402,'Issuance Log'!$G:$G,$B$4),IF(('Issuance Log'!$B:$B=A1402)*('Issuance Log'!$G:$G=$B$4),'Issuance Log'!$D:$D),0)),"-")</f>
        <v>-</v>
      </c>
    </row>
    <row r="1403" spans="1:5" x14ac:dyDescent="0.25">
      <c r="A1403" s="2" t="s">
        <v>2734</v>
      </c>
      <c r="B1403" s="2" t="s">
        <v>2735</v>
      </c>
      <c r="C1403" s="3">
        <f>IFERROR(SUMIFS('Issuance Log'!$D:$D,'Issuance Log'!$B:$B,A1403,'Issuance Log'!$G:$G,$B$4),0)</f>
        <v>0</v>
      </c>
      <c r="D1403" s="3">
        <f>IFERROR(COUNTIFS('Issuance Log'!$B:$B,A1403,'Issuance Log'!$G:$G,$B$4),0)</f>
        <v>0</v>
      </c>
      <c r="E1403" s="3" t="str">
        <f ca="1">IFERROR(INDEX('Issuance Log'!$E:$E,MATCH(MAXIFS('Issuance Log'!$D:$D,'Issuance Log'!$B:$B,A1403,'Issuance Log'!$G:$G,$B$4),IF(('Issuance Log'!$B:$B=A1403)*('Issuance Log'!$G:$G=$B$4),'Issuance Log'!$D:$D),0)),"-")</f>
        <v>-</v>
      </c>
    </row>
    <row r="1404" spans="1:5" x14ac:dyDescent="0.25">
      <c r="A1404" s="4" t="s">
        <v>2736</v>
      </c>
      <c r="B1404" s="4" t="s">
        <v>2737</v>
      </c>
      <c r="C1404" s="5">
        <f>IFERROR(SUMIFS('Issuance Log'!$D:$D,'Issuance Log'!$B:$B,A1404,'Issuance Log'!$G:$G,$B$4),0)</f>
        <v>0</v>
      </c>
      <c r="D1404" s="5">
        <f>IFERROR(COUNTIFS('Issuance Log'!$B:$B,A1404,'Issuance Log'!$G:$G,$B$4),0)</f>
        <v>0</v>
      </c>
      <c r="E1404" s="5" t="str">
        <f ca="1">IFERROR(INDEX('Issuance Log'!$E:$E,MATCH(MAXIFS('Issuance Log'!$D:$D,'Issuance Log'!$B:$B,A1404,'Issuance Log'!$G:$G,$B$4),IF(('Issuance Log'!$B:$B=A1404)*('Issuance Log'!$G:$G=$B$4),'Issuance Log'!$D:$D),0)),"-")</f>
        <v>-</v>
      </c>
    </row>
    <row r="1405" spans="1:5" x14ac:dyDescent="0.25">
      <c r="A1405" s="2" t="s">
        <v>2738</v>
      </c>
      <c r="B1405" s="2" t="s">
        <v>2739</v>
      </c>
      <c r="C1405" s="3">
        <f>IFERROR(SUMIFS('Issuance Log'!$D:$D,'Issuance Log'!$B:$B,A1405,'Issuance Log'!$G:$G,$B$4),0)</f>
        <v>0</v>
      </c>
      <c r="D1405" s="3">
        <f>IFERROR(COUNTIFS('Issuance Log'!$B:$B,A1405,'Issuance Log'!$G:$G,$B$4),0)</f>
        <v>0</v>
      </c>
      <c r="E1405" s="3" t="str">
        <f ca="1">IFERROR(INDEX('Issuance Log'!$E:$E,MATCH(MAXIFS('Issuance Log'!$D:$D,'Issuance Log'!$B:$B,A1405,'Issuance Log'!$G:$G,$B$4),IF(('Issuance Log'!$B:$B=A1405)*('Issuance Log'!$G:$G=$B$4),'Issuance Log'!$D:$D),0)),"-")</f>
        <v>-</v>
      </c>
    </row>
    <row r="1406" spans="1:5" x14ac:dyDescent="0.25">
      <c r="A1406" s="4" t="s">
        <v>2740</v>
      </c>
      <c r="B1406" s="4" t="s">
        <v>2741</v>
      </c>
      <c r="C1406" s="5">
        <f>IFERROR(SUMIFS('Issuance Log'!$D:$D,'Issuance Log'!$B:$B,A1406,'Issuance Log'!$G:$G,$B$4),0)</f>
        <v>0</v>
      </c>
      <c r="D1406" s="5">
        <f>IFERROR(COUNTIFS('Issuance Log'!$B:$B,A1406,'Issuance Log'!$G:$G,$B$4),0)</f>
        <v>0</v>
      </c>
      <c r="E1406" s="5" t="str">
        <f ca="1">IFERROR(INDEX('Issuance Log'!$E:$E,MATCH(MAXIFS('Issuance Log'!$D:$D,'Issuance Log'!$B:$B,A1406,'Issuance Log'!$G:$G,$B$4),IF(('Issuance Log'!$B:$B=A1406)*('Issuance Log'!$G:$G=$B$4),'Issuance Log'!$D:$D),0)),"-")</f>
        <v>-</v>
      </c>
    </row>
    <row r="1407" spans="1:5" x14ac:dyDescent="0.25">
      <c r="A1407" s="2" t="s">
        <v>2742</v>
      </c>
      <c r="B1407" s="2" t="s">
        <v>2743</v>
      </c>
      <c r="C1407" s="3">
        <f>IFERROR(SUMIFS('Issuance Log'!$D:$D,'Issuance Log'!$B:$B,A1407,'Issuance Log'!$G:$G,$B$4),0)</f>
        <v>0</v>
      </c>
      <c r="D1407" s="3">
        <f>IFERROR(COUNTIFS('Issuance Log'!$B:$B,A1407,'Issuance Log'!$G:$G,$B$4),0)</f>
        <v>0</v>
      </c>
      <c r="E1407" s="3" t="str">
        <f ca="1">IFERROR(INDEX('Issuance Log'!$E:$E,MATCH(MAXIFS('Issuance Log'!$D:$D,'Issuance Log'!$B:$B,A1407,'Issuance Log'!$G:$G,$B$4),IF(('Issuance Log'!$B:$B=A1407)*('Issuance Log'!$G:$G=$B$4),'Issuance Log'!$D:$D),0)),"-")</f>
        <v>-</v>
      </c>
    </row>
    <row r="1408" spans="1:5" x14ac:dyDescent="0.25">
      <c r="A1408" s="4" t="s">
        <v>2744</v>
      </c>
      <c r="B1408" s="4" t="s">
        <v>2745</v>
      </c>
      <c r="C1408" s="5">
        <f>IFERROR(SUMIFS('Issuance Log'!$D:$D,'Issuance Log'!$B:$B,A1408,'Issuance Log'!$G:$G,$B$4),0)</f>
        <v>0</v>
      </c>
      <c r="D1408" s="5">
        <f>IFERROR(COUNTIFS('Issuance Log'!$B:$B,A1408,'Issuance Log'!$G:$G,$B$4),0)</f>
        <v>0</v>
      </c>
      <c r="E1408" s="5" t="str">
        <f ca="1">IFERROR(INDEX('Issuance Log'!$E:$E,MATCH(MAXIFS('Issuance Log'!$D:$D,'Issuance Log'!$B:$B,A1408,'Issuance Log'!$G:$G,$B$4),IF(('Issuance Log'!$B:$B=A1408)*('Issuance Log'!$G:$G=$B$4),'Issuance Log'!$D:$D),0)),"-")</f>
        <v>-</v>
      </c>
    </row>
    <row r="1409" spans="1:5" x14ac:dyDescent="0.25">
      <c r="A1409" s="2" t="s">
        <v>2746</v>
      </c>
      <c r="B1409" s="2" t="s">
        <v>2747</v>
      </c>
      <c r="C1409" s="3">
        <f>IFERROR(SUMIFS('Issuance Log'!$D:$D,'Issuance Log'!$B:$B,A1409,'Issuance Log'!$G:$G,$B$4),0)</f>
        <v>0</v>
      </c>
      <c r="D1409" s="3">
        <f>IFERROR(COUNTIFS('Issuance Log'!$B:$B,A1409,'Issuance Log'!$G:$G,$B$4),0)</f>
        <v>0</v>
      </c>
      <c r="E1409" s="3" t="str">
        <f ca="1">IFERROR(INDEX('Issuance Log'!$E:$E,MATCH(MAXIFS('Issuance Log'!$D:$D,'Issuance Log'!$B:$B,A1409,'Issuance Log'!$G:$G,$B$4),IF(('Issuance Log'!$B:$B=A1409)*('Issuance Log'!$G:$G=$B$4),'Issuance Log'!$D:$D),0)),"-")</f>
        <v>-</v>
      </c>
    </row>
    <row r="1410" spans="1:5" x14ac:dyDescent="0.25">
      <c r="A1410" s="4" t="s">
        <v>2748</v>
      </c>
      <c r="B1410" s="4" t="s">
        <v>2749</v>
      </c>
      <c r="C1410" s="5">
        <f>IFERROR(SUMIFS('Issuance Log'!$D:$D,'Issuance Log'!$B:$B,A1410,'Issuance Log'!$G:$G,$B$4),0)</f>
        <v>0</v>
      </c>
      <c r="D1410" s="5">
        <f>IFERROR(COUNTIFS('Issuance Log'!$B:$B,A1410,'Issuance Log'!$G:$G,$B$4),0)</f>
        <v>0</v>
      </c>
      <c r="E1410" s="5" t="str">
        <f ca="1">IFERROR(INDEX('Issuance Log'!$E:$E,MATCH(MAXIFS('Issuance Log'!$D:$D,'Issuance Log'!$B:$B,A1410,'Issuance Log'!$G:$G,$B$4),IF(('Issuance Log'!$B:$B=A1410)*('Issuance Log'!$G:$G=$B$4),'Issuance Log'!$D:$D),0)),"-")</f>
        <v>-</v>
      </c>
    </row>
    <row r="1411" spans="1:5" x14ac:dyDescent="0.25">
      <c r="A1411" s="2" t="s">
        <v>2750</v>
      </c>
      <c r="B1411" s="2" t="s">
        <v>2751</v>
      </c>
      <c r="C1411" s="3">
        <f>IFERROR(SUMIFS('Issuance Log'!$D:$D,'Issuance Log'!$B:$B,A1411,'Issuance Log'!$G:$G,$B$4),0)</f>
        <v>0</v>
      </c>
      <c r="D1411" s="3">
        <f>IFERROR(COUNTIFS('Issuance Log'!$B:$B,A1411,'Issuance Log'!$G:$G,$B$4),0)</f>
        <v>0</v>
      </c>
      <c r="E1411" s="3" t="str">
        <f ca="1">IFERROR(INDEX('Issuance Log'!$E:$E,MATCH(MAXIFS('Issuance Log'!$D:$D,'Issuance Log'!$B:$B,A1411,'Issuance Log'!$G:$G,$B$4),IF(('Issuance Log'!$B:$B=A1411)*('Issuance Log'!$G:$G=$B$4),'Issuance Log'!$D:$D),0)),"-")</f>
        <v>-</v>
      </c>
    </row>
    <row r="1412" spans="1:5" x14ac:dyDescent="0.25">
      <c r="A1412" s="4" t="s">
        <v>2752</v>
      </c>
      <c r="B1412" s="4" t="s">
        <v>2753</v>
      </c>
      <c r="C1412" s="5">
        <f>IFERROR(SUMIFS('Issuance Log'!$D:$D,'Issuance Log'!$B:$B,A1412,'Issuance Log'!$G:$G,$B$4),0)</f>
        <v>0</v>
      </c>
      <c r="D1412" s="5">
        <f>IFERROR(COUNTIFS('Issuance Log'!$B:$B,A1412,'Issuance Log'!$G:$G,$B$4),0)</f>
        <v>0</v>
      </c>
      <c r="E1412" s="5" t="str">
        <f ca="1">IFERROR(INDEX('Issuance Log'!$E:$E,MATCH(MAXIFS('Issuance Log'!$D:$D,'Issuance Log'!$B:$B,A1412,'Issuance Log'!$G:$G,$B$4),IF(('Issuance Log'!$B:$B=A1412)*('Issuance Log'!$G:$G=$B$4),'Issuance Log'!$D:$D),0)),"-")</f>
        <v>-</v>
      </c>
    </row>
    <row r="1413" spans="1:5" x14ac:dyDescent="0.25">
      <c r="A1413" s="2" t="s">
        <v>2754</v>
      </c>
      <c r="B1413" s="2" t="s">
        <v>2755</v>
      </c>
      <c r="C1413" s="3">
        <f>IFERROR(SUMIFS('Issuance Log'!$D:$D,'Issuance Log'!$B:$B,A1413,'Issuance Log'!$G:$G,$B$4),0)</f>
        <v>0</v>
      </c>
      <c r="D1413" s="3">
        <f>IFERROR(COUNTIFS('Issuance Log'!$B:$B,A1413,'Issuance Log'!$G:$G,$B$4),0)</f>
        <v>0</v>
      </c>
      <c r="E1413" s="3" t="str">
        <f ca="1">IFERROR(INDEX('Issuance Log'!$E:$E,MATCH(MAXIFS('Issuance Log'!$D:$D,'Issuance Log'!$B:$B,A1413,'Issuance Log'!$G:$G,$B$4),IF(('Issuance Log'!$B:$B=A1413)*('Issuance Log'!$G:$G=$B$4),'Issuance Log'!$D:$D),0)),"-")</f>
        <v>-</v>
      </c>
    </row>
    <row r="1414" spans="1:5" x14ac:dyDescent="0.25">
      <c r="A1414" s="4" t="s">
        <v>2756</v>
      </c>
      <c r="B1414" s="4" t="s">
        <v>2757</v>
      </c>
      <c r="C1414" s="5">
        <f>IFERROR(SUMIFS('Issuance Log'!$D:$D,'Issuance Log'!$B:$B,A1414,'Issuance Log'!$G:$G,$B$4),0)</f>
        <v>0</v>
      </c>
      <c r="D1414" s="5">
        <f>IFERROR(COUNTIFS('Issuance Log'!$B:$B,A1414,'Issuance Log'!$G:$G,$B$4),0)</f>
        <v>0</v>
      </c>
      <c r="E1414" s="5" t="str">
        <f ca="1">IFERROR(INDEX('Issuance Log'!$E:$E,MATCH(MAXIFS('Issuance Log'!$D:$D,'Issuance Log'!$B:$B,A1414,'Issuance Log'!$G:$G,$B$4),IF(('Issuance Log'!$B:$B=A1414)*('Issuance Log'!$G:$G=$B$4),'Issuance Log'!$D:$D),0)),"-")</f>
        <v>-</v>
      </c>
    </row>
    <row r="1415" spans="1:5" x14ac:dyDescent="0.25">
      <c r="A1415" s="2" t="s">
        <v>2758</v>
      </c>
      <c r="B1415" s="2" t="s">
        <v>2759</v>
      </c>
      <c r="C1415" s="3">
        <f>IFERROR(SUMIFS('Issuance Log'!$D:$D,'Issuance Log'!$B:$B,A1415,'Issuance Log'!$G:$G,$B$4),0)</f>
        <v>0</v>
      </c>
      <c r="D1415" s="3">
        <f>IFERROR(COUNTIFS('Issuance Log'!$B:$B,A1415,'Issuance Log'!$G:$G,$B$4),0)</f>
        <v>0</v>
      </c>
      <c r="E1415" s="3" t="str">
        <f ca="1">IFERROR(INDEX('Issuance Log'!$E:$E,MATCH(MAXIFS('Issuance Log'!$D:$D,'Issuance Log'!$B:$B,A1415,'Issuance Log'!$G:$G,$B$4),IF(('Issuance Log'!$B:$B=A1415)*('Issuance Log'!$G:$G=$B$4),'Issuance Log'!$D:$D),0)),"-")</f>
        <v>-</v>
      </c>
    </row>
    <row r="1416" spans="1:5" x14ac:dyDescent="0.25">
      <c r="A1416" s="4" t="s">
        <v>2760</v>
      </c>
      <c r="B1416" s="4" t="s">
        <v>2761</v>
      </c>
      <c r="C1416" s="5">
        <f>IFERROR(SUMIFS('Issuance Log'!$D:$D,'Issuance Log'!$B:$B,A1416,'Issuance Log'!$G:$G,$B$4),0)</f>
        <v>0</v>
      </c>
      <c r="D1416" s="5">
        <f>IFERROR(COUNTIFS('Issuance Log'!$B:$B,A1416,'Issuance Log'!$G:$G,$B$4),0)</f>
        <v>0</v>
      </c>
      <c r="E1416" s="5" t="str">
        <f ca="1">IFERROR(INDEX('Issuance Log'!$E:$E,MATCH(MAXIFS('Issuance Log'!$D:$D,'Issuance Log'!$B:$B,A1416,'Issuance Log'!$G:$G,$B$4),IF(('Issuance Log'!$B:$B=A1416)*('Issuance Log'!$G:$G=$B$4),'Issuance Log'!$D:$D),0)),"-")</f>
        <v>-</v>
      </c>
    </row>
    <row r="1417" spans="1:5" x14ac:dyDescent="0.25">
      <c r="A1417" s="2" t="s">
        <v>2762</v>
      </c>
      <c r="B1417" s="2" t="s">
        <v>2763</v>
      </c>
      <c r="C1417" s="3">
        <f>IFERROR(SUMIFS('Issuance Log'!$D:$D,'Issuance Log'!$B:$B,A1417,'Issuance Log'!$G:$G,$B$4),0)</f>
        <v>0</v>
      </c>
      <c r="D1417" s="3">
        <f>IFERROR(COUNTIFS('Issuance Log'!$B:$B,A1417,'Issuance Log'!$G:$G,$B$4),0)</f>
        <v>0</v>
      </c>
      <c r="E1417" s="3" t="str">
        <f ca="1">IFERROR(INDEX('Issuance Log'!$E:$E,MATCH(MAXIFS('Issuance Log'!$D:$D,'Issuance Log'!$B:$B,A1417,'Issuance Log'!$G:$G,$B$4),IF(('Issuance Log'!$B:$B=A1417)*('Issuance Log'!$G:$G=$B$4),'Issuance Log'!$D:$D),0)),"-")</f>
        <v>-</v>
      </c>
    </row>
    <row r="1418" spans="1:5" x14ac:dyDescent="0.25">
      <c r="A1418" s="4" t="s">
        <v>2764</v>
      </c>
      <c r="B1418" s="4" t="s">
        <v>2765</v>
      </c>
      <c r="C1418" s="5">
        <f>IFERROR(SUMIFS('Issuance Log'!$D:$D,'Issuance Log'!$B:$B,A1418,'Issuance Log'!$G:$G,$B$4),0)</f>
        <v>0</v>
      </c>
      <c r="D1418" s="5">
        <f>IFERROR(COUNTIFS('Issuance Log'!$B:$B,A1418,'Issuance Log'!$G:$G,$B$4),0)</f>
        <v>0</v>
      </c>
      <c r="E1418" s="5" t="str">
        <f ca="1">IFERROR(INDEX('Issuance Log'!$E:$E,MATCH(MAXIFS('Issuance Log'!$D:$D,'Issuance Log'!$B:$B,A1418,'Issuance Log'!$G:$G,$B$4),IF(('Issuance Log'!$B:$B=A1418)*('Issuance Log'!$G:$G=$B$4),'Issuance Log'!$D:$D),0)),"-")</f>
        <v>-</v>
      </c>
    </row>
    <row r="1419" spans="1:5" x14ac:dyDescent="0.25">
      <c r="A1419" s="2" t="s">
        <v>2766</v>
      </c>
      <c r="B1419" s="2" t="s">
        <v>2767</v>
      </c>
      <c r="C1419" s="3">
        <f>IFERROR(SUMIFS('Issuance Log'!$D:$D,'Issuance Log'!$B:$B,A1419,'Issuance Log'!$G:$G,$B$4),0)</f>
        <v>0</v>
      </c>
      <c r="D1419" s="3">
        <f>IFERROR(COUNTIFS('Issuance Log'!$B:$B,A1419,'Issuance Log'!$G:$G,$B$4),0)</f>
        <v>0</v>
      </c>
      <c r="E1419" s="3" t="str">
        <f ca="1">IFERROR(INDEX('Issuance Log'!$E:$E,MATCH(MAXIFS('Issuance Log'!$D:$D,'Issuance Log'!$B:$B,A1419,'Issuance Log'!$G:$G,$B$4),IF(('Issuance Log'!$B:$B=A1419)*('Issuance Log'!$G:$G=$B$4),'Issuance Log'!$D:$D),0)),"-")</f>
        <v>-</v>
      </c>
    </row>
    <row r="1420" spans="1:5" x14ac:dyDescent="0.25">
      <c r="A1420" s="4" t="s">
        <v>2768</v>
      </c>
      <c r="B1420" s="4" t="s">
        <v>2769</v>
      </c>
      <c r="C1420" s="5">
        <f>IFERROR(SUMIFS('Issuance Log'!$D:$D,'Issuance Log'!$B:$B,A1420,'Issuance Log'!$G:$G,$B$4),0)</f>
        <v>0</v>
      </c>
      <c r="D1420" s="5">
        <f>IFERROR(COUNTIFS('Issuance Log'!$B:$B,A1420,'Issuance Log'!$G:$G,$B$4),0)</f>
        <v>0</v>
      </c>
      <c r="E1420" s="5" t="str">
        <f ca="1">IFERROR(INDEX('Issuance Log'!$E:$E,MATCH(MAXIFS('Issuance Log'!$D:$D,'Issuance Log'!$B:$B,A1420,'Issuance Log'!$G:$G,$B$4),IF(('Issuance Log'!$B:$B=A1420)*('Issuance Log'!$G:$G=$B$4),'Issuance Log'!$D:$D),0)),"-")</f>
        <v>-</v>
      </c>
    </row>
    <row r="1421" spans="1:5" x14ac:dyDescent="0.25">
      <c r="A1421" s="2" t="s">
        <v>2770</v>
      </c>
      <c r="B1421" s="2" t="s">
        <v>2771</v>
      </c>
      <c r="C1421" s="3">
        <f>IFERROR(SUMIFS('Issuance Log'!$D:$D,'Issuance Log'!$B:$B,A1421,'Issuance Log'!$G:$G,$B$4),0)</f>
        <v>0</v>
      </c>
      <c r="D1421" s="3">
        <f>IFERROR(COUNTIFS('Issuance Log'!$B:$B,A1421,'Issuance Log'!$G:$G,$B$4),0)</f>
        <v>0</v>
      </c>
      <c r="E1421" s="3" t="str">
        <f ca="1">IFERROR(INDEX('Issuance Log'!$E:$E,MATCH(MAXIFS('Issuance Log'!$D:$D,'Issuance Log'!$B:$B,A1421,'Issuance Log'!$G:$G,$B$4),IF(('Issuance Log'!$B:$B=A1421)*('Issuance Log'!$G:$G=$B$4),'Issuance Log'!$D:$D),0)),"-")</f>
        <v>-</v>
      </c>
    </row>
    <row r="1422" spans="1:5" x14ac:dyDescent="0.25">
      <c r="A1422" s="4" t="s">
        <v>2772</v>
      </c>
      <c r="B1422" s="4" t="s">
        <v>2773</v>
      </c>
      <c r="C1422" s="5">
        <f>IFERROR(SUMIFS('Issuance Log'!$D:$D,'Issuance Log'!$B:$B,A1422,'Issuance Log'!$G:$G,$B$4),0)</f>
        <v>0</v>
      </c>
      <c r="D1422" s="5">
        <f>IFERROR(COUNTIFS('Issuance Log'!$B:$B,A1422,'Issuance Log'!$G:$G,$B$4),0)</f>
        <v>0</v>
      </c>
      <c r="E1422" s="5" t="str">
        <f ca="1">IFERROR(INDEX('Issuance Log'!$E:$E,MATCH(MAXIFS('Issuance Log'!$D:$D,'Issuance Log'!$B:$B,A1422,'Issuance Log'!$G:$G,$B$4),IF(('Issuance Log'!$B:$B=A1422)*('Issuance Log'!$G:$G=$B$4),'Issuance Log'!$D:$D),0)),"-")</f>
        <v>-</v>
      </c>
    </row>
    <row r="1423" spans="1:5" x14ac:dyDescent="0.25">
      <c r="A1423" s="2" t="s">
        <v>2774</v>
      </c>
      <c r="B1423" s="2" t="s">
        <v>2775</v>
      </c>
      <c r="C1423" s="3">
        <f>IFERROR(SUMIFS('Issuance Log'!$D:$D,'Issuance Log'!$B:$B,A1423,'Issuance Log'!$G:$G,$B$4),0)</f>
        <v>0</v>
      </c>
      <c r="D1423" s="3">
        <f>IFERROR(COUNTIFS('Issuance Log'!$B:$B,A1423,'Issuance Log'!$G:$G,$B$4),0)</f>
        <v>0</v>
      </c>
      <c r="E1423" s="3" t="str">
        <f ca="1">IFERROR(INDEX('Issuance Log'!$E:$E,MATCH(MAXIFS('Issuance Log'!$D:$D,'Issuance Log'!$B:$B,A1423,'Issuance Log'!$G:$G,$B$4),IF(('Issuance Log'!$B:$B=A1423)*('Issuance Log'!$G:$G=$B$4),'Issuance Log'!$D:$D),0)),"-")</f>
        <v>-</v>
      </c>
    </row>
    <row r="1424" spans="1:5" x14ac:dyDescent="0.25">
      <c r="A1424" s="4" t="s">
        <v>2776</v>
      </c>
      <c r="B1424" s="4" t="s">
        <v>2777</v>
      </c>
      <c r="C1424" s="5">
        <f>IFERROR(SUMIFS('Issuance Log'!$D:$D,'Issuance Log'!$B:$B,A1424,'Issuance Log'!$G:$G,$B$4),0)</f>
        <v>0</v>
      </c>
      <c r="D1424" s="5">
        <f>IFERROR(COUNTIFS('Issuance Log'!$B:$B,A1424,'Issuance Log'!$G:$G,$B$4),0)</f>
        <v>0</v>
      </c>
      <c r="E1424" s="5" t="str">
        <f ca="1">IFERROR(INDEX('Issuance Log'!$E:$E,MATCH(MAXIFS('Issuance Log'!$D:$D,'Issuance Log'!$B:$B,A1424,'Issuance Log'!$G:$G,$B$4),IF(('Issuance Log'!$B:$B=A1424)*('Issuance Log'!$G:$G=$B$4),'Issuance Log'!$D:$D),0)),"-")</f>
        <v>-</v>
      </c>
    </row>
    <row r="1425" spans="1:5" x14ac:dyDescent="0.25">
      <c r="A1425" s="2" t="s">
        <v>2778</v>
      </c>
      <c r="B1425" s="2" t="s">
        <v>2779</v>
      </c>
      <c r="C1425" s="3">
        <f>IFERROR(SUMIFS('Issuance Log'!$D:$D,'Issuance Log'!$B:$B,A1425,'Issuance Log'!$G:$G,$B$4),0)</f>
        <v>0</v>
      </c>
      <c r="D1425" s="3">
        <f>IFERROR(COUNTIFS('Issuance Log'!$B:$B,A1425,'Issuance Log'!$G:$G,$B$4),0)</f>
        <v>0</v>
      </c>
      <c r="E1425" s="3" t="str">
        <f ca="1">IFERROR(INDEX('Issuance Log'!$E:$E,MATCH(MAXIFS('Issuance Log'!$D:$D,'Issuance Log'!$B:$B,A1425,'Issuance Log'!$G:$G,$B$4),IF(('Issuance Log'!$B:$B=A1425)*('Issuance Log'!$G:$G=$B$4),'Issuance Log'!$D:$D),0)),"-")</f>
        <v>-</v>
      </c>
    </row>
    <row r="1426" spans="1:5" x14ac:dyDescent="0.25">
      <c r="A1426" s="4" t="s">
        <v>2780</v>
      </c>
      <c r="B1426" s="4" t="s">
        <v>2781</v>
      </c>
      <c r="C1426" s="5">
        <f>IFERROR(SUMIFS('Issuance Log'!$D:$D,'Issuance Log'!$B:$B,A1426,'Issuance Log'!$G:$G,$B$4),0)</f>
        <v>0</v>
      </c>
      <c r="D1426" s="5">
        <f>IFERROR(COUNTIFS('Issuance Log'!$B:$B,A1426,'Issuance Log'!$G:$G,$B$4),0)</f>
        <v>0</v>
      </c>
      <c r="E1426" s="5" t="str">
        <f ca="1">IFERROR(INDEX('Issuance Log'!$E:$E,MATCH(MAXIFS('Issuance Log'!$D:$D,'Issuance Log'!$B:$B,A1426,'Issuance Log'!$G:$G,$B$4),IF(('Issuance Log'!$B:$B=A1426)*('Issuance Log'!$G:$G=$B$4),'Issuance Log'!$D:$D),0)),"-")</f>
        <v>-</v>
      </c>
    </row>
    <row r="1427" spans="1:5" x14ac:dyDescent="0.25">
      <c r="A1427" s="2" t="s">
        <v>2782</v>
      </c>
      <c r="B1427" s="2" t="s">
        <v>2783</v>
      </c>
      <c r="C1427" s="3">
        <f>IFERROR(SUMIFS('Issuance Log'!$D:$D,'Issuance Log'!$B:$B,A1427,'Issuance Log'!$G:$G,$B$4),0)</f>
        <v>0</v>
      </c>
      <c r="D1427" s="3">
        <f>IFERROR(COUNTIFS('Issuance Log'!$B:$B,A1427,'Issuance Log'!$G:$G,$B$4),0)</f>
        <v>0</v>
      </c>
      <c r="E1427" s="3" t="str">
        <f ca="1">IFERROR(INDEX('Issuance Log'!$E:$E,MATCH(MAXIFS('Issuance Log'!$D:$D,'Issuance Log'!$B:$B,A1427,'Issuance Log'!$G:$G,$B$4),IF(('Issuance Log'!$B:$B=A1427)*('Issuance Log'!$G:$G=$B$4),'Issuance Log'!$D:$D),0)),"-")</f>
        <v>-</v>
      </c>
    </row>
    <row r="1428" spans="1:5" x14ac:dyDescent="0.25">
      <c r="A1428" s="4" t="s">
        <v>2784</v>
      </c>
      <c r="B1428" s="4" t="s">
        <v>2785</v>
      </c>
      <c r="C1428" s="5">
        <f>IFERROR(SUMIFS('Issuance Log'!$D:$D,'Issuance Log'!$B:$B,A1428,'Issuance Log'!$G:$G,$B$4),0)</f>
        <v>0</v>
      </c>
      <c r="D1428" s="5">
        <f>IFERROR(COUNTIFS('Issuance Log'!$B:$B,A1428,'Issuance Log'!$G:$G,$B$4),0)</f>
        <v>0</v>
      </c>
      <c r="E1428" s="5" t="str">
        <f ca="1">IFERROR(INDEX('Issuance Log'!$E:$E,MATCH(MAXIFS('Issuance Log'!$D:$D,'Issuance Log'!$B:$B,A1428,'Issuance Log'!$G:$G,$B$4),IF(('Issuance Log'!$B:$B=A1428)*('Issuance Log'!$G:$G=$B$4),'Issuance Log'!$D:$D),0)),"-")</f>
        <v>-</v>
      </c>
    </row>
    <row r="1429" spans="1:5" x14ac:dyDescent="0.25">
      <c r="A1429" s="2" t="s">
        <v>2786</v>
      </c>
      <c r="B1429" s="2" t="s">
        <v>2787</v>
      </c>
      <c r="C1429" s="3">
        <f>IFERROR(SUMIFS('Issuance Log'!$D:$D,'Issuance Log'!$B:$B,A1429,'Issuance Log'!$G:$G,$B$4),0)</f>
        <v>0</v>
      </c>
      <c r="D1429" s="3">
        <f>IFERROR(COUNTIFS('Issuance Log'!$B:$B,A1429,'Issuance Log'!$G:$G,$B$4),0)</f>
        <v>0</v>
      </c>
      <c r="E1429" s="3" t="str">
        <f ca="1">IFERROR(INDEX('Issuance Log'!$E:$E,MATCH(MAXIFS('Issuance Log'!$D:$D,'Issuance Log'!$B:$B,A1429,'Issuance Log'!$G:$G,$B$4),IF(('Issuance Log'!$B:$B=A1429)*('Issuance Log'!$G:$G=$B$4),'Issuance Log'!$D:$D),0)),"-")</f>
        <v>-</v>
      </c>
    </row>
    <row r="1430" spans="1:5" x14ac:dyDescent="0.25">
      <c r="A1430" s="4" t="s">
        <v>2788</v>
      </c>
      <c r="B1430" s="4" t="s">
        <v>2789</v>
      </c>
      <c r="C1430" s="5">
        <f>IFERROR(SUMIFS('Issuance Log'!$D:$D,'Issuance Log'!$B:$B,A1430,'Issuance Log'!$G:$G,$B$4),0)</f>
        <v>0</v>
      </c>
      <c r="D1430" s="5">
        <f>IFERROR(COUNTIFS('Issuance Log'!$B:$B,A1430,'Issuance Log'!$G:$G,$B$4),0)</f>
        <v>0</v>
      </c>
      <c r="E1430" s="5" t="str">
        <f ca="1">IFERROR(INDEX('Issuance Log'!$E:$E,MATCH(MAXIFS('Issuance Log'!$D:$D,'Issuance Log'!$B:$B,A1430,'Issuance Log'!$G:$G,$B$4),IF(('Issuance Log'!$B:$B=A1430)*('Issuance Log'!$G:$G=$B$4),'Issuance Log'!$D:$D),0)),"-")</f>
        <v>-</v>
      </c>
    </row>
    <row r="1431" spans="1:5" x14ac:dyDescent="0.25">
      <c r="A1431" s="2" t="s">
        <v>2790</v>
      </c>
      <c r="B1431" s="2" t="s">
        <v>2791</v>
      </c>
      <c r="C1431" s="3">
        <f>IFERROR(SUMIFS('Issuance Log'!$D:$D,'Issuance Log'!$B:$B,A1431,'Issuance Log'!$G:$G,$B$4),0)</f>
        <v>0</v>
      </c>
      <c r="D1431" s="3">
        <f>IFERROR(COUNTIFS('Issuance Log'!$B:$B,A1431,'Issuance Log'!$G:$G,$B$4),0)</f>
        <v>0</v>
      </c>
      <c r="E1431" s="3" t="str">
        <f ca="1">IFERROR(INDEX('Issuance Log'!$E:$E,MATCH(MAXIFS('Issuance Log'!$D:$D,'Issuance Log'!$B:$B,A1431,'Issuance Log'!$G:$G,$B$4),IF(('Issuance Log'!$B:$B=A1431)*('Issuance Log'!$G:$G=$B$4),'Issuance Log'!$D:$D),0)),"-")</f>
        <v>-</v>
      </c>
    </row>
    <row r="1432" spans="1:5" x14ac:dyDescent="0.25">
      <c r="A1432" s="4" t="s">
        <v>2792</v>
      </c>
      <c r="B1432" s="4" t="s">
        <v>1143</v>
      </c>
      <c r="C1432" s="5">
        <f>IFERROR(SUMIFS('Issuance Log'!$D:$D,'Issuance Log'!$B:$B,A1432,'Issuance Log'!$G:$G,$B$4),0)</f>
        <v>0</v>
      </c>
      <c r="D1432" s="5">
        <f>IFERROR(COUNTIFS('Issuance Log'!$B:$B,A1432,'Issuance Log'!$G:$G,$B$4),0)</f>
        <v>0</v>
      </c>
      <c r="E1432" s="5" t="str">
        <f ca="1">IFERROR(INDEX('Issuance Log'!$E:$E,MATCH(MAXIFS('Issuance Log'!$D:$D,'Issuance Log'!$B:$B,A1432,'Issuance Log'!$G:$G,$B$4),IF(('Issuance Log'!$B:$B=A1432)*('Issuance Log'!$G:$G=$B$4),'Issuance Log'!$D:$D),0)),"-")</f>
        <v>-</v>
      </c>
    </row>
    <row r="1433" spans="1:5" x14ac:dyDescent="0.25">
      <c r="A1433" s="2" t="s">
        <v>2793</v>
      </c>
      <c r="B1433" s="2" t="s">
        <v>2794</v>
      </c>
      <c r="C1433" s="3">
        <f>IFERROR(SUMIFS('Issuance Log'!$D:$D,'Issuance Log'!$B:$B,A1433,'Issuance Log'!$G:$G,$B$4),0)</f>
        <v>0</v>
      </c>
      <c r="D1433" s="3">
        <f>IFERROR(COUNTIFS('Issuance Log'!$B:$B,A1433,'Issuance Log'!$G:$G,$B$4),0)</f>
        <v>0</v>
      </c>
      <c r="E1433" s="3" t="str">
        <f ca="1">IFERROR(INDEX('Issuance Log'!$E:$E,MATCH(MAXIFS('Issuance Log'!$D:$D,'Issuance Log'!$B:$B,A1433,'Issuance Log'!$G:$G,$B$4),IF(('Issuance Log'!$B:$B=A1433)*('Issuance Log'!$G:$G=$B$4),'Issuance Log'!$D:$D),0)),"-")</f>
        <v>-</v>
      </c>
    </row>
    <row r="1434" spans="1:5" x14ac:dyDescent="0.25">
      <c r="A1434" s="4" t="s">
        <v>2795</v>
      </c>
      <c r="B1434" s="4" t="s">
        <v>2796</v>
      </c>
      <c r="C1434" s="5">
        <f>IFERROR(SUMIFS('Issuance Log'!$D:$D,'Issuance Log'!$B:$B,A1434,'Issuance Log'!$G:$G,$B$4),0)</f>
        <v>0</v>
      </c>
      <c r="D1434" s="5">
        <f>IFERROR(COUNTIFS('Issuance Log'!$B:$B,A1434,'Issuance Log'!$G:$G,$B$4),0)</f>
        <v>0</v>
      </c>
      <c r="E1434" s="5" t="str">
        <f ca="1">IFERROR(INDEX('Issuance Log'!$E:$E,MATCH(MAXIFS('Issuance Log'!$D:$D,'Issuance Log'!$B:$B,A1434,'Issuance Log'!$G:$G,$B$4),IF(('Issuance Log'!$B:$B=A1434)*('Issuance Log'!$G:$G=$B$4),'Issuance Log'!$D:$D),0)),"-")</f>
        <v>-</v>
      </c>
    </row>
    <row r="1435" spans="1:5" x14ac:dyDescent="0.25">
      <c r="A1435" s="2" t="s">
        <v>2797</v>
      </c>
      <c r="B1435" s="2" t="s">
        <v>2798</v>
      </c>
      <c r="C1435" s="3">
        <f>IFERROR(SUMIFS('Issuance Log'!$D:$D,'Issuance Log'!$B:$B,A1435,'Issuance Log'!$G:$G,$B$4),0)</f>
        <v>0</v>
      </c>
      <c r="D1435" s="3">
        <f>IFERROR(COUNTIFS('Issuance Log'!$B:$B,A1435,'Issuance Log'!$G:$G,$B$4),0)</f>
        <v>0</v>
      </c>
      <c r="E1435" s="3" t="str">
        <f ca="1">IFERROR(INDEX('Issuance Log'!$E:$E,MATCH(MAXIFS('Issuance Log'!$D:$D,'Issuance Log'!$B:$B,A1435,'Issuance Log'!$G:$G,$B$4),IF(('Issuance Log'!$B:$B=A1435)*('Issuance Log'!$G:$G=$B$4),'Issuance Log'!$D:$D),0)),"-")</f>
        <v>-</v>
      </c>
    </row>
    <row r="1436" spans="1:5" x14ac:dyDescent="0.25">
      <c r="A1436" s="4" t="s">
        <v>2799</v>
      </c>
      <c r="B1436" s="4" t="s">
        <v>2800</v>
      </c>
      <c r="C1436" s="5">
        <f>IFERROR(SUMIFS('Issuance Log'!$D:$D,'Issuance Log'!$B:$B,A1436,'Issuance Log'!$G:$G,$B$4),0)</f>
        <v>0</v>
      </c>
      <c r="D1436" s="5">
        <f>IFERROR(COUNTIFS('Issuance Log'!$B:$B,A1436,'Issuance Log'!$G:$G,$B$4),0)</f>
        <v>0</v>
      </c>
      <c r="E1436" s="5" t="str">
        <f ca="1">IFERROR(INDEX('Issuance Log'!$E:$E,MATCH(MAXIFS('Issuance Log'!$D:$D,'Issuance Log'!$B:$B,A1436,'Issuance Log'!$G:$G,$B$4),IF(('Issuance Log'!$B:$B=A1436)*('Issuance Log'!$G:$G=$B$4),'Issuance Log'!$D:$D),0)),"-")</f>
        <v>-</v>
      </c>
    </row>
    <row r="1437" spans="1:5" x14ac:dyDescent="0.25">
      <c r="A1437" s="2" t="s">
        <v>2801</v>
      </c>
      <c r="B1437" s="2" t="s">
        <v>2802</v>
      </c>
      <c r="C1437" s="3">
        <f>IFERROR(SUMIFS('Issuance Log'!$D:$D,'Issuance Log'!$B:$B,A1437,'Issuance Log'!$G:$G,$B$4),0)</f>
        <v>0</v>
      </c>
      <c r="D1437" s="3">
        <f>IFERROR(COUNTIFS('Issuance Log'!$B:$B,A1437,'Issuance Log'!$G:$G,$B$4),0)</f>
        <v>0</v>
      </c>
      <c r="E1437" s="3" t="str">
        <f ca="1">IFERROR(INDEX('Issuance Log'!$E:$E,MATCH(MAXIFS('Issuance Log'!$D:$D,'Issuance Log'!$B:$B,A1437,'Issuance Log'!$G:$G,$B$4),IF(('Issuance Log'!$B:$B=A1437)*('Issuance Log'!$G:$G=$B$4),'Issuance Log'!$D:$D),0)),"-")</f>
        <v>-</v>
      </c>
    </row>
    <row r="1438" spans="1:5" x14ac:dyDescent="0.25">
      <c r="A1438" s="4" t="s">
        <v>2803</v>
      </c>
      <c r="B1438" s="4" t="s">
        <v>2804</v>
      </c>
      <c r="C1438" s="5">
        <f>IFERROR(SUMIFS('Issuance Log'!$D:$D,'Issuance Log'!$B:$B,A1438,'Issuance Log'!$G:$G,$B$4),0)</f>
        <v>0</v>
      </c>
      <c r="D1438" s="5">
        <f>IFERROR(COUNTIFS('Issuance Log'!$B:$B,A1438,'Issuance Log'!$G:$G,$B$4),0)</f>
        <v>0</v>
      </c>
      <c r="E1438" s="5" t="str">
        <f ca="1">IFERROR(INDEX('Issuance Log'!$E:$E,MATCH(MAXIFS('Issuance Log'!$D:$D,'Issuance Log'!$B:$B,A1438,'Issuance Log'!$G:$G,$B$4),IF(('Issuance Log'!$B:$B=A1438)*('Issuance Log'!$G:$G=$B$4),'Issuance Log'!$D:$D),0)),"-")</f>
        <v>-</v>
      </c>
    </row>
    <row r="1439" spans="1:5" x14ac:dyDescent="0.25">
      <c r="A1439" s="2" t="s">
        <v>2805</v>
      </c>
      <c r="B1439" s="2" t="s">
        <v>2806</v>
      </c>
      <c r="C1439" s="3">
        <f>IFERROR(SUMIFS('Issuance Log'!$D:$D,'Issuance Log'!$B:$B,A1439,'Issuance Log'!$G:$G,$B$4),0)</f>
        <v>0</v>
      </c>
      <c r="D1439" s="3">
        <f>IFERROR(COUNTIFS('Issuance Log'!$B:$B,A1439,'Issuance Log'!$G:$G,$B$4),0)</f>
        <v>0</v>
      </c>
      <c r="E1439" s="3" t="str">
        <f ca="1">IFERROR(INDEX('Issuance Log'!$E:$E,MATCH(MAXIFS('Issuance Log'!$D:$D,'Issuance Log'!$B:$B,A1439,'Issuance Log'!$G:$G,$B$4),IF(('Issuance Log'!$B:$B=A1439)*('Issuance Log'!$G:$G=$B$4),'Issuance Log'!$D:$D),0)),"-")</f>
        <v>-</v>
      </c>
    </row>
    <row r="1440" spans="1:5" x14ac:dyDescent="0.25">
      <c r="A1440" s="4" t="s">
        <v>2807</v>
      </c>
      <c r="B1440" s="4" t="s">
        <v>2808</v>
      </c>
      <c r="C1440" s="5">
        <f>IFERROR(SUMIFS('Issuance Log'!$D:$D,'Issuance Log'!$B:$B,A1440,'Issuance Log'!$G:$G,$B$4),0)</f>
        <v>0</v>
      </c>
      <c r="D1440" s="5">
        <f>IFERROR(COUNTIFS('Issuance Log'!$B:$B,A1440,'Issuance Log'!$G:$G,$B$4),0)</f>
        <v>0</v>
      </c>
      <c r="E1440" s="5" t="str">
        <f ca="1">IFERROR(INDEX('Issuance Log'!$E:$E,MATCH(MAXIFS('Issuance Log'!$D:$D,'Issuance Log'!$B:$B,A1440,'Issuance Log'!$G:$G,$B$4),IF(('Issuance Log'!$B:$B=A1440)*('Issuance Log'!$G:$G=$B$4),'Issuance Log'!$D:$D),0)),"-")</f>
        <v>-</v>
      </c>
    </row>
    <row r="1441" spans="1:5" x14ac:dyDescent="0.25">
      <c r="A1441" s="2" t="s">
        <v>2809</v>
      </c>
      <c r="B1441" s="2" t="s">
        <v>2810</v>
      </c>
      <c r="C1441" s="3">
        <f>IFERROR(SUMIFS('Issuance Log'!$D:$D,'Issuance Log'!$B:$B,A1441,'Issuance Log'!$G:$G,$B$4),0)</f>
        <v>0</v>
      </c>
      <c r="D1441" s="3">
        <f>IFERROR(COUNTIFS('Issuance Log'!$B:$B,A1441,'Issuance Log'!$G:$G,$B$4),0)</f>
        <v>0</v>
      </c>
      <c r="E1441" s="3" t="str">
        <f ca="1">IFERROR(INDEX('Issuance Log'!$E:$E,MATCH(MAXIFS('Issuance Log'!$D:$D,'Issuance Log'!$B:$B,A1441,'Issuance Log'!$G:$G,$B$4),IF(('Issuance Log'!$B:$B=A1441)*('Issuance Log'!$G:$G=$B$4),'Issuance Log'!$D:$D),0)),"-")</f>
        <v>-</v>
      </c>
    </row>
    <row r="1442" spans="1:5" x14ac:dyDescent="0.25">
      <c r="A1442" s="4" t="s">
        <v>2811</v>
      </c>
      <c r="B1442" s="4" t="s">
        <v>2812</v>
      </c>
      <c r="C1442" s="5">
        <f>IFERROR(SUMIFS('Issuance Log'!$D:$D,'Issuance Log'!$B:$B,A1442,'Issuance Log'!$G:$G,$B$4),0)</f>
        <v>0</v>
      </c>
      <c r="D1442" s="5">
        <f>IFERROR(COUNTIFS('Issuance Log'!$B:$B,A1442,'Issuance Log'!$G:$G,$B$4),0)</f>
        <v>0</v>
      </c>
      <c r="E1442" s="5" t="str">
        <f ca="1">IFERROR(INDEX('Issuance Log'!$E:$E,MATCH(MAXIFS('Issuance Log'!$D:$D,'Issuance Log'!$B:$B,A1442,'Issuance Log'!$G:$G,$B$4),IF(('Issuance Log'!$B:$B=A1442)*('Issuance Log'!$G:$G=$B$4),'Issuance Log'!$D:$D),0)),"-")</f>
        <v>-</v>
      </c>
    </row>
    <row r="1443" spans="1:5" x14ac:dyDescent="0.25">
      <c r="A1443" s="2" t="s">
        <v>2813</v>
      </c>
      <c r="B1443" s="2" t="s">
        <v>2814</v>
      </c>
      <c r="C1443" s="3">
        <f>IFERROR(SUMIFS('Issuance Log'!$D:$D,'Issuance Log'!$B:$B,A1443,'Issuance Log'!$G:$G,$B$4),0)</f>
        <v>0</v>
      </c>
      <c r="D1443" s="3">
        <f>IFERROR(COUNTIFS('Issuance Log'!$B:$B,A1443,'Issuance Log'!$G:$G,$B$4),0)</f>
        <v>0</v>
      </c>
      <c r="E1443" s="3" t="str">
        <f ca="1">IFERROR(INDEX('Issuance Log'!$E:$E,MATCH(MAXIFS('Issuance Log'!$D:$D,'Issuance Log'!$B:$B,A1443,'Issuance Log'!$G:$G,$B$4),IF(('Issuance Log'!$B:$B=A1443)*('Issuance Log'!$G:$G=$B$4),'Issuance Log'!$D:$D),0)),"-")</f>
        <v>-</v>
      </c>
    </row>
    <row r="1444" spans="1:5" x14ac:dyDescent="0.25">
      <c r="A1444" s="4" t="s">
        <v>2815</v>
      </c>
      <c r="B1444" s="4" t="s">
        <v>2816</v>
      </c>
      <c r="C1444" s="5">
        <f>IFERROR(SUMIFS('Issuance Log'!$D:$D,'Issuance Log'!$B:$B,A1444,'Issuance Log'!$G:$G,$B$4),0)</f>
        <v>0</v>
      </c>
      <c r="D1444" s="5">
        <f>IFERROR(COUNTIFS('Issuance Log'!$B:$B,A1444,'Issuance Log'!$G:$G,$B$4),0)</f>
        <v>0</v>
      </c>
      <c r="E1444" s="5" t="str">
        <f ca="1">IFERROR(INDEX('Issuance Log'!$E:$E,MATCH(MAXIFS('Issuance Log'!$D:$D,'Issuance Log'!$B:$B,A1444,'Issuance Log'!$G:$G,$B$4),IF(('Issuance Log'!$B:$B=A1444)*('Issuance Log'!$G:$G=$B$4),'Issuance Log'!$D:$D),0)),"-")</f>
        <v>-</v>
      </c>
    </row>
    <row r="1445" spans="1:5" x14ac:dyDescent="0.25">
      <c r="A1445" s="2" t="s">
        <v>2817</v>
      </c>
      <c r="B1445" s="2" t="s">
        <v>2818</v>
      </c>
      <c r="C1445" s="3">
        <f>IFERROR(SUMIFS('Issuance Log'!$D:$D,'Issuance Log'!$B:$B,A1445,'Issuance Log'!$G:$G,$B$4),0)</f>
        <v>0</v>
      </c>
      <c r="D1445" s="3">
        <f>IFERROR(COUNTIFS('Issuance Log'!$B:$B,A1445,'Issuance Log'!$G:$G,$B$4),0)</f>
        <v>0</v>
      </c>
      <c r="E1445" s="3" t="str">
        <f ca="1">IFERROR(INDEX('Issuance Log'!$E:$E,MATCH(MAXIFS('Issuance Log'!$D:$D,'Issuance Log'!$B:$B,A1445,'Issuance Log'!$G:$G,$B$4),IF(('Issuance Log'!$B:$B=A1445)*('Issuance Log'!$G:$G=$B$4),'Issuance Log'!$D:$D),0)),"-")</f>
        <v>-</v>
      </c>
    </row>
    <row r="1446" spans="1:5" x14ac:dyDescent="0.25">
      <c r="A1446" s="4" t="s">
        <v>2819</v>
      </c>
      <c r="B1446" s="4" t="s">
        <v>2820</v>
      </c>
      <c r="C1446" s="5">
        <f>IFERROR(SUMIFS('Issuance Log'!$D:$D,'Issuance Log'!$B:$B,A1446,'Issuance Log'!$G:$G,$B$4),0)</f>
        <v>0</v>
      </c>
      <c r="D1446" s="5">
        <f>IFERROR(COUNTIFS('Issuance Log'!$B:$B,A1446,'Issuance Log'!$G:$G,$B$4),0)</f>
        <v>0</v>
      </c>
      <c r="E1446" s="5" t="str">
        <f ca="1">IFERROR(INDEX('Issuance Log'!$E:$E,MATCH(MAXIFS('Issuance Log'!$D:$D,'Issuance Log'!$B:$B,A1446,'Issuance Log'!$G:$G,$B$4),IF(('Issuance Log'!$B:$B=A1446)*('Issuance Log'!$G:$G=$B$4),'Issuance Log'!$D:$D),0)),"-")</f>
        <v>-</v>
      </c>
    </row>
    <row r="1447" spans="1:5" x14ac:dyDescent="0.25">
      <c r="A1447" s="2" t="s">
        <v>2821</v>
      </c>
      <c r="B1447" s="2" t="s">
        <v>2822</v>
      </c>
      <c r="C1447" s="3">
        <f>IFERROR(SUMIFS('Issuance Log'!$D:$D,'Issuance Log'!$B:$B,A1447,'Issuance Log'!$G:$G,$B$4),0)</f>
        <v>0</v>
      </c>
      <c r="D1447" s="3">
        <f>IFERROR(COUNTIFS('Issuance Log'!$B:$B,A1447,'Issuance Log'!$G:$G,$B$4),0)</f>
        <v>0</v>
      </c>
      <c r="E1447" s="3" t="str">
        <f ca="1">IFERROR(INDEX('Issuance Log'!$E:$E,MATCH(MAXIFS('Issuance Log'!$D:$D,'Issuance Log'!$B:$B,A1447,'Issuance Log'!$G:$G,$B$4),IF(('Issuance Log'!$B:$B=A1447)*('Issuance Log'!$G:$G=$B$4),'Issuance Log'!$D:$D),0)),"-")</f>
        <v>-</v>
      </c>
    </row>
    <row r="1448" spans="1:5" x14ac:dyDescent="0.25">
      <c r="A1448" s="4" t="s">
        <v>2823</v>
      </c>
      <c r="B1448" s="4" t="s">
        <v>2824</v>
      </c>
      <c r="C1448" s="5">
        <f>IFERROR(SUMIFS('Issuance Log'!$D:$D,'Issuance Log'!$B:$B,A1448,'Issuance Log'!$G:$G,$B$4),0)</f>
        <v>0</v>
      </c>
      <c r="D1448" s="5">
        <f>IFERROR(COUNTIFS('Issuance Log'!$B:$B,A1448,'Issuance Log'!$G:$G,$B$4),0)</f>
        <v>0</v>
      </c>
      <c r="E1448" s="5" t="str">
        <f ca="1">IFERROR(INDEX('Issuance Log'!$E:$E,MATCH(MAXIFS('Issuance Log'!$D:$D,'Issuance Log'!$B:$B,A1448,'Issuance Log'!$G:$G,$B$4),IF(('Issuance Log'!$B:$B=A1448)*('Issuance Log'!$G:$G=$B$4),'Issuance Log'!$D:$D),0)),"-")</f>
        <v>-</v>
      </c>
    </row>
    <row r="1449" spans="1:5" x14ac:dyDescent="0.25">
      <c r="A1449" s="2" t="s">
        <v>2825</v>
      </c>
      <c r="B1449" s="2" t="s">
        <v>2826</v>
      </c>
      <c r="C1449" s="3">
        <f>IFERROR(SUMIFS('Issuance Log'!$D:$D,'Issuance Log'!$B:$B,A1449,'Issuance Log'!$G:$G,$B$4),0)</f>
        <v>0</v>
      </c>
      <c r="D1449" s="3">
        <f>IFERROR(COUNTIFS('Issuance Log'!$B:$B,A1449,'Issuance Log'!$G:$G,$B$4),0)</f>
        <v>0</v>
      </c>
      <c r="E1449" s="3" t="str">
        <f ca="1">IFERROR(INDEX('Issuance Log'!$E:$E,MATCH(MAXIFS('Issuance Log'!$D:$D,'Issuance Log'!$B:$B,A1449,'Issuance Log'!$G:$G,$B$4),IF(('Issuance Log'!$B:$B=A1449)*('Issuance Log'!$G:$G=$B$4),'Issuance Log'!$D:$D),0)),"-")</f>
        <v>-</v>
      </c>
    </row>
    <row r="1450" spans="1:5" x14ac:dyDescent="0.25">
      <c r="A1450" s="4" t="s">
        <v>2827</v>
      </c>
      <c r="B1450" s="4" t="s">
        <v>2828</v>
      </c>
      <c r="C1450" s="5">
        <f>IFERROR(SUMIFS('Issuance Log'!$D:$D,'Issuance Log'!$B:$B,A1450,'Issuance Log'!$G:$G,$B$4),0)</f>
        <v>0</v>
      </c>
      <c r="D1450" s="5">
        <f>IFERROR(COUNTIFS('Issuance Log'!$B:$B,A1450,'Issuance Log'!$G:$G,$B$4),0)</f>
        <v>0</v>
      </c>
      <c r="E1450" s="5" t="str">
        <f ca="1">IFERROR(INDEX('Issuance Log'!$E:$E,MATCH(MAXIFS('Issuance Log'!$D:$D,'Issuance Log'!$B:$B,A1450,'Issuance Log'!$G:$G,$B$4),IF(('Issuance Log'!$B:$B=A1450)*('Issuance Log'!$G:$G=$B$4),'Issuance Log'!$D:$D),0)),"-")</f>
        <v>-</v>
      </c>
    </row>
    <row r="1451" spans="1:5" x14ac:dyDescent="0.25">
      <c r="A1451" s="2" t="s">
        <v>2829</v>
      </c>
      <c r="B1451" s="2" t="s">
        <v>2830</v>
      </c>
      <c r="C1451" s="3">
        <f>IFERROR(SUMIFS('Issuance Log'!$D:$D,'Issuance Log'!$B:$B,A1451,'Issuance Log'!$G:$G,$B$4),0)</f>
        <v>0</v>
      </c>
      <c r="D1451" s="3">
        <f>IFERROR(COUNTIFS('Issuance Log'!$B:$B,A1451,'Issuance Log'!$G:$G,$B$4),0)</f>
        <v>0</v>
      </c>
      <c r="E1451" s="3" t="str">
        <f ca="1">IFERROR(INDEX('Issuance Log'!$E:$E,MATCH(MAXIFS('Issuance Log'!$D:$D,'Issuance Log'!$B:$B,A1451,'Issuance Log'!$G:$G,$B$4),IF(('Issuance Log'!$B:$B=A1451)*('Issuance Log'!$G:$G=$B$4),'Issuance Log'!$D:$D),0)),"-")</f>
        <v>-</v>
      </c>
    </row>
    <row r="1452" spans="1:5" x14ac:dyDescent="0.25">
      <c r="A1452" s="4" t="s">
        <v>2831</v>
      </c>
      <c r="B1452" s="4" t="s">
        <v>2832</v>
      </c>
      <c r="C1452" s="5">
        <f>IFERROR(SUMIFS('Issuance Log'!$D:$D,'Issuance Log'!$B:$B,A1452,'Issuance Log'!$G:$G,$B$4),0)</f>
        <v>0</v>
      </c>
      <c r="D1452" s="5">
        <f>IFERROR(COUNTIFS('Issuance Log'!$B:$B,A1452,'Issuance Log'!$G:$G,$B$4),0)</f>
        <v>0</v>
      </c>
      <c r="E1452" s="5" t="str">
        <f ca="1">IFERROR(INDEX('Issuance Log'!$E:$E,MATCH(MAXIFS('Issuance Log'!$D:$D,'Issuance Log'!$B:$B,A1452,'Issuance Log'!$G:$G,$B$4),IF(('Issuance Log'!$B:$B=A1452)*('Issuance Log'!$G:$G=$B$4),'Issuance Log'!$D:$D),0)),"-")</f>
        <v>-</v>
      </c>
    </row>
    <row r="1453" spans="1:5" x14ac:dyDescent="0.25">
      <c r="A1453" s="2" t="s">
        <v>2833</v>
      </c>
      <c r="B1453" s="2" t="s">
        <v>2834</v>
      </c>
      <c r="C1453" s="3">
        <f>IFERROR(SUMIFS('Issuance Log'!$D:$D,'Issuance Log'!$B:$B,A1453,'Issuance Log'!$G:$G,$B$4),0)</f>
        <v>0</v>
      </c>
      <c r="D1453" s="3">
        <f>IFERROR(COUNTIFS('Issuance Log'!$B:$B,A1453,'Issuance Log'!$G:$G,$B$4),0)</f>
        <v>0</v>
      </c>
      <c r="E1453" s="3" t="str">
        <f ca="1">IFERROR(INDEX('Issuance Log'!$E:$E,MATCH(MAXIFS('Issuance Log'!$D:$D,'Issuance Log'!$B:$B,A1453,'Issuance Log'!$G:$G,$B$4),IF(('Issuance Log'!$B:$B=A1453)*('Issuance Log'!$G:$G=$B$4),'Issuance Log'!$D:$D),0)),"-")</f>
        <v>-</v>
      </c>
    </row>
    <row r="1454" spans="1:5" x14ac:dyDescent="0.25">
      <c r="A1454" s="4" t="s">
        <v>2835</v>
      </c>
      <c r="B1454" s="4" t="s">
        <v>2836</v>
      </c>
      <c r="C1454" s="5">
        <f>IFERROR(SUMIFS('Issuance Log'!$D:$D,'Issuance Log'!$B:$B,A1454,'Issuance Log'!$G:$G,$B$4),0)</f>
        <v>0</v>
      </c>
      <c r="D1454" s="5">
        <f>IFERROR(COUNTIFS('Issuance Log'!$B:$B,A1454,'Issuance Log'!$G:$G,$B$4),0)</f>
        <v>0</v>
      </c>
      <c r="E1454" s="5" t="str">
        <f ca="1">IFERROR(INDEX('Issuance Log'!$E:$E,MATCH(MAXIFS('Issuance Log'!$D:$D,'Issuance Log'!$B:$B,A1454,'Issuance Log'!$G:$G,$B$4),IF(('Issuance Log'!$B:$B=A1454)*('Issuance Log'!$G:$G=$B$4),'Issuance Log'!$D:$D),0)),"-")</f>
        <v>-</v>
      </c>
    </row>
    <row r="1455" spans="1:5" x14ac:dyDescent="0.25">
      <c r="A1455" s="2" t="s">
        <v>2837</v>
      </c>
      <c r="B1455" s="2" t="s">
        <v>1143</v>
      </c>
      <c r="C1455" s="3">
        <f>IFERROR(SUMIFS('Issuance Log'!$D:$D,'Issuance Log'!$B:$B,A1455,'Issuance Log'!$G:$G,$B$4),0)</f>
        <v>0</v>
      </c>
      <c r="D1455" s="3">
        <f>IFERROR(COUNTIFS('Issuance Log'!$B:$B,A1455,'Issuance Log'!$G:$G,$B$4),0)</f>
        <v>0</v>
      </c>
      <c r="E1455" s="3" t="str">
        <f ca="1">IFERROR(INDEX('Issuance Log'!$E:$E,MATCH(MAXIFS('Issuance Log'!$D:$D,'Issuance Log'!$B:$B,A1455,'Issuance Log'!$G:$G,$B$4),IF(('Issuance Log'!$B:$B=A1455)*('Issuance Log'!$G:$G=$B$4),'Issuance Log'!$D:$D),0)),"-")</f>
        <v>-</v>
      </c>
    </row>
    <row r="1456" spans="1:5" x14ac:dyDescent="0.25">
      <c r="A1456" s="4" t="s">
        <v>2838</v>
      </c>
      <c r="B1456" s="4" t="s">
        <v>2839</v>
      </c>
      <c r="C1456" s="5">
        <f>IFERROR(SUMIFS('Issuance Log'!$D:$D,'Issuance Log'!$B:$B,A1456,'Issuance Log'!$G:$G,$B$4),0)</f>
        <v>0</v>
      </c>
      <c r="D1456" s="5">
        <f>IFERROR(COUNTIFS('Issuance Log'!$B:$B,A1456,'Issuance Log'!$G:$G,$B$4),0)</f>
        <v>0</v>
      </c>
      <c r="E1456" s="5" t="str">
        <f ca="1">IFERROR(INDEX('Issuance Log'!$E:$E,MATCH(MAXIFS('Issuance Log'!$D:$D,'Issuance Log'!$B:$B,A1456,'Issuance Log'!$G:$G,$B$4),IF(('Issuance Log'!$B:$B=A1456)*('Issuance Log'!$G:$G=$B$4),'Issuance Log'!$D:$D),0)),"-")</f>
        <v>-</v>
      </c>
    </row>
    <row r="1457" spans="1:5" x14ac:dyDescent="0.25">
      <c r="A1457" s="2" t="s">
        <v>2840</v>
      </c>
      <c r="B1457" s="2" t="s">
        <v>2841</v>
      </c>
      <c r="C1457" s="3">
        <f>IFERROR(SUMIFS('Issuance Log'!$D:$D,'Issuance Log'!$B:$B,A1457,'Issuance Log'!$G:$G,$B$4),0)</f>
        <v>0</v>
      </c>
      <c r="D1457" s="3">
        <f>IFERROR(COUNTIFS('Issuance Log'!$B:$B,A1457,'Issuance Log'!$G:$G,$B$4),0)</f>
        <v>0</v>
      </c>
      <c r="E1457" s="3" t="str">
        <f ca="1">IFERROR(INDEX('Issuance Log'!$E:$E,MATCH(MAXIFS('Issuance Log'!$D:$D,'Issuance Log'!$B:$B,A1457,'Issuance Log'!$G:$G,$B$4),IF(('Issuance Log'!$B:$B=A1457)*('Issuance Log'!$G:$G=$B$4),'Issuance Log'!$D:$D),0)),"-")</f>
        <v>-</v>
      </c>
    </row>
    <row r="1458" spans="1:5" x14ac:dyDescent="0.25">
      <c r="A1458" s="4" t="s">
        <v>2842</v>
      </c>
      <c r="B1458" s="4" t="s">
        <v>2843</v>
      </c>
      <c r="C1458" s="5">
        <f>IFERROR(SUMIFS('Issuance Log'!$D:$D,'Issuance Log'!$B:$B,A1458,'Issuance Log'!$G:$G,$B$4),0)</f>
        <v>0</v>
      </c>
      <c r="D1458" s="5">
        <f>IFERROR(COUNTIFS('Issuance Log'!$B:$B,A1458,'Issuance Log'!$G:$G,$B$4),0)</f>
        <v>0</v>
      </c>
      <c r="E1458" s="5" t="str">
        <f ca="1">IFERROR(INDEX('Issuance Log'!$E:$E,MATCH(MAXIFS('Issuance Log'!$D:$D,'Issuance Log'!$B:$B,A1458,'Issuance Log'!$G:$G,$B$4),IF(('Issuance Log'!$B:$B=A1458)*('Issuance Log'!$G:$G=$B$4),'Issuance Log'!$D:$D),0)),"-")</f>
        <v>-</v>
      </c>
    </row>
    <row r="1459" spans="1:5" x14ac:dyDescent="0.25">
      <c r="A1459" s="2" t="s">
        <v>2844</v>
      </c>
      <c r="B1459" s="2" t="s">
        <v>2845</v>
      </c>
      <c r="C1459" s="3">
        <f>IFERROR(SUMIFS('Issuance Log'!$D:$D,'Issuance Log'!$B:$B,A1459,'Issuance Log'!$G:$G,$B$4),0)</f>
        <v>0</v>
      </c>
      <c r="D1459" s="3">
        <f>IFERROR(COUNTIFS('Issuance Log'!$B:$B,A1459,'Issuance Log'!$G:$G,$B$4),0)</f>
        <v>0</v>
      </c>
      <c r="E1459" s="3" t="str">
        <f ca="1">IFERROR(INDEX('Issuance Log'!$E:$E,MATCH(MAXIFS('Issuance Log'!$D:$D,'Issuance Log'!$B:$B,A1459,'Issuance Log'!$G:$G,$B$4),IF(('Issuance Log'!$B:$B=A1459)*('Issuance Log'!$G:$G=$B$4),'Issuance Log'!$D:$D),0)),"-")</f>
        <v>-</v>
      </c>
    </row>
    <row r="1460" spans="1:5" x14ac:dyDescent="0.25">
      <c r="A1460" s="4" t="s">
        <v>2846</v>
      </c>
      <c r="B1460" s="4" t="s">
        <v>2847</v>
      </c>
      <c r="C1460" s="5">
        <f>IFERROR(SUMIFS('Issuance Log'!$D:$D,'Issuance Log'!$B:$B,A1460,'Issuance Log'!$G:$G,$B$4),0)</f>
        <v>0</v>
      </c>
      <c r="D1460" s="5">
        <f>IFERROR(COUNTIFS('Issuance Log'!$B:$B,A1460,'Issuance Log'!$G:$G,$B$4),0)</f>
        <v>0</v>
      </c>
      <c r="E1460" s="5" t="str">
        <f ca="1">IFERROR(INDEX('Issuance Log'!$E:$E,MATCH(MAXIFS('Issuance Log'!$D:$D,'Issuance Log'!$B:$B,A1460,'Issuance Log'!$G:$G,$B$4),IF(('Issuance Log'!$B:$B=A1460)*('Issuance Log'!$G:$G=$B$4),'Issuance Log'!$D:$D),0)),"-")</f>
        <v>-</v>
      </c>
    </row>
    <row r="1461" spans="1:5" x14ac:dyDescent="0.25">
      <c r="A1461" s="2" t="s">
        <v>2848</v>
      </c>
      <c r="B1461" s="2" t="s">
        <v>2144</v>
      </c>
      <c r="C1461" s="3">
        <f>IFERROR(SUMIFS('Issuance Log'!$D:$D,'Issuance Log'!$B:$B,A1461,'Issuance Log'!$G:$G,$B$4),0)</f>
        <v>0</v>
      </c>
      <c r="D1461" s="3">
        <f>IFERROR(COUNTIFS('Issuance Log'!$B:$B,A1461,'Issuance Log'!$G:$G,$B$4),0)</f>
        <v>0</v>
      </c>
      <c r="E1461" s="3" t="str">
        <f ca="1">IFERROR(INDEX('Issuance Log'!$E:$E,MATCH(MAXIFS('Issuance Log'!$D:$D,'Issuance Log'!$B:$B,A1461,'Issuance Log'!$G:$G,$B$4),IF(('Issuance Log'!$B:$B=A1461)*('Issuance Log'!$G:$G=$B$4),'Issuance Log'!$D:$D),0)),"-")</f>
        <v>-</v>
      </c>
    </row>
    <row r="1462" spans="1:5" x14ac:dyDescent="0.25">
      <c r="A1462" s="4" t="s">
        <v>2849</v>
      </c>
      <c r="B1462" s="4" t="s">
        <v>2850</v>
      </c>
      <c r="C1462" s="5">
        <f>IFERROR(SUMIFS('Issuance Log'!$D:$D,'Issuance Log'!$B:$B,A1462,'Issuance Log'!$G:$G,$B$4),0)</f>
        <v>0</v>
      </c>
      <c r="D1462" s="5">
        <f>IFERROR(COUNTIFS('Issuance Log'!$B:$B,A1462,'Issuance Log'!$G:$G,$B$4),0)</f>
        <v>0</v>
      </c>
      <c r="E1462" s="5" t="str">
        <f ca="1">IFERROR(INDEX('Issuance Log'!$E:$E,MATCH(MAXIFS('Issuance Log'!$D:$D,'Issuance Log'!$B:$B,A1462,'Issuance Log'!$G:$G,$B$4),IF(('Issuance Log'!$B:$B=A1462)*('Issuance Log'!$G:$G=$B$4),'Issuance Log'!$D:$D),0)),"-")</f>
        <v>-</v>
      </c>
    </row>
    <row r="1463" spans="1:5" x14ac:dyDescent="0.25">
      <c r="A1463" s="2" t="s">
        <v>2851</v>
      </c>
      <c r="B1463" s="2" t="s">
        <v>2852</v>
      </c>
      <c r="C1463" s="3">
        <f>IFERROR(SUMIFS('Issuance Log'!$D:$D,'Issuance Log'!$B:$B,A1463,'Issuance Log'!$G:$G,$B$4),0)</f>
        <v>0</v>
      </c>
      <c r="D1463" s="3">
        <f>IFERROR(COUNTIFS('Issuance Log'!$B:$B,A1463,'Issuance Log'!$G:$G,$B$4),0)</f>
        <v>0</v>
      </c>
      <c r="E1463" s="3" t="str">
        <f ca="1">IFERROR(INDEX('Issuance Log'!$E:$E,MATCH(MAXIFS('Issuance Log'!$D:$D,'Issuance Log'!$B:$B,A1463,'Issuance Log'!$G:$G,$B$4),IF(('Issuance Log'!$B:$B=A1463)*('Issuance Log'!$G:$G=$B$4),'Issuance Log'!$D:$D),0)),"-")</f>
        <v>-</v>
      </c>
    </row>
    <row r="1464" spans="1:5" x14ac:dyDescent="0.25">
      <c r="A1464" s="4" t="s">
        <v>2853</v>
      </c>
      <c r="B1464" s="4" t="s">
        <v>2854</v>
      </c>
      <c r="C1464" s="5">
        <f>IFERROR(SUMIFS('Issuance Log'!$D:$D,'Issuance Log'!$B:$B,A1464,'Issuance Log'!$G:$G,$B$4),0)</f>
        <v>0</v>
      </c>
      <c r="D1464" s="5">
        <f>IFERROR(COUNTIFS('Issuance Log'!$B:$B,A1464,'Issuance Log'!$G:$G,$B$4),0)</f>
        <v>0</v>
      </c>
      <c r="E1464" s="5" t="str">
        <f ca="1">IFERROR(INDEX('Issuance Log'!$E:$E,MATCH(MAXIFS('Issuance Log'!$D:$D,'Issuance Log'!$B:$B,A1464,'Issuance Log'!$G:$G,$B$4),IF(('Issuance Log'!$B:$B=A1464)*('Issuance Log'!$G:$G=$B$4),'Issuance Log'!$D:$D),0)),"-")</f>
        <v>-</v>
      </c>
    </row>
    <row r="1465" spans="1:5" x14ac:dyDescent="0.25">
      <c r="A1465" s="2" t="s">
        <v>2855</v>
      </c>
      <c r="B1465" s="2" t="s">
        <v>2856</v>
      </c>
      <c r="C1465" s="3">
        <f>IFERROR(SUMIFS('Issuance Log'!$D:$D,'Issuance Log'!$B:$B,A1465,'Issuance Log'!$G:$G,$B$4),0)</f>
        <v>0</v>
      </c>
      <c r="D1465" s="3">
        <f>IFERROR(COUNTIFS('Issuance Log'!$B:$B,A1465,'Issuance Log'!$G:$G,$B$4),0)</f>
        <v>0</v>
      </c>
      <c r="E1465" s="3" t="str">
        <f ca="1">IFERROR(INDEX('Issuance Log'!$E:$E,MATCH(MAXIFS('Issuance Log'!$D:$D,'Issuance Log'!$B:$B,A1465,'Issuance Log'!$G:$G,$B$4),IF(('Issuance Log'!$B:$B=A1465)*('Issuance Log'!$G:$G=$B$4),'Issuance Log'!$D:$D),0)),"-")</f>
        <v>-</v>
      </c>
    </row>
    <row r="1466" spans="1:5" x14ac:dyDescent="0.25">
      <c r="A1466" s="4" t="s">
        <v>2857</v>
      </c>
      <c r="B1466" s="4" t="s">
        <v>2858</v>
      </c>
      <c r="C1466" s="5">
        <f>IFERROR(SUMIFS('Issuance Log'!$D:$D,'Issuance Log'!$B:$B,A1466,'Issuance Log'!$G:$G,$B$4),0)</f>
        <v>0</v>
      </c>
      <c r="D1466" s="5">
        <f>IFERROR(COUNTIFS('Issuance Log'!$B:$B,A1466,'Issuance Log'!$G:$G,$B$4),0)</f>
        <v>0</v>
      </c>
      <c r="E1466" s="5" t="str">
        <f ca="1">IFERROR(INDEX('Issuance Log'!$E:$E,MATCH(MAXIFS('Issuance Log'!$D:$D,'Issuance Log'!$B:$B,A1466,'Issuance Log'!$G:$G,$B$4),IF(('Issuance Log'!$B:$B=A1466)*('Issuance Log'!$G:$G=$B$4),'Issuance Log'!$D:$D),0)),"-")</f>
        <v>-</v>
      </c>
    </row>
    <row r="1467" spans="1:5" x14ac:dyDescent="0.25">
      <c r="A1467" s="2" t="s">
        <v>2859</v>
      </c>
      <c r="B1467" s="2" t="s">
        <v>2860</v>
      </c>
      <c r="C1467" s="3">
        <f>IFERROR(SUMIFS('Issuance Log'!$D:$D,'Issuance Log'!$B:$B,A1467,'Issuance Log'!$G:$G,$B$4),0)</f>
        <v>0</v>
      </c>
      <c r="D1467" s="3">
        <f>IFERROR(COUNTIFS('Issuance Log'!$B:$B,A1467,'Issuance Log'!$G:$G,$B$4),0)</f>
        <v>0</v>
      </c>
      <c r="E1467" s="3" t="str">
        <f ca="1">IFERROR(INDEX('Issuance Log'!$E:$E,MATCH(MAXIFS('Issuance Log'!$D:$D,'Issuance Log'!$B:$B,A1467,'Issuance Log'!$G:$G,$B$4),IF(('Issuance Log'!$B:$B=A1467)*('Issuance Log'!$G:$G=$B$4),'Issuance Log'!$D:$D),0)),"-")</f>
        <v>-</v>
      </c>
    </row>
    <row r="1468" spans="1:5" x14ac:dyDescent="0.25">
      <c r="A1468" s="4" t="s">
        <v>2861</v>
      </c>
      <c r="B1468" s="4" t="s">
        <v>2862</v>
      </c>
      <c r="C1468" s="5">
        <f>IFERROR(SUMIFS('Issuance Log'!$D:$D,'Issuance Log'!$B:$B,A1468,'Issuance Log'!$G:$G,$B$4),0)</f>
        <v>0</v>
      </c>
      <c r="D1468" s="5">
        <f>IFERROR(COUNTIFS('Issuance Log'!$B:$B,A1468,'Issuance Log'!$G:$G,$B$4),0)</f>
        <v>0</v>
      </c>
      <c r="E1468" s="5" t="str">
        <f ca="1">IFERROR(INDEX('Issuance Log'!$E:$E,MATCH(MAXIFS('Issuance Log'!$D:$D,'Issuance Log'!$B:$B,A1468,'Issuance Log'!$G:$G,$B$4),IF(('Issuance Log'!$B:$B=A1468)*('Issuance Log'!$G:$G=$B$4),'Issuance Log'!$D:$D),0)),"-")</f>
        <v>-</v>
      </c>
    </row>
    <row r="1469" spans="1:5" x14ac:dyDescent="0.25">
      <c r="A1469" s="2" t="s">
        <v>2863</v>
      </c>
      <c r="B1469" s="2" t="s">
        <v>2864</v>
      </c>
      <c r="C1469" s="3">
        <f>IFERROR(SUMIFS('Issuance Log'!$D:$D,'Issuance Log'!$B:$B,A1469,'Issuance Log'!$G:$G,$B$4),0)</f>
        <v>0</v>
      </c>
      <c r="D1469" s="3">
        <f>IFERROR(COUNTIFS('Issuance Log'!$B:$B,A1469,'Issuance Log'!$G:$G,$B$4),0)</f>
        <v>0</v>
      </c>
      <c r="E1469" s="3" t="str">
        <f ca="1">IFERROR(INDEX('Issuance Log'!$E:$E,MATCH(MAXIFS('Issuance Log'!$D:$D,'Issuance Log'!$B:$B,A1469,'Issuance Log'!$G:$G,$B$4),IF(('Issuance Log'!$B:$B=A1469)*('Issuance Log'!$G:$G=$B$4),'Issuance Log'!$D:$D),0)),"-")</f>
        <v>-</v>
      </c>
    </row>
    <row r="1470" spans="1:5" x14ac:dyDescent="0.25">
      <c r="A1470" s="4" t="s">
        <v>2865</v>
      </c>
      <c r="B1470" s="4" t="s">
        <v>2866</v>
      </c>
      <c r="C1470" s="5">
        <f>IFERROR(SUMIFS('Issuance Log'!$D:$D,'Issuance Log'!$B:$B,A1470,'Issuance Log'!$G:$G,$B$4),0)</f>
        <v>0</v>
      </c>
      <c r="D1470" s="5">
        <f>IFERROR(COUNTIFS('Issuance Log'!$B:$B,A1470,'Issuance Log'!$G:$G,$B$4),0)</f>
        <v>0</v>
      </c>
      <c r="E1470" s="5" t="str">
        <f ca="1">IFERROR(INDEX('Issuance Log'!$E:$E,MATCH(MAXIFS('Issuance Log'!$D:$D,'Issuance Log'!$B:$B,A1470,'Issuance Log'!$G:$G,$B$4),IF(('Issuance Log'!$B:$B=A1470)*('Issuance Log'!$G:$G=$B$4),'Issuance Log'!$D:$D),0)),"-")</f>
        <v>-</v>
      </c>
    </row>
    <row r="1471" spans="1:5" x14ac:dyDescent="0.25">
      <c r="A1471" s="2" t="s">
        <v>2867</v>
      </c>
      <c r="B1471" s="2" t="s">
        <v>2868</v>
      </c>
      <c r="C1471" s="3">
        <f>IFERROR(SUMIFS('Issuance Log'!$D:$D,'Issuance Log'!$B:$B,A1471,'Issuance Log'!$G:$G,$B$4),0)</f>
        <v>0</v>
      </c>
      <c r="D1471" s="3">
        <f>IFERROR(COUNTIFS('Issuance Log'!$B:$B,A1471,'Issuance Log'!$G:$G,$B$4),0)</f>
        <v>0</v>
      </c>
      <c r="E1471" s="3" t="str">
        <f ca="1">IFERROR(INDEX('Issuance Log'!$E:$E,MATCH(MAXIFS('Issuance Log'!$D:$D,'Issuance Log'!$B:$B,A1471,'Issuance Log'!$G:$G,$B$4),IF(('Issuance Log'!$B:$B=A1471)*('Issuance Log'!$G:$G=$B$4),'Issuance Log'!$D:$D),0)),"-")</f>
        <v>-</v>
      </c>
    </row>
    <row r="1472" spans="1:5" x14ac:dyDescent="0.25">
      <c r="A1472" s="4" t="s">
        <v>2869</v>
      </c>
      <c r="B1472" s="4" t="s">
        <v>2870</v>
      </c>
      <c r="C1472" s="5">
        <f>IFERROR(SUMIFS('Issuance Log'!$D:$D,'Issuance Log'!$B:$B,A1472,'Issuance Log'!$G:$G,$B$4),0)</f>
        <v>0</v>
      </c>
      <c r="D1472" s="5">
        <f>IFERROR(COUNTIFS('Issuance Log'!$B:$B,A1472,'Issuance Log'!$G:$G,$B$4),0)</f>
        <v>0</v>
      </c>
      <c r="E1472" s="5" t="str">
        <f ca="1">IFERROR(INDEX('Issuance Log'!$E:$E,MATCH(MAXIFS('Issuance Log'!$D:$D,'Issuance Log'!$B:$B,A1472,'Issuance Log'!$G:$G,$B$4),IF(('Issuance Log'!$B:$B=A1472)*('Issuance Log'!$G:$G=$B$4),'Issuance Log'!$D:$D),0)),"-")</f>
        <v>-</v>
      </c>
    </row>
    <row r="1473" spans="1:5" x14ac:dyDescent="0.25">
      <c r="A1473" s="2" t="s">
        <v>2871</v>
      </c>
      <c r="B1473" s="2" t="s">
        <v>2872</v>
      </c>
      <c r="C1473" s="3">
        <f>IFERROR(SUMIFS('Issuance Log'!$D:$D,'Issuance Log'!$B:$B,A1473,'Issuance Log'!$G:$G,$B$4),0)</f>
        <v>0</v>
      </c>
      <c r="D1473" s="3">
        <f>IFERROR(COUNTIFS('Issuance Log'!$B:$B,A1473,'Issuance Log'!$G:$G,$B$4),0)</f>
        <v>0</v>
      </c>
      <c r="E1473" s="3" t="str">
        <f ca="1">IFERROR(INDEX('Issuance Log'!$E:$E,MATCH(MAXIFS('Issuance Log'!$D:$D,'Issuance Log'!$B:$B,A1473,'Issuance Log'!$G:$G,$B$4),IF(('Issuance Log'!$B:$B=A1473)*('Issuance Log'!$G:$G=$B$4),'Issuance Log'!$D:$D),0)),"-")</f>
        <v>-</v>
      </c>
    </row>
    <row r="1474" spans="1:5" x14ac:dyDescent="0.25">
      <c r="A1474" s="4" t="s">
        <v>2873</v>
      </c>
      <c r="B1474" s="4" t="s">
        <v>2874</v>
      </c>
      <c r="C1474" s="5">
        <f>IFERROR(SUMIFS('Issuance Log'!$D:$D,'Issuance Log'!$B:$B,A1474,'Issuance Log'!$G:$G,$B$4),0)</f>
        <v>0</v>
      </c>
      <c r="D1474" s="5">
        <f>IFERROR(COUNTIFS('Issuance Log'!$B:$B,A1474,'Issuance Log'!$G:$G,$B$4),0)</f>
        <v>0</v>
      </c>
      <c r="E1474" s="5" t="str">
        <f ca="1">IFERROR(INDEX('Issuance Log'!$E:$E,MATCH(MAXIFS('Issuance Log'!$D:$D,'Issuance Log'!$B:$B,A1474,'Issuance Log'!$G:$G,$B$4),IF(('Issuance Log'!$B:$B=A1474)*('Issuance Log'!$G:$G=$B$4),'Issuance Log'!$D:$D),0)),"-")</f>
        <v>-</v>
      </c>
    </row>
    <row r="1475" spans="1:5" x14ac:dyDescent="0.25">
      <c r="A1475" s="2" t="s">
        <v>2875</v>
      </c>
      <c r="B1475" s="2" t="s">
        <v>2876</v>
      </c>
      <c r="C1475" s="3">
        <f>IFERROR(SUMIFS('Issuance Log'!$D:$D,'Issuance Log'!$B:$B,A1475,'Issuance Log'!$G:$G,$B$4),0)</f>
        <v>0</v>
      </c>
      <c r="D1475" s="3">
        <f>IFERROR(COUNTIFS('Issuance Log'!$B:$B,A1475,'Issuance Log'!$G:$G,$B$4),0)</f>
        <v>0</v>
      </c>
      <c r="E1475" s="3" t="str">
        <f ca="1">IFERROR(INDEX('Issuance Log'!$E:$E,MATCH(MAXIFS('Issuance Log'!$D:$D,'Issuance Log'!$B:$B,A1475,'Issuance Log'!$G:$G,$B$4),IF(('Issuance Log'!$B:$B=A1475)*('Issuance Log'!$G:$G=$B$4),'Issuance Log'!$D:$D),0)),"-")</f>
        <v>-</v>
      </c>
    </row>
    <row r="1476" spans="1:5" x14ac:dyDescent="0.25">
      <c r="A1476" s="4" t="s">
        <v>2877</v>
      </c>
      <c r="B1476" s="4" t="s">
        <v>2878</v>
      </c>
      <c r="C1476" s="5">
        <f>IFERROR(SUMIFS('Issuance Log'!$D:$D,'Issuance Log'!$B:$B,A1476,'Issuance Log'!$G:$G,$B$4),0)</f>
        <v>0</v>
      </c>
      <c r="D1476" s="5">
        <f>IFERROR(COUNTIFS('Issuance Log'!$B:$B,A1476,'Issuance Log'!$G:$G,$B$4),0)</f>
        <v>0</v>
      </c>
      <c r="E1476" s="5" t="str">
        <f ca="1">IFERROR(INDEX('Issuance Log'!$E:$E,MATCH(MAXIFS('Issuance Log'!$D:$D,'Issuance Log'!$B:$B,A1476,'Issuance Log'!$G:$G,$B$4),IF(('Issuance Log'!$B:$B=A1476)*('Issuance Log'!$G:$G=$B$4),'Issuance Log'!$D:$D),0)),"-")</f>
        <v>-</v>
      </c>
    </row>
    <row r="1477" spans="1:5" x14ac:dyDescent="0.25">
      <c r="A1477" s="2" t="s">
        <v>2879</v>
      </c>
      <c r="B1477" s="2" t="s">
        <v>2880</v>
      </c>
      <c r="C1477" s="3">
        <f>IFERROR(SUMIFS('Issuance Log'!$D:$D,'Issuance Log'!$B:$B,A1477,'Issuance Log'!$G:$G,$B$4),0)</f>
        <v>0</v>
      </c>
      <c r="D1477" s="3">
        <f>IFERROR(COUNTIFS('Issuance Log'!$B:$B,A1477,'Issuance Log'!$G:$G,$B$4),0)</f>
        <v>0</v>
      </c>
      <c r="E1477" s="3" t="str">
        <f ca="1">IFERROR(INDEX('Issuance Log'!$E:$E,MATCH(MAXIFS('Issuance Log'!$D:$D,'Issuance Log'!$B:$B,A1477,'Issuance Log'!$G:$G,$B$4),IF(('Issuance Log'!$B:$B=A1477)*('Issuance Log'!$G:$G=$B$4),'Issuance Log'!$D:$D),0)),"-")</f>
        <v>-</v>
      </c>
    </row>
    <row r="1478" spans="1:5" x14ac:dyDescent="0.25">
      <c r="A1478" s="4" t="s">
        <v>2881</v>
      </c>
      <c r="B1478" s="4" t="s">
        <v>2882</v>
      </c>
      <c r="C1478" s="5">
        <f>IFERROR(SUMIFS('Issuance Log'!$D:$D,'Issuance Log'!$B:$B,A1478,'Issuance Log'!$G:$G,$B$4),0)</f>
        <v>0</v>
      </c>
      <c r="D1478" s="5">
        <f>IFERROR(COUNTIFS('Issuance Log'!$B:$B,A1478,'Issuance Log'!$G:$G,$B$4),0)</f>
        <v>0</v>
      </c>
      <c r="E1478" s="5" t="str">
        <f ca="1">IFERROR(INDEX('Issuance Log'!$E:$E,MATCH(MAXIFS('Issuance Log'!$D:$D,'Issuance Log'!$B:$B,A1478,'Issuance Log'!$G:$G,$B$4),IF(('Issuance Log'!$B:$B=A1478)*('Issuance Log'!$G:$G=$B$4),'Issuance Log'!$D:$D),0)),"-")</f>
        <v>-</v>
      </c>
    </row>
    <row r="1479" spans="1:5" x14ac:dyDescent="0.25">
      <c r="A1479" s="2" t="s">
        <v>2883</v>
      </c>
      <c r="B1479" s="2" t="s">
        <v>2884</v>
      </c>
      <c r="C1479" s="3">
        <f>IFERROR(SUMIFS('Issuance Log'!$D:$D,'Issuance Log'!$B:$B,A1479,'Issuance Log'!$G:$G,$B$4),0)</f>
        <v>0</v>
      </c>
      <c r="D1479" s="3">
        <f>IFERROR(COUNTIFS('Issuance Log'!$B:$B,A1479,'Issuance Log'!$G:$G,$B$4),0)</f>
        <v>0</v>
      </c>
      <c r="E1479" s="3" t="str">
        <f ca="1">IFERROR(INDEX('Issuance Log'!$E:$E,MATCH(MAXIFS('Issuance Log'!$D:$D,'Issuance Log'!$B:$B,A1479,'Issuance Log'!$G:$G,$B$4),IF(('Issuance Log'!$B:$B=A1479)*('Issuance Log'!$G:$G=$B$4),'Issuance Log'!$D:$D),0)),"-")</f>
        <v>-</v>
      </c>
    </row>
    <row r="1480" spans="1:5" x14ac:dyDescent="0.25">
      <c r="A1480" s="4" t="s">
        <v>2885</v>
      </c>
      <c r="B1480" s="4" t="s">
        <v>2886</v>
      </c>
      <c r="C1480" s="5">
        <f>IFERROR(SUMIFS('Issuance Log'!$D:$D,'Issuance Log'!$B:$B,A1480,'Issuance Log'!$G:$G,$B$4),0)</f>
        <v>0</v>
      </c>
      <c r="D1480" s="5">
        <f>IFERROR(COUNTIFS('Issuance Log'!$B:$B,A1480,'Issuance Log'!$G:$G,$B$4),0)</f>
        <v>0</v>
      </c>
      <c r="E1480" s="5" t="str">
        <f ca="1">IFERROR(INDEX('Issuance Log'!$E:$E,MATCH(MAXIFS('Issuance Log'!$D:$D,'Issuance Log'!$B:$B,A1480,'Issuance Log'!$G:$G,$B$4),IF(('Issuance Log'!$B:$B=A1480)*('Issuance Log'!$G:$G=$B$4),'Issuance Log'!$D:$D),0)),"-")</f>
        <v>-</v>
      </c>
    </row>
    <row r="1481" spans="1:5" x14ac:dyDescent="0.25">
      <c r="A1481" s="2" t="s">
        <v>2887</v>
      </c>
      <c r="B1481" s="2" t="s">
        <v>2888</v>
      </c>
      <c r="C1481" s="3">
        <f>IFERROR(SUMIFS('Issuance Log'!$D:$D,'Issuance Log'!$B:$B,A1481,'Issuance Log'!$G:$G,$B$4),0)</f>
        <v>0</v>
      </c>
      <c r="D1481" s="3">
        <f>IFERROR(COUNTIFS('Issuance Log'!$B:$B,A1481,'Issuance Log'!$G:$G,$B$4),0)</f>
        <v>0</v>
      </c>
      <c r="E1481" s="3" t="str">
        <f ca="1">IFERROR(INDEX('Issuance Log'!$E:$E,MATCH(MAXIFS('Issuance Log'!$D:$D,'Issuance Log'!$B:$B,A1481,'Issuance Log'!$G:$G,$B$4),IF(('Issuance Log'!$B:$B=A1481)*('Issuance Log'!$G:$G=$B$4),'Issuance Log'!$D:$D),0)),"-")</f>
        <v>-</v>
      </c>
    </row>
    <row r="1482" spans="1:5" x14ac:dyDescent="0.25">
      <c r="A1482" s="4" t="s">
        <v>2889</v>
      </c>
      <c r="B1482" s="4" t="s">
        <v>2890</v>
      </c>
      <c r="C1482" s="5">
        <f>IFERROR(SUMIFS('Issuance Log'!$D:$D,'Issuance Log'!$B:$B,A1482,'Issuance Log'!$G:$G,$B$4),0)</f>
        <v>0</v>
      </c>
      <c r="D1482" s="5">
        <f>IFERROR(COUNTIFS('Issuance Log'!$B:$B,A1482,'Issuance Log'!$G:$G,$B$4),0)</f>
        <v>0</v>
      </c>
      <c r="E1482" s="5" t="str">
        <f ca="1">IFERROR(INDEX('Issuance Log'!$E:$E,MATCH(MAXIFS('Issuance Log'!$D:$D,'Issuance Log'!$B:$B,A1482,'Issuance Log'!$G:$G,$B$4),IF(('Issuance Log'!$B:$B=A1482)*('Issuance Log'!$G:$G=$B$4),'Issuance Log'!$D:$D),0)),"-")</f>
        <v>-</v>
      </c>
    </row>
    <row r="1483" spans="1:5" x14ac:dyDescent="0.25">
      <c r="A1483" s="2" t="s">
        <v>2891</v>
      </c>
      <c r="B1483" s="2" t="s">
        <v>2892</v>
      </c>
      <c r="C1483" s="3">
        <f>IFERROR(SUMIFS('Issuance Log'!$D:$D,'Issuance Log'!$B:$B,A1483,'Issuance Log'!$G:$G,$B$4),0)</f>
        <v>0</v>
      </c>
      <c r="D1483" s="3">
        <f>IFERROR(COUNTIFS('Issuance Log'!$B:$B,A1483,'Issuance Log'!$G:$G,$B$4),0)</f>
        <v>0</v>
      </c>
      <c r="E1483" s="3" t="str">
        <f ca="1">IFERROR(INDEX('Issuance Log'!$E:$E,MATCH(MAXIFS('Issuance Log'!$D:$D,'Issuance Log'!$B:$B,A1483,'Issuance Log'!$G:$G,$B$4),IF(('Issuance Log'!$B:$B=A1483)*('Issuance Log'!$G:$G=$B$4),'Issuance Log'!$D:$D),0)),"-")</f>
        <v>-</v>
      </c>
    </row>
    <row r="1484" spans="1:5" x14ac:dyDescent="0.25">
      <c r="A1484" s="4" t="s">
        <v>2893</v>
      </c>
      <c r="B1484" s="4" t="s">
        <v>2894</v>
      </c>
      <c r="C1484" s="5">
        <f>IFERROR(SUMIFS('Issuance Log'!$D:$D,'Issuance Log'!$B:$B,A1484,'Issuance Log'!$G:$G,$B$4),0)</f>
        <v>0</v>
      </c>
      <c r="D1484" s="5">
        <f>IFERROR(COUNTIFS('Issuance Log'!$B:$B,A1484,'Issuance Log'!$G:$G,$B$4),0)</f>
        <v>0</v>
      </c>
      <c r="E1484" s="5" t="str">
        <f ca="1">IFERROR(INDEX('Issuance Log'!$E:$E,MATCH(MAXIFS('Issuance Log'!$D:$D,'Issuance Log'!$B:$B,A1484,'Issuance Log'!$G:$G,$B$4),IF(('Issuance Log'!$B:$B=A1484)*('Issuance Log'!$G:$G=$B$4),'Issuance Log'!$D:$D),0)),"-")</f>
        <v>-</v>
      </c>
    </row>
    <row r="1485" spans="1:5" x14ac:dyDescent="0.25">
      <c r="A1485" s="2" t="s">
        <v>2895</v>
      </c>
      <c r="B1485" s="2" t="s">
        <v>2896</v>
      </c>
      <c r="C1485" s="3">
        <f>IFERROR(SUMIFS('Issuance Log'!$D:$D,'Issuance Log'!$B:$B,A1485,'Issuance Log'!$G:$G,$B$4),0)</f>
        <v>0</v>
      </c>
      <c r="D1485" s="3">
        <f>IFERROR(COUNTIFS('Issuance Log'!$B:$B,A1485,'Issuance Log'!$G:$G,$B$4),0)</f>
        <v>0</v>
      </c>
      <c r="E1485" s="3" t="str">
        <f ca="1">IFERROR(INDEX('Issuance Log'!$E:$E,MATCH(MAXIFS('Issuance Log'!$D:$D,'Issuance Log'!$B:$B,A1485,'Issuance Log'!$G:$G,$B$4),IF(('Issuance Log'!$B:$B=A1485)*('Issuance Log'!$G:$G=$B$4),'Issuance Log'!$D:$D),0)),"-")</f>
        <v>-</v>
      </c>
    </row>
    <row r="1486" spans="1:5" x14ac:dyDescent="0.25">
      <c r="A1486" s="4" t="s">
        <v>2897</v>
      </c>
      <c r="B1486" s="4" t="s">
        <v>2898</v>
      </c>
      <c r="C1486" s="5">
        <f>IFERROR(SUMIFS('Issuance Log'!$D:$D,'Issuance Log'!$B:$B,A1486,'Issuance Log'!$G:$G,$B$4),0)</f>
        <v>0</v>
      </c>
      <c r="D1486" s="5">
        <f>IFERROR(COUNTIFS('Issuance Log'!$B:$B,A1486,'Issuance Log'!$G:$G,$B$4),0)</f>
        <v>0</v>
      </c>
      <c r="E1486" s="5" t="str">
        <f ca="1">IFERROR(INDEX('Issuance Log'!$E:$E,MATCH(MAXIFS('Issuance Log'!$D:$D,'Issuance Log'!$B:$B,A1486,'Issuance Log'!$G:$G,$B$4),IF(('Issuance Log'!$B:$B=A1486)*('Issuance Log'!$G:$G=$B$4),'Issuance Log'!$D:$D),0)),"-")</f>
        <v>-</v>
      </c>
    </row>
    <row r="1487" spans="1:5" x14ac:dyDescent="0.25">
      <c r="A1487" s="2" t="s">
        <v>2899</v>
      </c>
      <c r="B1487" s="2" t="s">
        <v>2900</v>
      </c>
      <c r="C1487" s="3">
        <f>IFERROR(SUMIFS('Issuance Log'!$D:$D,'Issuance Log'!$B:$B,A1487,'Issuance Log'!$G:$G,$B$4),0)</f>
        <v>0</v>
      </c>
      <c r="D1487" s="3">
        <f>IFERROR(COUNTIFS('Issuance Log'!$B:$B,A1487,'Issuance Log'!$G:$G,$B$4),0)</f>
        <v>0</v>
      </c>
      <c r="E1487" s="3" t="str">
        <f ca="1">IFERROR(INDEX('Issuance Log'!$E:$E,MATCH(MAXIFS('Issuance Log'!$D:$D,'Issuance Log'!$B:$B,A1487,'Issuance Log'!$G:$G,$B$4),IF(('Issuance Log'!$B:$B=A1487)*('Issuance Log'!$G:$G=$B$4),'Issuance Log'!$D:$D),0)),"-")</f>
        <v>-</v>
      </c>
    </row>
    <row r="1488" spans="1:5" x14ac:dyDescent="0.25">
      <c r="A1488" s="4" t="s">
        <v>2901</v>
      </c>
      <c r="B1488" s="4" t="s">
        <v>2902</v>
      </c>
      <c r="C1488" s="5">
        <f>IFERROR(SUMIFS('Issuance Log'!$D:$D,'Issuance Log'!$B:$B,A1488,'Issuance Log'!$G:$G,$B$4),0)</f>
        <v>0</v>
      </c>
      <c r="D1488" s="5">
        <f>IFERROR(COUNTIFS('Issuance Log'!$B:$B,A1488,'Issuance Log'!$G:$G,$B$4),0)</f>
        <v>0</v>
      </c>
      <c r="E1488" s="5" t="str">
        <f ca="1">IFERROR(INDEX('Issuance Log'!$E:$E,MATCH(MAXIFS('Issuance Log'!$D:$D,'Issuance Log'!$B:$B,A1488,'Issuance Log'!$G:$G,$B$4),IF(('Issuance Log'!$B:$B=A1488)*('Issuance Log'!$G:$G=$B$4),'Issuance Log'!$D:$D),0)),"-")</f>
        <v>-</v>
      </c>
    </row>
    <row r="1489" spans="1:5" x14ac:dyDescent="0.25">
      <c r="A1489" s="2" t="s">
        <v>2903</v>
      </c>
      <c r="B1489" s="2" t="s">
        <v>2904</v>
      </c>
      <c r="C1489" s="3">
        <f>IFERROR(SUMIFS('Issuance Log'!$D:$D,'Issuance Log'!$B:$B,A1489,'Issuance Log'!$G:$G,$B$4),0)</f>
        <v>0</v>
      </c>
      <c r="D1489" s="3">
        <f>IFERROR(COUNTIFS('Issuance Log'!$B:$B,A1489,'Issuance Log'!$G:$G,$B$4),0)</f>
        <v>0</v>
      </c>
      <c r="E1489" s="3" t="str">
        <f ca="1">IFERROR(INDEX('Issuance Log'!$E:$E,MATCH(MAXIFS('Issuance Log'!$D:$D,'Issuance Log'!$B:$B,A1489,'Issuance Log'!$G:$G,$B$4),IF(('Issuance Log'!$B:$B=A1489)*('Issuance Log'!$G:$G=$B$4),'Issuance Log'!$D:$D),0)),"-")</f>
        <v>-</v>
      </c>
    </row>
    <row r="1490" spans="1:5" x14ac:dyDescent="0.25">
      <c r="A1490" s="4" t="s">
        <v>2905</v>
      </c>
      <c r="B1490" s="4" t="s">
        <v>2906</v>
      </c>
      <c r="C1490" s="5">
        <f>IFERROR(SUMIFS('Issuance Log'!$D:$D,'Issuance Log'!$B:$B,A1490,'Issuance Log'!$G:$G,$B$4),0)</f>
        <v>0</v>
      </c>
      <c r="D1490" s="5">
        <f>IFERROR(COUNTIFS('Issuance Log'!$B:$B,A1490,'Issuance Log'!$G:$G,$B$4),0)</f>
        <v>0</v>
      </c>
      <c r="E1490" s="5" t="str">
        <f ca="1">IFERROR(INDEX('Issuance Log'!$E:$E,MATCH(MAXIFS('Issuance Log'!$D:$D,'Issuance Log'!$B:$B,A1490,'Issuance Log'!$G:$G,$B$4),IF(('Issuance Log'!$B:$B=A1490)*('Issuance Log'!$G:$G=$B$4),'Issuance Log'!$D:$D),0)),"-")</f>
        <v>-</v>
      </c>
    </row>
    <row r="1491" spans="1:5" x14ac:dyDescent="0.25">
      <c r="A1491" s="2" t="s">
        <v>2907</v>
      </c>
      <c r="B1491" s="2" t="s">
        <v>2908</v>
      </c>
      <c r="C1491" s="3">
        <f>IFERROR(SUMIFS('Issuance Log'!$D:$D,'Issuance Log'!$B:$B,A1491,'Issuance Log'!$G:$G,$B$4),0)</f>
        <v>0</v>
      </c>
      <c r="D1491" s="3">
        <f>IFERROR(COUNTIFS('Issuance Log'!$B:$B,A1491,'Issuance Log'!$G:$G,$B$4),0)</f>
        <v>0</v>
      </c>
      <c r="E1491" s="3" t="str">
        <f ca="1">IFERROR(INDEX('Issuance Log'!$E:$E,MATCH(MAXIFS('Issuance Log'!$D:$D,'Issuance Log'!$B:$B,A1491,'Issuance Log'!$G:$G,$B$4),IF(('Issuance Log'!$B:$B=A1491)*('Issuance Log'!$G:$G=$B$4),'Issuance Log'!$D:$D),0)),"-")</f>
        <v>-</v>
      </c>
    </row>
    <row r="1492" spans="1:5" x14ac:dyDescent="0.25">
      <c r="A1492" s="4" t="s">
        <v>2909</v>
      </c>
      <c r="B1492" s="4" t="s">
        <v>2910</v>
      </c>
      <c r="C1492" s="5">
        <f>IFERROR(SUMIFS('Issuance Log'!$D:$D,'Issuance Log'!$B:$B,A1492,'Issuance Log'!$G:$G,$B$4),0)</f>
        <v>0</v>
      </c>
      <c r="D1492" s="5">
        <f>IFERROR(COUNTIFS('Issuance Log'!$B:$B,A1492,'Issuance Log'!$G:$G,$B$4),0)</f>
        <v>0</v>
      </c>
      <c r="E1492" s="5" t="str">
        <f ca="1">IFERROR(INDEX('Issuance Log'!$E:$E,MATCH(MAXIFS('Issuance Log'!$D:$D,'Issuance Log'!$B:$B,A1492,'Issuance Log'!$G:$G,$B$4),IF(('Issuance Log'!$B:$B=A1492)*('Issuance Log'!$G:$G=$B$4),'Issuance Log'!$D:$D),0)),"-")</f>
        <v>-</v>
      </c>
    </row>
    <row r="1493" spans="1:5" x14ac:dyDescent="0.25">
      <c r="A1493" s="2" t="s">
        <v>2911</v>
      </c>
      <c r="B1493" s="2" t="s">
        <v>2912</v>
      </c>
      <c r="C1493" s="3">
        <f>IFERROR(SUMIFS('Issuance Log'!$D:$D,'Issuance Log'!$B:$B,A1493,'Issuance Log'!$G:$G,$B$4),0)</f>
        <v>0</v>
      </c>
      <c r="D1493" s="3">
        <f>IFERROR(COUNTIFS('Issuance Log'!$B:$B,A1493,'Issuance Log'!$G:$G,$B$4),0)</f>
        <v>0</v>
      </c>
      <c r="E1493" s="3" t="str">
        <f ca="1">IFERROR(INDEX('Issuance Log'!$E:$E,MATCH(MAXIFS('Issuance Log'!$D:$D,'Issuance Log'!$B:$B,A1493,'Issuance Log'!$G:$G,$B$4),IF(('Issuance Log'!$B:$B=A1493)*('Issuance Log'!$G:$G=$B$4),'Issuance Log'!$D:$D),0)),"-")</f>
        <v>-</v>
      </c>
    </row>
    <row r="1494" spans="1:5" x14ac:dyDescent="0.25">
      <c r="A1494" s="4" t="s">
        <v>2913</v>
      </c>
      <c r="B1494" s="4" t="s">
        <v>2914</v>
      </c>
      <c r="C1494" s="5">
        <f>IFERROR(SUMIFS('Issuance Log'!$D:$D,'Issuance Log'!$B:$B,A1494,'Issuance Log'!$G:$G,$B$4),0)</f>
        <v>0</v>
      </c>
      <c r="D1494" s="5">
        <f>IFERROR(COUNTIFS('Issuance Log'!$B:$B,A1494,'Issuance Log'!$G:$G,$B$4),0)</f>
        <v>0</v>
      </c>
      <c r="E1494" s="5" t="str">
        <f ca="1">IFERROR(INDEX('Issuance Log'!$E:$E,MATCH(MAXIFS('Issuance Log'!$D:$D,'Issuance Log'!$B:$B,A1494,'Issuance Log'!$G:$G,$B$4),IF(('Issuance Log'!$B:$B=A1494)*('Issuance Log'!$G:$G=$B$4),'Issuance Log'!$D:$D),0)),"-")</f>
        <v>-</v>
      </c>
    </row>
    <row r="1495" spans="1:5" x14ac:dyDescent="0.25">
      <c r="A1495" s="2" t="s">
        <v>2915</v>
      </c>
      <c r="B1495" s="2" t="s">
        <v>2916</v>
      </c>
      <c r="C1495" s="3">
        <f>IFERROR(SUMIFS('Issuance Log'!$D:$D,'Issuance Log'!$B:$B,A1495,'Issuance Log'!$G:$G,$B$4),0)</f>
        <v>0</v>
      </c>
      <c r="D1495" s="3">
        <f>IFERROR(COUNTIFS('Issuance Log'!$B:$B,A1495,'Issuance Log'!$G:$G,$B$4),0)</f>
        <v>0</v>
      </c>
      <c r="E1495" s="3" t="str">
        <f ca="1">IFERROR(INDEX('Issuance Log'!$E:$E,MATCH(MAXIFS('Issuance Log'!$D:$D,'Issuance Log'!$B:$B,A1495,'Issuance Log'!$G:$G,$B$4),IF(('Issuance Log'!$B:$B=A1495)*('Issuance Log'!$G:$G=$B$4),'Issuance Log'!$D:$D),0)),"-")</f>
        <v>-</v>
      </c>
    </row>
    <row r="1496" spans="1:5" x14ac:dyDescent="0.25">
      <c r="A1496" s="4" t="s">
        <v>2917</v>
      </c>
      <c r="B1496" s="4" t="s">
        <v>2918</v>
      </c>
      <c r="C1496" s="5">
        <f>IFERROR(SUMIFS('Issuance Log'!$D:$D,'Issuance Log'!$B:$B,A1496,'Issuance Log'!$G:$G,$B$4),0)</f>
        <v>0</v>
      </c>
      <c r="D1496" s="5">
        <f>IFERROR(COUNTIFS('Issuance Log'!$B:$B,A1496,'Issuance Log'!$G:$G,$B$4),0)</f>
        <v>0</v>
      </c>
      <c r="E1496" s="5" t="str">
        <f ca="1">IFERROR(INDEX('Issuance Log'!$E:$E,MATCH(MAXIFS('Issuance Log'!$D:$D,'Issuance Log'!$B:$B,A1496,'Issuance Log'!$G:$G,$B$4),IF(('Issuance Log'!$B:$B=A1496)*('Issuance Log'!$G:$G=$B$4),'Issuance Log'!$D:$D),0)),"-")</f>
        <v>-</v>
      </c>
    </row>
    <row r="1497" spans="1:5" x14ac:dyDescent="0.25">
      <c r="A1497" s="2" t="s">
        <v>2919</v>
      </c>
      <c r="B1497" s="2" t="s">
        <v>2920</v>
      </c>
      <c r="C1497" s="3">
        <f>IFERROR(SUMIFS('Issuance Log'!$D:$D,'Issuance Log'!$B:$B,A1497,'Issuance Log'!$G:$G,$B$4),0)</f>
        <v>0</v>
      </c>
      <c r="D1497" s="3">
        <f>IFERROR(COUNTIFS('Issuance Log'!$B:$B,A1497,'Issuance Log'!$G:$G,$B$4),0)</f>
        <v>0</v>
      </c>
      <c r="E1497" s="3" t="str">
        <f ca="1">IFERROR(INDEX('Issuance Log'!$E:$E,MATCH(MAXIFS('Issuance Log'!$D:$D,'Issuance Log'!$B:$B,A1497,'Issuance Log'!$G:$G,$B$4),IF(('Issuance Log'!$B:$B=A1497)*('Issuance Log'!$G:$G=$B$4),'Issuance Log'!$D:$D),0)),"-")</f>
        <v>-</v>
      </c>
    </row>
    <row r="1498" spans="1:5" x14ac:dyDescent="0.25">
      <c r="A1498" s="4" t="s">
        <v>2921</v>
      </c>
      <c r="B1498" s="4" t="s">
        <v>2922</v>
      </c>
      <c r="C1498" s="5">
        <f>IFERROR(SUMIFS('Issuance Log'!$D:$D,'Issuance Log'!$B:$B,A1498,'Issuance Log'!$G:$G,$B$4),0)</f>
        <v>0</v>
      </c>
      <c r="D1498" s="5">
        <f>IFERROR(COUNTIFS('Issuance Log'!$B:$B,A1498,'Issuance Log'!$G:$G,$B$4),0)</f>
        <v>0</v>
      </c>
      <c r="E1498" s="5" t="str">
        <f ca="1">IFERROR(INDEX('Issuance Log'!$E:$E,MATCH(MAXIFS('Issuance Log'!$D:$D,'Issuance Log'!$B:$B,A1498,'Issuance Log'!$G:$G,$B$4),IF(('Issuance Log'!$B:$B=A1498)*('Issuance Log'!$G:$G=$B$4),'Issuance Log'!$D:$D),0)),"-")</f>
        <v>-</v>
      </c>
    </row>
    <row r="1499" spans="1:5" x14ac:dyDescent="0.25">
      <c r="A1499" s="2" t="s">
        <v>2923</v>
      </c>
      <c r="B1499" s="2" t="s">
        <v>2924</v>
      </c>
      <c r="C1499" s="3">
        <f>IFERROR(SUMIFS('Issuance Log'!$D:$D,'Issuance Log'!$B:$B,A1499,'Issuance Log'!$G:$G,$B$4),0)</f>
        <v>0</v>
      </c>
      <c r="D1499" s="3">
        <f>IFERROR(COUNTIFS('Issuance Log'!$B:$B,A1499,'Issuance Log'!$G:$G,$B$4),0)</f>
        <v>0</v>
      </c>
      <c r="E1499" s="3" t="str">
        <f ca="1">IFERROR(INDEX('Issuance Log'!$E:$E,MATCH(MAXIFS('Issuance Log'!$D:$D,'Issuance Log'!$B:$B,A1499,'Issuance Log'!$G:$G,$B$4),IF(('Issuance Log'!$B:$B=A1499)*('Issuance Log'!$G:$G=$B$4),'Issuance Log'!$D:$D),0)),"-")</f>
        <v>-</v>
      </c>
    </row>
    <row r="1500" spans="1:5" x14ac:dyDescent="0.25">
      <c r="A1500" s="4" t="s">
        <v>2925</v>
      </c>
      <c r="B1500" s="4" t="s">
        <v>2926</v>
      </c>
      <c r="C1500" s="5">
        <f>IFERROR(SUMIFS('Issuance Log'!$D:$D,'Issuance Log'!$B:$B,A1500,'Issuance Log'!$G:$G,$B$4),0)</f>
        <v>0</v>
      </c>
      <c r="D1500" s="5">
        <f>IFERROR(COUNTIFS('Issuance Log'!$B:$B,A1500,'Issuance Log'!$G:$G,$B$4),0)</f>
        <v>0</v>
      </c>
      <c r="E1500" s="5" t="str">
        <f ca="1">IFERROR(INDEX('Issuance Log'!$E:$E,MATCH(MAXIFS('Issuance Log'!$D:$D,'Issuance Log'!$B:$B,A1500,'Issuance Log'!$G:$G,$B$4),IF(('Issuance Log'!$B:$B=A1500)*('Issuance Log'!$G:$G=$B$4),'Issuance Log'!$D:$D),0)),"-")</f>
        <v>-</v>
      </c>
    </row>
    <row r="1501" spans="1:5" x14ac:dyDescent="0.25">
      <c r="A1501" s="2" t="s">
        <v>2927</v>
      </c>
      <c r="B1501" s="2" t="s">
        <v>2928</v>
      </c>
      <c r="C1501" s="3">
        <f>IFERROR(SUMIFS('Issuance Log'!$D:$D,'Issuance Log'!$B:$B,A1501,'Issuance Log'!$G:$G,$B$4),0)</f>
        <v>0</v>
      </c>
      <c r="D1501" s="3">
        <f>IFERROR(COUNTIFS('Issuance Log'!$B:$B,A1501,'Issuance Log'!$G:$G,$B$4),0)</f>
        <v>0</v>
      </c>
      <c r="E1501" s="3" t="str">
        <f ca="1">IFERROR(INDEX('Issuance Log'!$E:$E,MATCH(MAXIFS('Issuance Log'!$D:$D,'Issuance Log'!$B:$B,A1501,'Issuance Log'!$G:$G,$B$4),IF(('Issuance Log'!$B:$B=A1501)*('Issuance Log'!$G:$G=$B$4),'Issuance Log'!$D:$D),0)),"-")</f>
        <v>-</v>
      </c>
    </row>
    <row r="1502" spans="1:5" x14ac:dyDescent="0.25">
      <c r="A1502" s="4" t="s">
        <v>2929</v>
      </c>
      <c r="B1502" s="4" t="s">
        <v>2930</v>
      </c>
      <c r="C1502" s="5">
        <f>IFERROR(SUMIFS('Issuance Log'!$D:$D,'Issuance Log'!$B:$B,A1502,'Issuance Log'!$G:$G,$B$4),0)</f>
        <v>0</v>
      </c>
      <c r="D1502" s="5">
        <f>IFERROR(COUNTIFS('Issuance Log'!$B:$B,A1502,'Issuance Log'!$G:$G,$B$4),0)</f>
        <v>0</v>
      </c>
      <c r="E1502" s="5" t="str">
        <f ca="1">IFERROR(INDEX('Issuance Log'!$E:$E,MATCH(MAXIFS('Issuance Log'!$D:$D,'Issuance Log'!$B:$B,A1502,'Issuance Log'!$G:$G,$B$4),IF(('Issuance Log'!$B:$B=A1502)*('Issuance Log'!$G:$G=$B$4),'Issuance Log'!$D:$D),0)),"-")</f>
        <v>-</v>
      </c>
    </row>
    <row r="1503" spans="1:5" x14ac:dyDescent="0.25">
      <c r="A1503" s="2" t="s">
        <v>2931</v>
      </c>
      <c r="B1503" s="2" t="s">
        <v>2932</v>
      </c>
      <c r="C1503" s="3">
        <f>IFERROR(SUMIFS('Issuance Log'!$D:$D,'Issuance Log'!$B:$B,A1503,'Issuance Log'!$G:$G,$B$4),0)</f>
        <v>0</v>
      </c>
      <c r="D1503" s="3">
        <f>IFERROR(COUNTIFS('Issuance Log'!$B:$B,A1503,'Issuance Log'!$G:$G,$B$4),0)</f>
        <v>0</v>
      </c>
      <c r="E1503" s="3" t="str">
        <f ca="1">IFERROR(INDEX('Issuance Log'!$E:$E,MATCH(MAXIFS('Issuance Log'!$D:$D,'Issuance Log'!$B:$B,A1503,'Issuance Log'!$G:$G,$B$4),IF(('Issuance Log'!$B:$B=A1503)*('Issuance Log'!$G:$G=$B$4),'Issuance Log'!$D:$D),0)),"-")</f>
        <v>-</v>
      </c>
    </row>
    <row r="1504" spans="1:5" x14ac:dyDescent="0.25">
      <c r="A1504" s="4" t="s">
        <v>2933</v>
      </c>
      <c r="B1504" s="4" t="s">
        <v>2934</v>
      </c>
      <c r="C1504" s="5">
        <f>IFERROR(SUMIFS('Issuance Log'!$D:$D,'Issuance Log'!$B:$B,A1504,'Issuance Log'!$G:$G,$B$4),0)</f>
        <v>0</v>
      </c>
      <c r="D1504" s="5">
        <f>IFERROR(COUNTIFS('Issuance Log'!$B:$B,A1504,'Issuance Log'!$G:$G,$B$4),0)</f>
        <v>0</v>
      </c>
      <c r="E1504" s="5" t="str">
        <f ca="1">IFERROR(INDEX('Issuance Log'!$E:$E,MATCH(MAXIFS('Issuance Log'!$D:$D,'Issuance Log'!$B:$B,A1504,'Issuance Log'!$G:$G,$B$4),IF(('Issuance Log'!$B:$B=A1504)*('Issuance Log'!$G:$G=$B$4),'Issuance Log'!$D:$D),0)),"-")</f>
        <v>-</v>
      </c>
    </row>
    <row r="1505" spans="1:5" x14ac:dyDescent="0.25">
      <c r="A1505" s="2" t="s">
        <v>2935</v>
      </c>
      <c r="B1505" s="2" t="s">
        <v>2936</v>
      </c>
      <c r="C1505" s="3">
        <f>IFERROR(SUMIFS('Issuance Log'!$D:$D,'Issuance Log'!$B:$B,A1505,'Issuance Log'!$G:$G,$B$4),0)</f>
        <v>0</v>
      </c>
      <c r="D1505" s="3">
        <f>IFERROR(COUNTIFS('Issuance Log'!$B:$B,A1505,'Issuance Log'!$G:$G,$B$4),0)</f>
        <v>0</v>
      </c>
      <c r="E1505" s="3" t="str">
        <f ca="1">IFERROR(INDEX('Issuance Log'!$E:$E,MATCH(MAXIFS('Issuance Log'!$D:$D,'Issuance Log'!$B:$B,A1505,'Issuance Log'!$G:$G,$B$4),IF(('Issuance Log'!$B:$B=A1505)*('Issuance Log'!$G:$G=$B$4),'Issuance Log'!$D:$D),0)),"-")</f>
        <v>-</v>
      </c>
    </row>
    <row r="1506" spans="1:5" x14ac:dyDescent="0.25">
      <c r="A1506" s="4" t="s">
        <v>2937</v>
      </c>
      <c r="B1506" s="4" t="s">
        <v>2938</v>
      </c>
      <c r="C1506" s="5">
        <f>IFERROR(SUMIFS('Issuance Log'!$D:$D,'Issuance Log'!$B:$B,A1506,'Issuance Log'!$G:$G,$B$4),0)</f>
        <v>0</v>
      </c>
      <c r="D1506" s="5">
        <f>IFERROR(COUNTIFS('Issuance Log'!$B:$B,A1506,'Issuance Log'!$G:$G,$B$4),0)</f>
        <v>0</v>
      </c>
      <c r="E1506" s="5" t="str">
        <f ca="1">IFERROR(INDEX('Issuance Log'!$E:$E,MATCH(MAXIFS('Issuance Log'!$D:$D,'Issuance Log'!$B:$B,A1506,'Issuance Log'!$G:$G,$B$4),IF(('Issuance Log'!$B:$B=A1506)*('Issuance Log'!$G:$G=$B$4),'Issuance Log'!$D:$D),0)),"-")</f>
        <v>-</v>
      </c>
    </row>
    <row r="1507" spans="1:5" x14ac:dyDescent="0.25">
      <c r="A1507" s="2" t="s">
        <v>2939</v>
      </c>
      <c r="B1507" s="2" t="s">
        <v>2940</v>
      </c>
      <c r="C1507" s="3">
        <f>IFERROR(SUMIFS('Issuance Log'!$D:$D,'Issuance Log'!$B:$B,A1507,'Issuance Log'!$G:$G,$B$4),0)</f>
        <v>0</v>
      </c>
      <c r="D1507" s="3">
        <f>IFERROR(COUNTIFS('Issuance Log'!$B:$B,A1507,'Issuance Log'!$G:$G,$B$4),0)</f>
        <v>0</v>
      </c>
      <c r="E1507" s="3" t="str">
        <f ca="1">IFERROR(INDEX('Issuance Log'!$E:$E,MATCH(MAXIFS('Issuance Log'!$D:$D,'Issuance Log'!$B:$B,A1507,'Issuance Log'!$G:$G,$B$4),IF(('Issuance Log'!$B:$B=A1507)*('Issuance Log'!$G:$G=$B$4),'Issuance Log'!$D:$D),0)),"-")</f>
        <v>-</v>
      </c>
    </row>
    <row r="1508" spans="1:5" x14ac:dyDescent="0.25">
      <c r="A1508" s="4" t="s">
        <v>2941</v>
      </c>
      <c r="B1508" s="4" t="s">
        <v>2942</v>
      </c>
      <c r="C1508" s="5">
        <f>IFERROR(SUMIFS('Issuance Log'!$D:$D,'Issuance Log'!$B:$B,A1508,'Issuance Log'!$G:$G,$B$4),0)</f>
        <v>0</v>
      </c>
      <c r="D1508" s="5">
        <f>IFERROR(COUNTIFS('Issuance Log'!$B:$B,A1508,'Issuance Log'!$G:$G,$B$4),0)</f>
        <v>0</v>
      </c>
      <c r="E1508" s="5" t="str">
        <f ca="1">IFERROR(INDEX('Issuance Log'!$E:$E,MATCH(MAXIFS('Issuance Log'!$D:$D,'Issuance Log'!$B:$B,A1508,'Issuance Log'!$G:$G,$B$4),IF(('Issuance Log'!$B:$B=A1508)*('Issuance Log'!$G:$G=$B$4),'Issuance Log'!$D:$D),0)),"-")</f>
        <v>-</v>
      </c>
    </row>
    <row r="1509" spans="1:5" x14ac:dyDescent="0.25">
      <c r="A1509" s="2" t="s">
        <v>2943</v>
      </c>
      <c r="B1509" s="2" t="s">
        <v>2944</v>
      </c>
      <c r="C1509" s="3">
        <f>IFERROR(SUMIFS('Issuance Log'!$D:$D,'Issuance Log'!$B:$B,A1509,'Issuance Log'!$G:$G,$B$4),0)</f>
        <v>0</v>
      </c>
      <c r="D1509" s="3">
        <f>IFERROR(COUNTIFS('Issuance Log'!$B:$B,A1509,'Issuance Log'!$G:$G,$B$4),0)</f>
        <v>0</v>
      </c>
      <c r="E1509" s="3" t="str">
        <f ca="1">IFERROR(INDEX('Issuance Log'!$E:$E,MATCH(MAXIFS('Issuance Log'!$D:$D,'Issuance Log'!$B:$B,A1509,'Issuance Log'!$G:$G,$B$4),IF(('Issuance Log'!$B:$B=A1509)*('Issuance Log'!$G:$G=$B$4),'Issuance Log'!$D:$D),0)),"-")</f>
        <v>-</v>
      </c>
    </row>
    <row r="1510" spans="1:5" x14ac:dyDescent="0.25">
      <c r="A1510" s="4" t="s">
        <v>2945</v>
      </c>
      <c r="B1510" s="4" t="s">
        <v>2946</v>
      </c>
      <c r="C1510" s="5">
        <f>IFERROR(SUMIFS('Issuance Log'!$D:$D,'Issuance Log'!$B:$B,A1510,'Issuance Log'!$G:$G,$B$4),0)</f>
        <v>0</v>
      </c>
      <c r="D1510" s="5">
        <f>IFERROR(COUNTIFS('Issuance Log'!$B:$B,A1510,'Issuance Log'!$G:$G,$B$4),0)</f>
        <v>0</v>
      </c>
      <c r="E1510" s="5" t="str">
        <f ca="1">IFERROR(INDEX('Issuance Log'!$E:$E,MATCH(MAXIFS('Issuance Log'!$D:$D,'Issuance Log'!$B:$B,A1510,'Issuance Log'!$G:$G,$B$4),IF(('Issuance Log'!$B:$B=A1510)*('Issuance Log'!$G:$G=$B$4),'Issuance Log'!$D:$D),0)),"-")</f>
        <v>-</v>
      </c>
    </row>
    <row r="1511" spans="1:5" x14ac:dyDescent="0.25">
      <c r="A1511" s="2" t="s">
        <v>2947</v>
      </c>
      <c r="B1511" s="2" t="s">
        <v>2948</v>
      </c>
      <c r="C1511" s="3">
        <f>IFERROR(SUMIFS('Issuance Log'!$D:$D,'Issuance Log'!$B:$B,A1511,'Issuance Log'!$G:$G,$B$4),0)</f>
        <v>0</v>
      </c>
      <c r="D1511" s="3">
        <f>IFERROR(COUNTIFS('Issuance Log'!$B:$B,A1511,'Issuance Log'!$G:$G,$B$4),0)</f>
        <v>0</v>
      </c>
      <c r="E1511" s="3" t="str">
        <f ca="1">IFERROR(INDEX('Issuance Log'!$E:$E,MATCH(MAXIFS('Issuance Log'!$D:$D,'Issuance Log'!$B:$B,A1511,'Issuance Log'!$G:$G,$B$4),IF(('Issuance Log'!$B:$B=A1511)*('Issuance Log'!$G:$G=$B$4),'Issuance Log'!$D:$D),0)),"-")</f>
        <v>-</v>
      </c>
    </row>
    <row r="1512" spans="1:5" x14ac:dyDescent="0.25">
      <c r="A1512" s="4" t="s">
        <v>2949</v>
      </c>
      <c r="B1512" s="4" t="s">
        <v>2950</v>
      </c>
      <c r="C1512" s="5">
        <f>IFERROR(SUMIFS('Issuance Log'!$D:$D,'Issuance Log'!$B:$B,A1512,'Issuance Log'!$G:$G,$B$4),0)</f>
        <v>0</v>
      </c>
      <c r="D1512" s="5">
        <f>IFERROR(COUNTIFS('Issuance Log'!$B:$B,A1512,'Issuance Log'!$G:$G,$B$4),0)</f>
        <v>0</v>
      </c>
      <c r="E1512" s="5" t="str">
        <f ca="1">IFERROR(INDEX('Issuance Log'!$E:$E,MATCH(MAXIFS('Issuance Log'!$D:$D,'Issuance Log'!$B:$B,A1512,'Issuance Log'!$G:$G,$B$4),IF(('Issuance Log'!$B:$B=A1512)*('Issuance Log'!$G:$G=$B$4),'Issuance Log'!$D:$D),0)),"-")</f>
        <v>-</v>
      </c>
    </row>
    <row r="1513" spans="1:5" x14ac:dyDescent="0.25">
      <c r="A1513" s="2" t="s">
        <v>2951</v>
      </c>
      <c r="B1513" s="2" t="s">
        <v>2952</v>
      </c>
      <c r="C1513" s="3">
        <f>IFERROR(SUMIFS('Issuance Log'!$D:$D,'Issuance Log'!$B:$B,A1513,'Issuance Log'!$G:$G,$B$4),0)</f>
        <v>0</v>
      </c>
      <c r="D1513" s="3">
        <f>IFERROR(COUNTIFS('Issuance Log'!$B:$B,A1513,'Issuance Log'!$G:$G,$B$4),0)</f>
        <v>0</v>
      </c>
      <c r="E1513" s="3" t="str">
        <f ca="1">IFERROR(INDEX('Issuance Log'!$E:$E,MATCH(MAXIFS('Issuance Log'!$D:$D,'Issuance Log'!$B:$B,A1513,'Issuance Log'!$G:$G,$B$4),IF(('Issuance Log'!$B:$B=A1513)*('Issuance Log'!$G:$G=$B$4),'Issuance Log'!$D:$D),0)),"-")</f>
        <v>-</v>
      </c>
    </row>
    <row r="1514" spans="1:5" x14ac:dyDescent="0.25">
      <c r="A1514" s="4" t="s">
        <v>2953</v>
      </c>
      <c r="B1514" s="4" t="s">
        <v>2954</v>
      </c>
      <c r="C1514" s="5">
        <f>IFERROR(SUMIFS('Issuance Log'!$D:$D,'Issuance Log'!$B:$B,A1514,'Issuance Log'!$G:$G,$B$4),0)</f>
        <v>0</v>
      </c>
      <c r="D1514" s="5">
        <f>IFERROR(COUNTIFS('Issuance Log'!$B:$B,A1514,'Issuance Log'!$G:$G,$B$4),0)</f>
        <v>0</v>
      </c>
      <c r="E1514" s="5" t="str">
        <f ca="1">IFERROR(INDEX('Issuance Log'!$E:$E,MATCH(MAXIFS('Issuance Log'!$D:$D,'Issuance Log'!$B:$B,A1514,'Issuance Log'!$G:$G,$B$4),IF(('Issuance Log'!$B:$B=A1514)*('Issuance Log'!$G:$G=$B$4),'Issuance Log'!$D:$D),0)),"-")</f>
        <v>-</v>
      </c>
    </row>
    <row r="1515" spans="1:5" x14ac:dyDescent="0.25">
      <c r="A1515" s="2" t="s">
        <v>2955</v>
      </c>
      <c r="B1515" s="2" t="s">
        <v>2956</v>
      </c>
      <c r="C1515" s="3">
        <f>IFERROR(SUMIFS('Issuance Log'!$D:$D,'Issuance Log'!$B:$B,A1515,'Issuance Log'!$G:$G,$B$4),0)</f>
        <v>0</v>
      </c>
      <c r="D1515" s="3">
        <f>IFERROR(COUNTIFS('Issuance Log'!$B:$B,A1515,'Issuance Log'!$G:$G,$B$4),0)</f>
        <v>0</v>
      </c>
      <c r="E1515" s="3" t="str">
        <f ca="1">IFERROR(INDEX('Issuance Log'!$E:$E,MATCH(MAXIFS('Issuance Log'!$D:$D,'Issuance Log'!$B:$B,A1515,'Issuance Log'!$G:$G,$B$4),IF(('Issuance Log'!$B:$B=A1515)*('Issuance Log'!$G:$G=$B$4),'Issuance Log'!$D:$D),0)),"-")</f>
        <v>-</v>
      </c>
    </row>
    <row r="1516" spans="1:5" x14ac:dyDescent="0.25">
      <c r="A1516" s="4" t="s">
        <v>2957</v>
      </c>
      <c r="B1516" s="4" t="s">
        <v>2958</v>
      </c>
      <c r="C1516" s="5">
        <f>IFERROR(SUMIFS('Issuance Log'!$D:$D,'Issuance Log'!$B:$B,A1516,'Issuance Log'!$G:$G,$B$4),0)</f>
        <v>0</v>
      </c>
      <c r="D1516" s="5">
        <f>IFERROR(COUNTIFS('Issuance Log'!$B:$B,A1516,'Issuance Log'!$G:$G,$B$4),0)</f>
        <v>0</v>
      </c>
      <c r="E1516" s="5" t="str">
        <f ca="1">IFERROR(INDEX('Issuance Log'!$E:$E,MATCH(MAXIFS('Issuance Log'!$D:$D,'Issuance Log'!$B:$B,A1516,'Issuance Log'!$G:$G,$B$4),IF(('Issuance Log'!$B:$B=A1516)*('Issuance Log'!$G:$G=$B$4),'Issuance Log'!$D:$D),0)),"-")</f>
        <v>-</v>
      </c>
    </row>
    <row r="1517" spans="1:5" x14ac:dyDescent="0.25">
      <c r="A1517" s="2" t="s">
        <v>2959</v>
      </c>
      <c r="B1517" s="2" t="s">
        <v>2960</v>
      </c>
      <c r="C1517" s="3">
        <f>IFERROR(SUMIFS('Issuance Log'!$D:$D,'Issuance Log'!$B:$B,A1517,'Issuance Log'!$G:$G,$B$4),0)</f>
        <v>0</v>
      </c>
      <c r="D1517" s="3">
        <f>IFERROR(COUNTIFS('Issuance Log'!$B:$B,A1517,'Issuance Log'!$G:$G,$B$4),0)</f>
        <v>0</v>
      </c>
      <c r="E1517" s="3" t="str">
        <f ca="1">IFERROR(INDEX('Issuance Log'!$E:$E,MATCH(MAXIFS('Issuance Log'!$D:$D,'Issuance Log'!$B:$B,A1517,'Issuance Log'!$G:$G,$B$4),IF(('Issuance Log'!$B:$B=A1517)*('Issuance Log'!$G:$G=$B$4),'Issuance Log'!$D:$D),0)),"-")</f>
        <v>-</v>
      </c>
    </row>
    <row r="1518" spans="1:5" x14ac:dyDescent="0.25">
      <c r="A1518" s="4" t="s">
        <v>2961</v>
      </c>
      <c r="B1518" s="4" t="s">
        <v>2962</v>
      </c>
      <c r="C1518" s="5">
        <f>IFERROR(SUMIFS('Issuance Log'!$D:$D,'Issuance Log'!$B:$B,A1518,'Issuance Log'!$G:$G,$B$4),0)</f>
        <v>0</v>
      </c>
      <c r="D1518" s="5">
        <f>IFERROR(COUNTIFS('Issuance Log'!$B:$B,A1518,'Issuance Log'!$G:$G,$B$4),0)</f>
        <v>0</v>
      </c>
      <c r="E1518" s="5" t="str">
        <f ca="1">IFERROR(INDEX('Issuance Log'!$E:$E,MATCH(MAXIFS('Issuance Log'!$D:$D,'Issuance Log'!$B:$B,A1518,'Issuance Log'!$G:$G,$B$4),IF(('Issuance Log'!$B:$B=A1518)*('Issuance Log'!$G:$G=$B$4),'Issuance Log'!$D:$D),0)),"-")</f>
        <v>-</v>
      </c>
    </row>
    <row r="1519" spans="1:5" x14ac:dyDescent="0.25">
      <c r="A1519" s="2" t="s">
        <v>2963</v>
      </c>
      <c r="B1519" s="2" t="s">
        <v>2964</v>
      </c>
      <c r="C1519" s="3">
        <f>IFERROR(SUMIFS('Issuance Log'!$D:$D,'Issuance Log'!$B:$B,A1519,'Issuance Log'!$G:$G,$B$4),0)</f>
        <v>0</v>
      </c>
      <c r="D1519" s="3">
        <f>IFERROR(COUNTIFS('Issuance Log'!$B:$B,A1519,'Issuance Log'!$G:$G,$B$4),0)</f>
        <v>0</v>
      </c>
      <c r="E1519" s="3" t="str">
        <f ca="1">IFERROR(INDEX('Issuance Log'!$E:$E,MATCH(MAXIFS('Issuance Log'!$D:$D,'Issuance Log'!$B:$B,A1519,'Issuance Log'!$G:$G,$B$4),IF(('Issuance Log'!$B:$B=A1519)*('Issuance Log'!$G:$G=$B$4),'Issuance Log'!$D:$D),0)),"-")</f>
        <v>-</v>
      </c>
    </row>
    <row r="1520" spans="1:5" x14ac:dyDescent="0.25">
      <c r="A1520" s="4" t="s">
        <v>2965</v>
      </c>
      <c r="B1520" s="4" t="s">
        <v>2966</v>
      </c>
      <c r="C1520" s="5">
        <f>IFERROR(SUMIFS('Issuance Log'!$D:$D,'Issuance Log'!$B:$B,A1520,'Issuance Log'!$G:$G,$B$4),0)</f>
        <v>0</v>
      </c>
      <c r="D1520" s="5">
        <f>IFERROR(COUNTIFS('Issuance Log'!$B:$B,A1520,'Issuance Log'!$G:$G,$B$4),0)</f>
        <v>0</v>
      </c>
      <c r="E1520" s="5" t="str">
        <f ca="1">IFERROR(INDEX('Issuance Log'!$E:$E,MATCH(MAXIFS('Issuance Log'!$D:$D,'Issuance Log'!$B:$B,A1520,'Issuance Log'!$G:$G,$B$4),IF(('Issuance Log'!$B:$B=A1520)*('Issuance Log'!$G:$G=$B$4),'Issuance Log'!$D:$D),0)),"-")</f>
        <v>-</v>
      </c>
    </row>
    <row r="1521" spans="1:5" x14ac:dyDescent="0.25">
      <c r="A1521" s="2" t="s">
        <v>2967</v>
      </c>
      <c r="B1521" s="2" t="s">
        <v>2968</v>
      </c>
      <c r="C1521" s="3">
        <f>IFERROR(SUMIFS('Issuance Log'!$D:$D,'Issuance Log'!$B:$B,A1521,'Issuance Log'!$G:$G,$B$4),0)</f>
        <v>0</v>
      </c>
      <c r="D1521" s="3">
        <f>IFERROR(COUNTIFS('Issuance Log'!$B:$B,A1521,'Issuance Log'!$G:$G,$B$4),0)</f>
        <v>0</v>
      </c>
      <c r="E1521" s="3" t="str">
        <f ca="1">IFERROR(INDEX('Issuance Log'!$E:$E,MATCH(MAXIFS('Issuance Log'!$D:$D,'Issuance Log'!$B:$B,A1521,'Issuance Log'!$G:$G,$B$4),IF(('Issuance Log'!$B:$B=A1521)*('Issuance Log'!$G:$G=$B$4),'Issuance Log'!$D:$D),0)),"-")</f>
        <v>-</v>
      </c>
    </row>
    <row r="1522" spans="1:5" x14ac:dyDescent="0.25">
      <c r="A1522" s="4" t="s">
        <v>2969</v>
      </c>
      <c r="B1522" s="4" t="s">
        <v>2970</v>
      </c>
      <c r="C1522" s="5">
        <f>IFERROR(SUMIFS('Issuance Log'!$D:$D,'Issuance Log'!$B:$B,A1522,'Issuance Log'!$G:$G,$B$4),0)</f>
        <v>0</v>
      </c>
      <c r="D1522" s="5">
        <f>IFERROR(COUNTIFS('Issuance Log'!$B:$B,A1522,'Issuance Log'!$G:$G,$B$4),0)</f>
        <v>0</v>
      </c>
      <c r="E1522" s="5" t="str">
        <f ca="1">IFERROR(INDEX('Issuance Log'!$E:$E,MATCH(MAXIFS('Issuance Log'!$D:$D,'Issuance Log'!$B:$B,A1522,'Issuance Log'!$G:$G,$B$4),IF(('Issuance Log'!$B:$B=A1522)*('Issuance Log'!$G:$G=$B$4),'Issuance Log'!$D:$D),0)),"-")</f>
        <v>-</v>
      </c>
    </row>
    <row r="1523" spans="1:5" x14ac:dyDescent="0.25">
      <c r="A1523" s="2" t="s">
        <v>2971</v>
      </c>
      <c r="B1523" s="2" t="s">
        <v>2972</v>
      </c>
      <c r="C1523" s="3">
        <f>IFERROR(SUMIFS('Issuance Log'!$D:$D,'Issuance Log'!$B:$B,A1523,'Issuance Log'!$G:$G,$B$4),0)</f>
        <v>0</v>
      </c>
      <c r="D1523" s="3">
        <f>IFERROR(COUNTIFS('Issuance Log'!$B:$B,A1523,'Issuance Log'!$G:$G,$B$4),0)</f>
        <v>0</v>
      </c>
      <c r="E1523" s="3" t="str">
        <f ca="1">IFERROR(INDEX('Issuance Log'!$E:$E,MATCH(MAXIFS('Issuance Log'!$D:$D,'Issuance Log'!$B:$B,A1523,'Issuance Log'!$G:$G,$B$4),IF(('Issuance Log'!$B:$B=A1523)*('Issuance Log'!$G:$G=$B$4),'Issuance Log'!$D:$D),0)),"-")</f>
        <v>-</v>
      </c>
    </row>
    <row r="1524" spans="1:5" x14ac:dyDescent="0.25">
      <c r="A1524" s="4" t="s">
        <v>2973</v>
      </c>
      <c r="B1524" s="4" t="s">
        <v>2974</v>
      </c>
      <c r="C1524" s="5">
        <f>IFERROR(SUMIFS('Issuance Log'!$D:$D,'Issuance Log'!$B:$B,A1524,'Issuance Log'!$G:$G,$B$4),0)</f>
        <v>0</v>
      </c>
      <c r="D1524" s="5">
        <f>IFERROR(COUNTIFS('Issuance Log'!$B:$B,A1524,'Issuance Log'!$G:$G,$B$4),0)</f>
        <v>0</v>
      </c>
      <c r="E1524" s="5" t="str">
        <f ca="1">IFERROR(INDEX('Issuance Log'!$E:$E,MATCH(MAXIFS('Issuance Log'!$D:$D,'Issuance Log'!$B:$B,A1524,'Issuance Log'!$G:$G,$B$4),IF(('Issuance Log'!$B:$B=A1524)*('Issuance Log'!$G:$G=$B$4),'Issuance Log'!$D:$D),0)),"-")</f>
        <v>-</v>
      </c>
    </row>
    <row r="1525" spans="1:5" x14ac:dyDescent="0.25">
      <c r="A1525" s="2" t="s">
        <v>2975</v>
      </c>
      <c r="B1525" s="2" t="s">
        <v>2976</v>
      </c>
      <c r="C1525" s="3">
        <f>IFERROR(SUMIFS('Issuance Log'!$D:$D,'Issuance Log'!$B:$B,A1525,'Issuance Log'!$G:$G,$B$4),0)</f>
        <v>0</v>
      </c>
      <c r="D1525" s="3">
        <f>IFERROR(COUNTIFS('Issuance Log'!$B:$B,A1525,'Issuance Log'!$G:$G,$B$4),0)</f>
        <v>0</v>
      </c>
      <c r="E1525" s="3" t="str">
        <f ca="1">IFERROR(INDEX('Issuance Log'!$E:$E,MATCH(MAXIFS('Issuance Log'!$D:$D,'Issuance Log'!$B:$B,A1525,'Issuance Log'!$G:$G,$B$4),IF(('Issuance Log'!$B:$B=A1525)*('Issuance Log'!$G:$G=$B$4),'Issuance Log'!$D:$D),0)),"-")</f>
        <v>-</v>
      </c>
    </row>
    <row r="1526" spans="1:5" x14ac:dyDescent="0.25">
      <c r="A1526" s="4" t="s">
        <v>2977</v>
      </c>
      <c r="B1526" s="4" t="s">
        <v>2978</v>
      </c>
      <c r="C1526" s="5">
        <f>IFERROR(SUMIFS('Issuance Log'!$D:$D,'Issuance Log'!$B:$B,A1526,'Issuance Log'!$G:$G,$B$4),0)</f>
        <v>0</v>
      </c>
      <c r="D1526" s="5">
        <f>IFERROR(COUNTIFS('Issuance Log'!$B:$B,A1526,'Issuance Log'!$G:$G,$B$4),0)</f>
        <v>0</v>
      </c>
      <c r="E1526" s="5" t="str">
        <f ca="1">IFERROR(INDEX('Issuance Log'!$E:$E,MATCH(MAXIFS('Issuance Log'!$D:$D,'Issuance Log'!$B:$B,A1526,'Issuance Log'!$G:$G,$B$4),IF(('Issuance Log'!$B:$B=A1526)*('Issuance Log'!$G:$G=$B$4),'Issuance Log'!$D:$D),0)),"-")</f>
        <v>-</v>
      </c>
    </row>
    <row r="1527" spans="1:5" x14ac:dyDescent="0.25">
      <c r="A1527" s="2" t="s">
        <v>2979</v>
      </c>
      <c r="B1527" s="2" t="s">
        <v>2980</v>
      </c>
      <c r="C1527" s="3">
        <f>IFERROR(SUMIFS('Issuance Log'!$D:$D,'Issuance Log'!$B:$B,A1527,'Issuance Log'!$G:$G,$B$4),0)</f>
        <v>0</v>
      </c>
      <c r="D1527" s="3">
        <f>IFERROR(COUNTIFS('Issuance Log'!$B:$B,A1527,'Issuance Log'!$G:$G,$B$4),0)</f>
        <v>0</v>
      </c>
      <c r="E1527" s="3" t="str">
        <f ca="1">IFERROR(INDEX('Issuance Log'!$E:$E,MATCH(MAXIFS('Issuance Log'!$D:$D,'Issuance Log'!$B:$B,A1527,'Issuance Log'!$G:$G,$B$4),IF(('Issuance Log'!$B:$B=A1527)*('Issuance Log'!$G:$G=$B$4),'Issuance Log'!$D:$D),0)),"-")</f>
        <v>-</v>
      </c>
    </row>
    <row r="1528" spans="1:5" x14ac:dyDescent="0.25">
      <c r="A1528" s="4" t="s">
        <v>2981</v>
      </c>
      <c r="B1528" s="4" t="s">
        <v>2982</v>
      </c>
      <c r="C1528" s="5">
        <f>IFERROR(SUMIFS('Issuance Log'!$D:$D,'Issuance Log'!$B:$B,A1528,'Issuance Log'!$G:$G,$B$4),0)</f>
        <v>0</v>
      </c>
      <c r="D1528" s="5">
        <f>IFERROR(COUNTIFS('Issuance Log'!$B:$B,A1528,'Issuance Log'!$G:$G,$B$4),0)</f>
        <v>0</v>
      </c>
      <c r="E1528" s="5" t="str">
        <f ca="1">IFERROR(INDEX('Issuance Log'!$E:$E,MATCH(MAXIFS('Issuance Log'!$D:$D,'Issuance Log'!$B:$B,A1528,'Issuance Log'!$G:$G,$B$4),IF(('Issuance Log'!$B:$B=A1528)*('Issuance Log'!$G:$G=$B$4),'Issuance Log'!$D:$D),0)),"-")</f>
        <v>-</v>
      </c>
    </row>
    <row r="1529" spans="1:5" x14ac:dyDescent="0.25">
      <c r="A1529" s="2" t="s">
        <v>2983</v>
      </c>
      <c r="B1529" s="2" t="s">
        <v>2984</v>
      </c>
      <c r="C1529" s="3">
        <f>IFERROR(SUMIFS('Issuance Log'!$D:$D,'Issuance Log'!$B:$B,A1529,'Issuance Log'!$G:$G,$B$4),0)</f>
        <v>0</v>
      </c>
      <c r="D1529" s="3">
        <f>IFERROR(COUNTIFS('Issuance Log'!$B:$B,A1529,'Issuance Log'!$G:$G,$B$4),0)</f>
        <v>0</v>
      </c>
      <c r="E1529" s="3" t="str">
        <f ca="1">IFERROR(INDEX('Issuance Log'!$E:$E,MATCH(MAXIFS('Issuance Log'!$D:$D,'Issuance Log'!$B:$B,A1529,'Issuance Log'!$G:$G,$B$4),IF(('Issuance Log'!$B:$B=A1529)*('Issuance Log'!$G:$G=$B$4),'Issuance Log'!$D:$D),0)),"-")</f>
        <v>-</v>
      </c>
    </row>
    <row r="1530" spans="1:5" x14ac:dyDescent="0.25">
      <c r="A1530" s="4" t="s">
        <v>2985</v>
      </c>
      <c r="B1530" s="4" t="s">
        <v>2986</v>
      </c>
      <c r="C1530" s="5">
        <f>IFERROR(SUMIFS('Issuance Log'!$D:$D,'Issuance Log'!$B:$B,A1530,'Issuance Log'!$G:$G,$B$4),0)</f>
        <v>0</v>
      </c>
      <c r="D1530" s="5">
        <f>IFERROR(COUNTIFS('Issuance Log'!$B:$B,A1530,'Issuance Log'!$G:$G,$B$4),0)</f>
        <v>0</v>
      </c>
      <c r="E1530" s="5" t="str">
        <f ca="1">IFERROR(INDEX('Issuance Log'!$E:$E,MATCH(MAXIFS('Issuance Log'!$D:$D,'Issuance Log'!$B:$B,A1530,'Issuance Log'!$G:$G,$B$4),IF(('Issuance Log'!$B:$B=A1530)*('Issuance Log'!$G:$G=$B$4),'Issuance Log'!$D:$D),0)),"-")</f>
        <v>-</v>
      </c>
    </row>
    <row r="1531" spans="1:5" x14ac:dyDescent="0.25">
      <c r="A1531" s="2" t="s">
        <v>2987</v>
      </c>
      <c r="B1531" s="2" t="s">
        <v>2988</v>
      </c>
      <c r="C1531" s="3">
        <f>IFERROR(SUMIFS('Issuance Log'!$D:$D,'Issuance Log'!$B:$B,A1531,'Issuance Log'!$G:$G,$B$4),0)</f>
        <v>0</v>
      </c>
      <c r="D1531" s="3">
        <f>IFERROR(COUNTIFS('Issuance Log'!$B:$B,A1531,'Issuance Log'!$G:$G,$B$4),0)</f>
        <v>0</v>
      </c>
      <c r="E1531" s="3" t="str">
        <f ca="1">IFERROR(INDEX('Issuance Log'!$E:$E,MATCH(MAXIFS('Issuance Log'!$D:$D,'Issuance Log'!$B:$B,A1531,'Issuance Log'!$G:$G,$B$4),IF(('Issuance Log'!$B:$B=A1531)*('Issuance Log'!$G:$G=$B$4),'Issuance Log'!$D:$D),0)),"-")</f>
        <v>-</v>
      </c>
    </row>
    <row r="1532" spans="1:5" x14ac:dyDescent="0.25">
      <c r="A1532" s="4" t="s">
        <v>2989</v>
      </c>
      <c r="B1532" s="4" t="s">
        <v>2990</v>
      </c>
      <c r="C1532" s="5">
        <f>IFERROR(SUMIFS('Issuance Log'!$D:$D,'Issuance Log'!$B:$B,A1532,'Issuance Log'!$G:$G,$B$4),0)</f>
        <v>0</v>
      </c>
      <c r="D1532" s="5">
        <f>IFERROR(COUNTIFS('Issuance Log'!$B:$B,A1532,'Issuance Log'!$G:$G,$B$4),0)</f>
        <v>0</v>
      </c>
      <c r="E1532" s="5" t="str">
        <f ca="1">IFERROR(INDEX('Issuance Log'!$E:$E,MATCH(MAXIFS('Issuance Log'!$D:$D,'Issuance Log'!$B:$B,A1532,'Issuance Log'!$G:$G,$B$4),IF(('Issuance Log'!$B:$B=A1532)*('Issuance Log'!$G:$G=$B$4),'Issuance Log'!$D:$D),0)),"-")</f>
        <v>-</v>
      </c>
    </row>
    <row r="1533" spans="1:5" x14ac:dyDescent="0.25">
      <c r="A1533" s="2" t="s">
        <v>2991</v>
      </c>
      <c r="B1533" s="2" t="s">
        <v>2992</v>
      </c>
      <c r="C1533" s="3">
        <f>IFERROR(SUMIFS('Issuance Log'!$D:$D,'Issuance Log'!$B:$B,A1533,'Issuance Log'!$G:$G,$B$4),0)</f>
        <v>0</v>
      </c>
      <c r="D1533" s="3">
        <f>IFERROR(COUNTIFS('Issuance Log'!$B:$B,A1533,'Issuance Log'!$G:$G,$B$4),0)</f>
        <v>0</v>
      </c>
      <c r="E1533" s="3" t="str">
        <f ca="1">IFERROR(INDEX('Issuance Log'!$E:$E,MATCH(MAXIFS('Issuance Log'!$D:$D,'Issuance Log'!$B:$B,A1533,'Issuance Log'!$G:$G,$B$4),IF(('Issuance Log'!$B:$B=A1533)*('Issuance Log'!$G:$G=$B$4),'Issuance Log'!$D:$D),0)),"-")</f>
        <v>-</v>
      </c>
    </row>
    <row r="1534" spans="1:5" x14ac:dyDescent="0.25">
      <c r="A1534" s="4" t="s">
        <v>2993</v>
      </c>
      <c r="B1534" s="4" t="s">
        <v>2994</v>
      </c>
      <c r="C1534" s="5">
        <f>IFERROR(SUMIFS('Issuance Log'!$D:$D,'Issuance Log'!$B:$B,A1534,'Issuance Log'!$G:$G,$B$4),0)</f>
        <v>0</v>
      </c>
      <c r="D1534" s="5">
        <f>IFERROR(COUNTIFS('Issuance Log'!$B:$B,A1534,'Issuance Log'!$G:$G,$B$4),0)</f>
        <v>0</v>
      </c>
      <c r="E1534" s="5" t="str">
        <f ca="1">IFERROR(INDEX('Issuance Log'!$E:$E,MATCH(MAXIFS('Issuance Log'!$D:$D,'Issuance Log'!$B:$B,A1534,'Issuance Log'!$G:$G,$B$4),IF(('Issuance Log'!$B:$B=A1534)*('Issuance Log'!$G:$G=$B$4),'Issuance Log'!$D:$D),0)),"-")</f>
        <v>-</v>
      </c>
    </row>
    <row r="1535" spans="1:5" x14ac:dyDescent="0.25">
      <c r="A1535" s="2" t="s">
        <v>2995</v>
      </c>
      <c r="B1535" s="2" t="s">
        <v>2996</v>
      </c>
      <c r="C1535" s="3">
        <f>IFERROR(SUMIFS('Issuance Log'!$D:$D,'Issuance Log'!$B:$B,A1535,'Issuance Log'!$G:$G,$B$4),0)</f>
        <v>0</v>
      </c>
      <c r="D1535" s="3">
        <f>IFERROR(COUNTIFS('Issuance Log'!$B:$B,A1535,'Issuance Log'!$G:$G,$B$4),0)</f>
        <v>0</v>
      </c>
      <c r="E1535" s="3" t="str">
        <f ca="1">IFERROR(INDEX('Issuance Log'!$E:$E,MATCH(MAXIFS('Issuance Log'!$D:$D,'Issuance Log'!$B:$B,A1535,'Issuance Log'!$G:$G,$B$4),IF(('Issuance Log'!$B:$B=A1535)*('Issuance Log'!$G:$G=$B$4),'Issuance Log'!$D:$D),0)),"-")</f>
        <v>-</v>
      </c>
    </row>
    <row r="1536" spans="1:5" x14ac:dyDescent="0.25">
      <c r="A1536" s="4" t="s">
        <v>2997</v>
      </c>
      <c r="B1536" s="4" t="s">
        <v>2998</v>
      </c>
      <c r="C1536" s="5">
        <f>IFERROR(SUMIFS('Issuance Log'!$D:$D,'Issuance Log'!$B:$B,A1536,'Issuance Log'!$G:$G,$B$4),0)</f>
        <v>0</v>
      </c>
      <c r="D1536" s="5">
        <f>IFERROR(COUNTIFS('Issuance Log'!$B:$B,A1536,'Issuance Log'!$G:$G,$B$4),0)</f>
        <v>0</v>
      </c>
      <c r="E1536" s="5" t="str">
        <f ca="1">IFERROR(INDEX('Issuance Log'!$E:$E,MATCH(MAXIFS('Issuance Log'!$D:$D,'Issuance Log'!$B:$B,A1536,'Issuance Log'!$G:$G,$B$4),IF(('Issuance Log'!$B:$B=A1536)*('Issuance Log'!$G:$G=$B$4),'Issuance Log'!$D:$D),0)),"-")</f>
        <v>-</v>
      </c>
    </row>
    <row r="1537" spans="1:5" x14ac:dyDescent="0.25">
      <c r="A1537" s="2" t="s">
        <v>2999</v>
      </c>
      <c r="B1537" s="2" t="s">
        <v>3000</v>
      </c>
      <c r="C1537" s="3">
        <f>IFERROR(SUMIFS('Issuance Log'!$D:$D,'Issuance Log'!$B:$B,A1537,'Issuance Log'!$G:$G,$B$4),0)</f>
        <v>0</v>
      </c>
      <c r="D1537" s="3">
        <f>IFERROR(COUNTIFS('Issuance Log'!$B:$B,A1537,'Issuance Log'!$G:$G,$B$4),0)</f>
        <v>0</v>
      </c>
      <c r="E1537" s="3" t="str">
        <f ca="1">IFERROR(INDEX('Issuance Log'!$E:$E,MATCH(MAXIFS('Issuance Log'!$D:$D,'Issuance Log'!$B:$B,A1537,'Issuance Log'!$G:$G,$B$4),IF(('Issuance Log'!$B:$B=A1537)*('Issuance Log'!$G:$G=$B$4),'Issuance Log'!$D:$D),0)),"-")</f>
        <v>-</v>
      </c>
    </row>
    <row r="1538" spans="1:5" x14ac:dyDescent="0.25">
      <c r="A1538" s="4" t="s">
        <v>3001</v>
      </c>
      <c r="B1538" s="4" t="s">
        <v>3002</v>
      </c>
      <c r="C1538" s="5">
        <f>IFERROR(SUMIFS('Issuance Log'!$D:$D,'Issuance Log'!$B:$B,A1538,'Issuance Log'!$G:$G,$B$4),0)</f>
        <v>0</v>
      </c>
      <c r="D1538" s="5">
        <f>IFERROR(COUNTIFS('Issuance Log'!$B:$B,A1538,'Issuance Log'!$G:$G,$B$4),0)</f>
        <v>0</v>
      </c>
      <c r="E1538" s="5" t="str">
        <f ca="1">IFERROR(INDEX('Issuance Log'!$E:$E,MATCH(MAXIFS('Issuance Log'!$D:$D,'Issuance Log'!$B:$B,A1538,'Issuance Log'!$G:$G,$B$4),IF(('Issuance Log'!$B:$B=A1538)*('Issuance Log'!$G:$G=$B$4),'Issuance Log'!$D:$D),0)),"-")</f>
        <v>-</v>
      </c>
    </row>
    <row r="1539" spans="1:5" x14ac:dyDescent="0.25">
      <c r="A1539" s="2" t="s">
        <v>3003</v>
      </c>
      <c r="B1539" s="2" t="s">
        <v>237</v>
      </c>
      <c r="C1539" s="3">
        <f>IFERROR(SUMIFS('Issuance Log'!$D:$D,'Issuance Log'!$B:$B,A1539,'Issuance Log'!$G:$G,$B$4),0)</f>
        <v>0</v>
      </c>
      <c r="D1539" s="3">
        <f>IFERROR(COUNTIFS('Issuance Log'!$B:$B,A1539,'Issuance Log'!$G:$G,$B$4),0)</f>
        <v>0</v>
      </c>
      <c r="E1539" s="3" t="str">
        <f ca="1">IFERROR(INDEX('Issuance Log'!$E:$E,MATCH(MAXIFS('Issuance Log'!$D:$D,'Issuance Log'!$B:$B,A1539,'Issuance Log'!$G:$G,$B$4),IF(('Issuance Log'!$B:$B=A1539)*('Issuance Log'!$G:$G=$B$4),'Issuance Log'!$D:$D),0)),"-")</f>
        <v>-</v>
      </c>
    </row>
    <row r="1540" spans="1:5" x14ac:dyDescent="0.25">
      <c r="A1540" s="4" t="s">
        <v>3004</v>
      </c>
      <c r="B1540" s="4" t="s">
        <v>3005</v>
      </c>
      <c r="C1540" s="5">
        <f>IFERROR(SUMIFS('Issuance Log'!$D:$D,'Issuance Log'!$B:$B,A1540,'Issuance Log'!$G:$G,$B$4),0)</f>
        <v>0</v>
      </c>
      <c r="D1540" s="5">
        <f>IFERROR(COUNTIFS('Issuance Log'!$B:$B,A1540,'Issuance Log'!$G:$G,$B$4),0)</f>
        <v>0</v>
      </c>
      <c r="E1540" s="5" t="str">
        <f ca="1">IFERROR(INDEX('Issuance Log'!$E:$E,MATCH(MAXIFS('Issuance Log'!$D:$D,'Issuance Log'!$B:$B,A1540,'Issuance Log'!$G:$G,$B$4),IF(('Issuance Log'!$B:$B=A1540)*('Issuance Log'!$G:$G=$B$4),'Issuance Log'!$D:$D),0)),"-")</f>
        <v>-</v>
      </c>
    </row>
    <row r="1541" spans="1:5" x14ac:dyDescent="0.25">
      <c r="A1541" s="2" t="s">
        <v>3006</v>
      </c>
      <c r="B1541" s="2" t="s">
        <v>3007</v>
      </c>
      <c r="C1541" s="3">
        <f>IFERROR(SUMIFS('Issuance Log'!$D:$D,'Issuance Log'!$B:$B,A1541,'Issuance Log'!$G:$G,$B$4),0)</f>
        <v>0</v>
      </c>
      <c r="D1541" s="3">
        <f>IFERROR(COUNTIFS('Issuance Log'!$B:$B,A1541,'Issuance Log'!$G:$G,$B$4),0)</f>
        <v>0</v>
      </c>
      <c r="E1541" s="3" t="str">
        <f ca="1">IFERROR(INDEX('Issuance Log'!$E:$E,MATCH(MAXIFS('Issuance Log'!$D:$D,'Issuance Log'!$B:$B,A1541,'Issuance Log'!$G:$G,$B$4),IF(('Issuance Log'!$B:$B=A1541)*('Issuance Log'!$G:$G=$B$4),'Issuance Log'!$D:$D),0)),"-")</f>
        <v>-</v>
      </c>
    </row>
    <row r="1542" spans="1:5" x14ac:dyDescent="0.25">
      <c r="A1542" s="4" t="s">
        <v>3008</v>
      </c>
      <c r="B1542" s="4" t="s">
        <v>3009</v>
      </c>
      <c r="C1542" s="5">
        <f>IFERROR(SUMIFS('Issuance Log'!$D:$D,'Issuance Log'!$B:$B,A1542,'Issuance Log'!$G:$G,$B$4),0)</f>
        <v>0</v>
      </c>
      <c r="D1542" s="5">
        <f>IFERROR(COUNTIFS('Issuance Log'!$B:$B,A1542,'Issuance Log'!$G:$G,$B$4),0)</f>
        <v>0</v>
      </c>
      <c r="E1542" s="5" t="str">
        <f ca="1">IFERROR(INDEX('Issuance Log'!$E:$E,MATCH(MAXIFS('Issuance Log'!$D:$D,'Issuance Log'!$B:$B,A1542,'Issuance Log'!$G:$G,$B$4),IF(('Issuance Log'!$B:$B=A1542)*('Issuance Log'!$G:$G=$B$4),'Issuance Log'!$D:$D),0)),"-")</f>
        <v>-</v>
      </c>
    </row>
    <row r="1543" spans="1:5" x14ac:dyDescent="0.25">
      <c r="A1543" s="2" t="s">
        <v>3010</v>
      </c>
      <c r="B1543" s="2" t="s">
        <v>3011</v>
      </c>
      <c r="C1543" s="3">
        <f>IFERROR(SUMIFS('Issuance Log'!$D:$D,'Issuance Log'!$B:$B,A1543,'Issuance Log'!$G:$G,$B$4),0)</f>
        <v>0</v>
      </c>
      <c r="D1543" s="3">
        <f>IFERROR(COUNTIFS('Issuance Log'!$B:$B,A1543,'Issuance Log'!$G:$G,$B$4),0)</f>
        <v>0</v>
      </c>
      <c r="E1543" s="3" t="str">
        <f ca="1">IFERROR(INDEX('Issuance Log'!$E:$E,MATCH(MAXIFS('Issuance Log'!$D:$D,'Issuance Log'!$B:$B,A1543,'Issuance Log'!$G:$G,$B$4),IF(('Issuance Log'!$B:$B=A1543)*('Issuance Log'!$G:$G=$B$4),'Issuance Log'!$D:$D),0)),"-")</f>
        <v>-</v>
      </c>
    </row>
    <row r="1544" spans="1:5" x14ac:dyDescent="0.25">
      <c r="A1544" s="4" t="s">
        <v>3012</v>
      </c>
      <c r="B1544" s="4" t="s">
        <v>3013</v>
      </c>
      <c r="C1544" s="5">
        <f>IFERROR(SUMIFS('Issuance Log'!$D:$D,'Issuance Log'!$B:$B,A1544,'Issuance Log'!$G:$G,$B$4),0)</f>
        <v>0</v>
      </c>
      <c r="D1544" s="5">
        <f>IFERROR(COUNTIFS('Issuance Log'!$B:$B,A1544,'Issuance Log'!$G:$G,$B$4),0)</f>
        <v>0</v>
      </c>
      <c r="E1544" s="5" t="str">
        <f ca="1">IFERROR(INDEX('Issuance Log'!$E:$E,MATCH(MAXIFS('Issuance Log'!$D:$D,'Issuance Log'!$B:$B,A1544,'Issuance Log'!$G:$G,$B$4),IF(('Issuance Log'!$B:$B=A1544)*('Issuance Log'!$G:$G=$B$4),'Issuance Log'!$D:$D),0)),"-")</f>
        <v>-</v>
      </c>
    </row>
    <row r="1545" spans="1:5" x14ac:dyDescent="0.25">
      <c r="A1545" s="2" t="s">
        <v>3014</v>
      </c>
      <c r="B1545" s="2" t="s">
        <v>3015</v>
      </c>
      <c r="C1545" s="3">
        <f>IFERROR(SUMIFS('Issuance Log'!$D:$D,'Issuance Log'!$B:$B,A1545,'Issuance Log'!$G:$G,$B$4),0)</f>
        <v>0</v>
      </c>
      <c r="D1545" s="3">
        <f>IFERROR(COUNTIFS('Issuance Log'!$B:$B,A1545,'Issuance Log'!$G:$G,$B$4),0)</f>
        <v>0</v>
      </c>
      <c r="E1545" s="3" t="str">
        <f ca="1">IFERROR(INDEX('Issuance Log'!$E:$E,MATCH(MAXIFS('Issuance Log'!$D:$D,'Issuance Log'!$B:$B,A1545,'Issuance Log'!$G:$G,$B$4),IF(('Issuance Log'!$B:$B=A1545)*('Issuance Log'!$G:$G=$B$4),'Issuance Log'!$D:$D),0)),"-")</f>
        <v>-</v>
      </c>
    </row>
    <row r="1546" spans="1:5" x14ac:dyDescent="0.25">
      <c r="A1546" s="4" t="s">
        <v>3016</v>
      </c>
      <c r="B1546" s="4" t="s">
        <v>3017</v>
      </c>
      <c r="C1546" s="5">
        <f>IFERROR(SUMIFS('Issuance Log'!$D:$D,'Issuance Log'!$B:$B,A1546,'Issuance Log'!$G:$G,$B$4),0)</f>
        <v>0</v>
      </c>
      <c r="D1546" s="5">
        <f>IFERROR(COUNTIFS('Issuance Log'!$B:$B,A1546,'Issuance Log'!$G:$G,$B$4),0)</f>
        <v>0</v>
      </c>
      <c r="E1546" s="5" t="str">
        <f ca="1">IFERROR(INDEX('Issuance Log'!$E:$E,MATCH(MAXIFS('Issuance Log'!$D:$D,'Issuance Log'!$B:$B,A1546,'Issuance Log'!$G:$G,$B$4),IF(('Issuance Log'!$B:$B=A1546)*('Issuance Log'!$G:$G=$B$4),'Issuance Log'!$D:$D),0)),"-")</f>
        <v>-</v>
      </c>
    </row>
    <row r="1547" spans="1:5" x14ac:dyDescent="0.25">
      <c r="A1547" s="2" t="s">
        <v>3018</v>
      </c>
      <c r="B1547" s="2" t="s">
        <v>3019</v>
      </c>
      <c r="C1547" s="3">
        <f>IFERROR(SUMIFS('Issuance Log'!$D:$D,'Issuance Log'!$B:$B,A1547,'Issuance Log'!$G:$G,$B$4),0)</f>
        <v>0</v>
      </c>
      <c r="D1547" s="3">
        <f>IFERROR(COUNTIFS('Issuance Log'!$B:$B,A1547,'Issuance Log'!$G:$G,$B$4),0)</f>
        <v>0</v>
      </c>
      <c r="E1547" s="3" t="str">
        <f ca="1">IFERROR(INDEX('Issuance Log'!$E:$E,MATCH(MAXIFS('Issuance Log'!$D:$D,'Issuance Log'!$B:$B,A1547,'Issuance Log'!$G:$G,$B$4),IF(('Issuance Log'!$B:$B=A1547)*('Issuance Log'!$G:$G=$B$4),'Issuance Log'!$D:$D),0)),"-")</f>
        <v>-</v>
      </c>
    </row>
    <row r="1548" spans="1:5" x14ac:dyDescent="0.25">
      <c r="A1548" s="4" t="s">
        <v>3020</v>
      </c>
      <c r="B1548" s="4" t="s">
        <v>3021</v>
      </c>
      <c r="C1548" s="5">
        <f>IFERROR(SUMIFS('Issuance Log'!$D:$D,'Issuance Log'!$B:$B,A1548,'Issuance Log'!$G:$G,$B$4),0)</f>
        <v>0</v>
      </c>
      <c r="D1548" s="5">
        <f>IFERROR(COUNTIFS('Issuance Log'!$B:$B,A1548,'Issuance Log'!$G:$G,$B$4),0)</f>
        <v>0</v>
      </c>
      <c r="E1548" s="5" t="str">
        <f ca="1">IFERROR(INDEX('Issuance Log'!$E:$E,MATCH(MAXIFS('Issuance Log'!$D:$D,'Issuance Log'!$B:$B,A1548,'Issuance Log'!$G:$G,$B$4),IF(('Issuance Log'!$B:$B=A1548)*('Issuance Log'!$G:$G=$B$4),'Issuance Log'!$D:$D),0)),"-")</f>
        <v>-</v>
      </c>
    </row>
    <row r="1549" spans="1:5" x14ac:dyDescent="0.25">
      <c r="A1549" s="2" t="s">
        <v>3022</v>
      </c>
      <c r="B1549" s="2" t="s">
        <v>3023</v>
      </c>
      <c r="C1549" s="3">
        <f>IFERROR(SUMIFS('Issuance Log'!$D:$D,'Issuance Log'!$B:$B,A1549,'Issuance Log'!$G:$G,$B$4),0)</f>
        <v>0</v>
      </c>
      <c r="D1549" s="3">
        <f>IFERROR(COUNTIFS('Issuance Log'!$B:$B,A1549,'Issuance Log'!$G:$G,$B$4),0)</f>
        <v>0</v>
      </c>
      <c r="E1549" s="3" t="str">
        <f ca="1">IFERROR(INDEX('Issuance Log'!$E:$E,MATCH(MAXIFS('Issuance Log'!$D:$D,'Issuance Log'!$B:$B,A1549,'Issuance Log'!$G:$G,$B$4),IF(('Issuance Log'!$B:$B=A1549)*('Issuance Log'!$G:$G=$B$4),'Issuance Log'!$D:$D),0)),"-")</f>
        <v>-</v>
      </c>
    </row>
    <row r="1550" spans="1:5" x14ac:dyDescent="0.25">
      <c r="A1550" s="4" t="s">
        <v>3024</v>
      </c>
      <c r="B1550" s="4" t="s">
        <v>3025</v>
      </c>
      <c r="C1550" s="5">
        <f>IFERROR(SUMIFS('Issuance Log'!$D:$D,'Issuance Log'!$B:$B,A1550,'Issuance Log'!$G:$G,$B$4),0)</f>
        <v>0</v>
      </c>
      <c r="D1550" s="5">
        <f>IFERROR(COUNTIFS('Issuance Log'!$B:$B,A1550,'Issuance Log'!$G:$G,$B$4),0)</f>
        <v>0</v>
      </c>
      <c r="E1550" s="5" t="str">
        <f ca="1">IFERROR(INDEX('Issuance Log'!$E:$E,MATCH(MAXIFS('Issuance Log'!$D:$D,'Issuance Log'!$B:$B,A1550,'Issuance Log'!$G:$G,$B$4),IF(('Issuance Log'!$B:$B=A1550)*('Issuance Log'!$G:$G=$B$4),'Issuance Log'!$D:$D),0)),"-")</f>
        <v>-</v>
      </c>
    </row>
    <row r="1551" spans="1:5" x14ac:dyDescent="0.25">
      <c r="A1551" s="2" t="s">
        <v>3026</v>
      </c>
      <c r="B1551" s="2" t="s">
        <v>3027</v>
      </c>
      <c r="C1551" s="3">
        <f>IFERROR(SUMIFS('Issuance Log'!$D:$D,'Issuance Log'!$B:$B,A1551,'Issuance Log'!$G:$G,$B$4),0)</f>
        <v>0</v>
      </c>
      <c r="D1551" s="3">
        <f>IFERROR(COUNTIFS('Issuance Log'!$B:$B,A1551,'Issuance Log'!$G:$G,$B$4),0)</f>
        <v>0</v>
      </c>
      <c r="E1551" s="3" t="str">
        <f ca="1">IFERROR(INDEX('Issuance Log'!$E:$E,MATCH(MAXIFS('Issuance Log'!$D:$D,'Issuance Log'!$B:$B,A1551,'Issuance Log'!$G:$G,$B$4),IF(('Issuance Log'!$B:$B=A1551)*('Issuance Log'!$G:$G=$B$4),'Issuance Log'!$D:$D),0)),"-")</f>
        <v>-</v>
      </c>
    </row>
    <row r="1552" spans="1:5" x14ac:dyDescent="0.25">
      <c r="A1552" s="4" t="s">
        <v>3028</v>
      </c>
      <c r="B1552" s="4" t="s">
        <v>3029</v>
      </c>
      <c r="C1552" s="5">
        <f>IFERROR(SUMIFS('Issuance Log'!$D:$D,'Issuance Log'!$B:$B,A1552,'Issuance Log'!$G:$G,$B$4),0)</f>
        <v>0</v>
      </c>
      <c r="D1552" s="5">
        <f>IFERROR(COUNTIFS('Issuance Log'!$B:$B,A1552,'Issuance Log'!$G:$G,$B$4),0)</f>
        <v>0</v>
      </c>
      <c r="E1552" s="5" t="str">
        <f ca="1">IFERROR(INDEX('Issuance Log'!$E:$E,MATCH(MAXIFS('Issuance Log'!$D:$D,'Issuance Log'!$B:$B,A1552,'Issuance Log'!$G:$G,$B$4),IF(('Issuance Log'!$B:$B=A1552)*('Issuance Log'!$G:$G=$B$4),'Issuance Log'!$D:$D),0)),"-")</f>
        <v>-</v>
      </c>
    </row>
    <row r="1553" spans="1:5" x14ac:dyDescent="0.25">
      <c r="A1553" s="2" t="s">
        <v>3030</v>
      </c>
      <c r="B1553" s="2" t="s">
        <v>3031</v>
      </c>
      <c r="C1553" s="3">
        <f>IFERROR(SUMIFS('Issuance Log'!$D:$D,'Issuance Log'!$B:$B,A1553,'Issuance Log'!$G:$G,$B$4),0)</f>
        <v>0</v>
      </c>
      <c r="D1553" s="3">
        <f>IFERROR(COUNTIFS('Issuance Log'!$B:$B,A1553,'Issuance Log'!$G:$G,$B$4),0)</f>
        <v>0</v>
      </c>
      <c r="E1553" s="3" t="str">
        <f ca="1">IFERROR(INDEX('Issuance Log'!$E:$E,MATCH(MAXIFS('Issuance Log'!$D:$D,'Issuance Log'!$B:$B,A1553,'Issuance Log'!$G:$G,$B$4),IF(('Issuance Log'!$B:$B=A1553)*('Issuance Log'!$G:$G=$B$4),'Issuance Log'!$D:$D),0)),"-")</f>
        <v>-</v>
      </c>
    </row>
    <row r="1554" spans="1:5" x14ac:dyDescent="0.25">
      <c r="A1554" s="4" t="s">
        <v>3032</v>
      </c>
      <c r="B1554" s="4" t="s">
        <v>3033</v>
      </c>
      <c r="C1554" s="5">
        <f>IFERROR(SUMIFS('Issuance Log'!$D:$D,'Issuance Log'!$B:$B,A1554,'Issuance Log'!$G:$G,$B$4),0)</f>
        <v>0</v>
      </c>
      <c r="D1554" s="5">
        <f>IFERROR(COUNTIFS('Issuance Log'!$B:$B,A1554,'Issuance Log'!$G:$G,$B$4),0)</f>
        <v>0</v>
      </c>
      <c r="E1554" s="5" t="str">
        <f ca="1">IFERROR(INDEX('Issuance Log'!$E:$E,MATCH(MAXIFS('Issuance Log'!$D:$D,'Issuance Log'!$B:$B,A1554,'Issuance Log'!$G:$G,$B$4),IF(('Issuance Log'!$B:$B=A1554)*('Issuance Log'!$G:$G=$B$4),'Issuance Log'!$D:$D),0)),"-")</f>
        <v>-</v>
      </c>
    </row>
    <row r="1555" spans="1:5" x14ac:dyDescent="0.25">
      <c r="A1555" s="2" t="s">
        <v>3034</v>
      </c>
      <c r="B1555" s="2" t="s">
        <v>3035</v>
      </c>
      <c r="C1555" s="3">
        <f>IFERROR(SUMIFS('Issuance Log'!$D:$D,'Issuance Log'!$B:$B,A1555,'Issuance Log'!$G:$G,$B$4),0)</f>
        <v>0</v>
      </c>
      <c r="D1555" s="3">
        <f>IFERROR(COUNTIFS('Issuance Log'!$B:$B,A1555,'Issuance Log'!$G:$G,$B$4),0)</f>
        <v>0</v>
      </c>
      <c r="E1555" s="3" t="str">
        <f ca="1">IFERROR(INDEX('Issuance Log'!$E:$E,MATCH(MAXIFS('Issuance Log'!$D:$D,'Issuance Log'!$B:$B,A1555,'Issuance Log'!$G:$G,$B$4),IF(('Issuance Log'!$B:$B=A1555)*('Issuance Log'!$G:$G=$B$4),'Issuance Log'!$D:$D),0)),"-")</f>
        <v>-</v>
      </c>
    </row>
    <row r="1556" spans="1:5" x14ac:dyDescent="0.25">
      <c r="A1556" s="4" t="s">
        <v>3036</v>
      </c>
      <c r="B1556" s="4" t="s">
        <v>3037</v>
      </c>
      <c r="C1556" s="5">
        <f>IFERROR(SUMIFS('Issuance Log'!$D:$D,'Issuance Log'!$B:$B,A1556,'Issuance Log'!$G:$G,$B$4),0)</f>
        <v>0</v>
      </c>
      <c r="D1556" s="5">
        <f>IFERROR(COUNTIFS('Issuance Log'!$B:$B,A1556,'Issuance Log'!$G:$G,$B$4),0)</f>
        <v>0</v>
      </c>
      <c r="E1556" s="5" t="str">
        <f ca="1">IFERROR(INDEX('Issuance Log'!$E:$E,MATCH(MAXIFS('Issuance Log'!$D:$D,'Issuance Log'!$B:$B,A1556,'Issuance Log'!$G:$G,$B$4),IF(('Issuance Log'!$B:$B=A1556)*('Issuance Log'!$G:$G=$B$4),'Issuance Log'!$D:$D),0)),"-")</f>
        <v>-</v>
      </c>
    </row>
    <row r="1557" spans="1:5" x14ac:dyDescent="0.25">
      <c r="A1557" s="2" t="s">
        <v>3038</v>
      </c>
      <c r="B1557" s="2" t="s">
        <v>3039</v>
      </c>
      <c r="C1557" s="3">
        <f>IFERROR(SUMIFS('Issuance Log'!$D:$D,'Issuance Log'!$B:$B,A1557,'Issuance Log'!$G:$G,$B$4),0)</f>
        <v>0</v>
      </c>
      <c r="D1557" s="3">
        <f>IFERROR(COUNTIFS('Issuance Log'!$B:$B,A1557,'Issuance Log'!$G:$G,$B$4),0)</f>
        <v>0</v>
      </c>
      <c r="E1557" s="3" t="str">
        <f ca="1">IFERROR(INDEX('Issuance Log'!$E:$E,MATCH(MAXIFS('Issuance Log'!$D:$D,'Issuance Log'!$B:$B,A1557,'Issuance Log'!$G:$G,$B$4),IF(('Issuance Log'!$B:$B=A1557)*('Issuance Log'!$G:$G=$B$4),'Issuance Log'!$D:$D),0)),"-")</f>
        <v>-</v>
      </c>
    </row>
    <row r="1558" spans="1:5" x14ac:dyDescent="0.25">
      <c r="A1558" s="4" t="s">
        <v>3040</v>
      </c>
      <c r="B1558" s="4" t="s">
        <v>3041</v>
      </c>
      <c r="C1558" s="5">
        <f>IFERROR(SUMIFS('Issuance Log'!$D:$D,'Issuance Log'!$B:$B,A1558,'Issuance Log'!$G:$G,$B$4),0)</f>
        <v>0</v>
      </c>
      <c r="D1558" s="5">
        <f>IFERROR(COUNTIFS('Issuance Log'!$B:$B,A1558,'Issuance Log'!$G:$G,$B$4),0)</f>
        <v>0</v>
      </c>
      <c r="E1558" s="5" t="str">
        <f ca="1">IFERROR(INDEX('Issuance Log'!$E:$E,MATCH(MAXIFS('Issuance Log'!$D:$D,'Issuance Log'!$B:$B,A1558,'Issuance Log'!$G:$G,$B$4),IF(('Issuance Log'!$B:$B=A1558)*('Issuance Log'!$G:$G=$B$4),'Issuance Log'!$D:$D),0)),"-")</f>
        <v>-</v>
      </c>
    </row>
    <row r="1559" spans="1:5" x14ac:dyDescent="0.25">
      <c r="A1559" s="2" t="s">
        <v>3042</v>
      </c>
      <c r="B1559" s="2" t="s">
        <v>3043</v>
      </c>
      <c r="C1559" s="3">
        <f>IFERROR(SUMIFS('Issuance Log'!$D:$D,'Issuance Log'!$B:$B,A1559,'Issuance Log'!$G:$G,$B$4),0)</f>
        <v>0</v>
      </c>
      <c r="D1559" s="3">
        <f>IFERROR(COUNTIFS('Issuance Log'!$B:$B,A1559,'Issuance Log'!$G:$G,$B$4),0)</f>
        <v>0</v>
      </c>
      <c r="E1559" s="3" t="str">
        <f ca="1">IFERROR(INDEX('Issuance Log'!$E:$E,MATCH(MAXIFS('Issuance Log'!$D:$D,'Issuance Log'!$B:$B,A1559,'Issuance Log'!$G:$G,$B$4),IF(('Issuance Log'!$B:$B=A1559)*('Issuance Log'!$G:$G=$B$4),'Issuance Log'!$D:$D),0)),"-")</f>
        <v>-</v>
      </c>
    </row>
    <row r="1560" spans="1:5" x14ac:dyDescent="0.25">
      <c r="A1560" s="4" t="s">
        <v>3044</v>
      </c>
      <c r="B1560" s="4" t="s">
        <v>3045</v>
      </c>
      <c r="C1560" s="5">
        <f>IFERROR(SUMIFS('Issuance Log'!$D:$D,'Issuance Log'!$B:$B,A1560,'Issuance Log'!$G:$G,$B$4),0)</f>
        <v>0</v>
      </c>
      <c r="D1560" s="5">
        <f>IFERROR(COUNTIFS('Issuance Log'!$B:$B,A1560,'Issuance Log'!$G:$G,$B$4),0)</f>
        <v>0</v>
      </c>
      <c r="E1560" s="5" t="str">
        <f ca="1">IFERROR(INDEX('Issuance Log'!$E:$E,MATCH(MAXIFS('Issuance Log'!$D:$D,'Issuance Log'!$B:$B,A1560,'Issuance Log'!$G:$G,$B$4),IF(('Issuance Log'!$B:$B=A1560)*('Issuance Log'!$G:$G=$B$4),'Issuance Log'!$D:$D),0)),"-")</f>
        <v>-</v>
      </c>
    </row>
    <row r="1561" spans="1:5" x14ac:dyDescent="0.25">
      <c r="A1561" s="2" t="s">
        <v>3046</v>
      </c>
      <c r="B1561" s="2" t="s">
        <v>3047</v>
      </c>
      <c r="C1561" s="3">
        <f>IFERROR(SUMIFS('Issuance Log'!$D:$D,'Issuance Log'!$B:$B,A1561,'Issuance Log'!$G:$G,$B$4),0)</f>
        <v>0</v>
      </c>
      <c r="D1561" s="3">
        <f>IFERROR(COUNTIFS('Issuance Log'!$B:$B,A1561,'Issuance Log'!$G:$G,$B$4),0)</f>
        <v>0</v>
      </c>
      <c r="E1561" s="3" t="str">
        <f ca="1">IFERROR(INDEX('Issuance Log'!$E:$E,MATCH(MAXIFS('Issuance Log'!$D:$D,'Issuance Log'!$B:$B,A1561,'Issuance Log'!$G:$G,$B$4),IF(('Issuance Log'!$B:$B=A1561)*('Issuance Log'!$G:$G=$B$4),'Issuance Log'!$D:$D),0)),"-")</f>
        <v>-</v>
      </c>
    </row>
    <row r="1562" spans="1:5" x14ac:dyDescent="0.25">
      <c r="A1562" s="4" t="s">
        <v>3048</v>
      </c>
      <c r="B1562" s="4" t="s">
        <v>3049</v>
      </c>
      <c r="C1562" s="5">
        <f>IFERROR(SUMIFS('Issuance Log'!$D:$D,'Issuance Log'!$B:$B,A1562,'Issuance Log'!$G:$G,$B$4),0)</f>
        <v>0</v>
      </c>
      <c r="D1562" s="5">
        <f>IFERROR(COUNTIFS('Issuance Log'!$B:$B,A1562,'Issuance Log'!$G:$G,$B$4),0)</f>
        <v>0</v>
      </c>
      <c r="E1562" s="5" t="str">
        <f ca="1">IFERROR(INDEX('Issuance Log'!$E:$E,MATCH(MAXIFS('Issuance Log'!$D:$D,'Issuance Log'!$B:$B,A1562,'Issuance Log'!$G:$G,$B$4),IF(('Issuance Log'!$B:$B=A1562)*('Issuance Log'!$G:$G=$B$4),'Issuance Log'!$D:$D),0)),"-")</f>
        <v>-</v>
      </c>
    </row>
    <row r="1563" spans="1:5" x14ac:dyDescent="0.25">
      <c r="A1563" s="2" t="s">
        <v>3050</v>
      </c>
      <c r="B1563" s="2" t="s">
        <v>3051</v>
      </c>
      <c r="C1563" s="3">
        <f>IFERROR(SUMIFS('Issuance Log'!$D:$D,'Issuance Log'!$B:$B,A1563,'Issuance Log'!$G:$G,$B$4),0)</f>
        <v>0</v>
      </c>
      <c r="D1563" s="3">
        <f>IFERROR(COUNTIFS('Issuance Log'!$B:$B,A1563,'Issuance Log'!$G:$G,$B$4),0)</f>
        <v>0</v>
      </c>
      <c r="E1563" s="3" t="str">
        <f ca="1">IFERROR(INDEX('Issuance Log'!$E:$E,MATCH(MAXIFS('Issuance Log'!$D:$D,'Issuance Log'!$B:$B,A1563,'Issuance Log'!$G:$G,$B$4),IF(('Issuance Log'!$B:$B=A1563)*('Issuance Log'!$G:$G=$B$4),'Issuance Log'!$D:$D),0)),"-")</f>
        <v>-</v>
      </c>
    </row>
    <row r="1564" spans="1:5" x14ac:dyDescent="0.25">
      <c r="A1564" s="4" t="s">
        <v>3052</v>
      </c>
      <c r="B1564" s="4" t="s">
        <v>3053</v>
      </c>
      <c r="C1564" s="5">
        <f>IFERROR(SUMIFS('Issuance Log'!$D:$D,'Issuance Log'!$B:$B,A1564,'Issuance Log'!$G:$G,$B$4),0)</f>
        <v>0</v>
      </c>
      <c r="D1564" s="5">
        <f>IFERROR(COUNTIFS('Issuance Log'!$B:$B,A1564,'Issuance Log'!$G:$G,$B$4),0)</f>
        <v>0</v>
      </c>
      <c r="E1564" s="5" t="str">
        <f ca="1">IFERROR(INDEX('Issuance Log'!$E:$E,MATCH(MAXIFS('Issuance Log'!$D:$D,'Issuance Log'!$B:$B,A1564,'Issuance Log'!$G:$G,$B$4),IF(('Issuance Log'!$B:$B=A1564)*('Issuance Log'!$G:$G=$B$4),'Issuance Log'!$D:$D),0)),"-")</f>
        <v>-</v>
      </c>
    </row>
    <row r="1565" spans="1:5" x14ac:dyDescent="0.25">
      <c r="A1565" s="2" t="s">
        <v>3054</v>
      </c>
      <c r="B1565" s="2" t="s">
        <v>3055</v>
      </c>
      <c r="C1565" s="3">
        <f>IFERROR(SUMIFS('Issuance Log'!$D:$D,'Issuance Log'!$B:$B,A1565,'Issuance Log'!$G:$G,$B$4),0)</f>
        <v>0</v>
      </c>
      <c r="D1565" s="3">
        <f>IFERROR(COUNTIFS('Issuance Log'!$B:$B,A1565,'Issuance Log'!$G:$G,$B$4),0)</f>
        <v>0</v>
      </c>
      <c r="E1565" s="3" t="str">
        <f ca="1">IFERROR(INDEX('Issuance Log'!$E:$E,MATCH(MAXIFS('Issuance Log'!$D:$D,'Issuance Log'!$B:$B,A1565,'Issuance Log'!$G:$G,$B$4),IF(('Issuance Log'!$B:$B=A1565)*('Issuance Log'!$G:$G=$B$4),'Issuance Log'!$D:$D),0)),"-")</f>
        <v>-</v>
      </c>
    </row>
    <row r="1566" spans="1:5" x14ac:dyDescent="0.25">
      <c r="A1566" s="4" t="s">
        <v>3056</v>
      </c>
      <c r="B1566" s="4" t="s">
        <v>3057</v>
      </c>
      <c r="C1566" s="5">
        <f>IFERROR(SUMIFS('Issuance Log'!$D:$D,'Issuance Log'!$B:$B,A1566,'Issuance Log'!$G:$G,$B$4),0)</f>
        <v>0</v>
      </c>
      <c r="D1566" s="5">
        <f>IFERROR(COUNTIFS('Issuance Log'!$B:$B,A1566,'Issuance Log'!$G:$G,$B$4),0)</f>
        <v>0</v>
      </c>
      <c r="E1566" s="5" t="str">
        <f ca="1">IFERROR(INDEX('Issuance Log'!$E:$E,MATCH(MAXIFS('Issuance Log'!$D:$D,'Issuance Log'!$B:$B,A1566,'Issuance Log'!$G:$G,$B$4),IF(('Issuance Log'!$B:$B=A1566)*('Issuance Log'!$G:$G=$B$4),'Issuance Log'!$D:$D),0)),"-")</f>
        <v>-</v>
      </c>
    </row>
    <row r="1567" spans="1:5" x14ac:dyDescent="0.25">
      <c r="A1567" s="2" t="s">
        <v>3058</v>
      </c>
      <c r="B1567" s="2" t="s">
        <v>3059</v>
      </c>
      <c r="C1567" s="3">
        <f>IFERROR(SUMIFS('Issuance Log'!$D:$D,'Issuance Log'!$B:$B,A1567,'Issuance Log'!$G:$G,$B$4),0)</f>
        <v>0</v>
      </c>
      <c r="D1567" s="3">
        <f>IFERROR(COUNTIFS('Issuance Log'!$B:$B,A1567,'Issuance Log'!$G:$G,$B$4),0)</f>
        <v>0</v>
      </c>
      <c r="E1567" s="3" t="str">
        <f ca="1">IFERROR(INDEX('Issuance Log'!$E:$E,MATCH(MAXIFS('Issuance Log'!$D:$D,'Issuance Log'!$B:$B,A1567,'Issuance Log'!$G:$G,$B$4),IF(('Issuance Log'!$B:$B=A1567)*('Issuance Log'!$G:$G=$B$4),'Issuance Log'!$D:$D),0)),"-")</f>
        <v>-</v>
      </c>
    </row>
    <row r="1568" spans="1:5" x14ac:dyDescent="0.25">
      <c r="A1568" s="4" t="s">
        <v>3060</v>
      </c>
      <c r="B1568" s="4" t="s">
        <v>3061</v>
      </c>
      <c r="C1568" s="5">
        <f>IFERROR(SUMIFS('Issuance Log'!$D:$D,'Issuance Log'!$B:$B,A1568,'Issuance Log'!$G:$G,$B$4),0)</f>
        <v>0</v>
      </c>
      <c r="D1568" s="5">
        <f>IFERROR(COUNTIFS('Issuance Log'!$B:$B,A1568,'Issuance Log'!$G:$G,$B$4),0)</f>
        <v>0</v>
      </c>
      <c r="E1568" s="5" t="str">
        <f ca="1">IFERROR(INDEX('Issuance Log'!$E:$E,MATCH(MAXIFS('Issuance Log'!$D:$D,'Issuance Log'!$B:$B,A1568,'Issuance Log'!$G:$G,$B$4),IF(('Issuance Log'!$B:$B=A1568)*('Issuance Log'!$G:$G=$B$4),'Issuance Log'!$D:$D),0)),"-")</f>
        <v>-</v>
      </c>
    </row>
    <row r="1569" spans="1:5" x14ac:dyDescent="0.25">
      <c r="A1569" s="2" t="s">
        <v>3062</v>
      </c>
      <c r="B1569" s="2" t="s">
        <v>3063</v>
      </c>
      <c r="C1569" s="3">
        <f>IFERROR(SUMIFS('Issuance Log'!$D:$D,'Issuance Log'!$B:$B,A1569,'Issuance Log'!$G:$G,$B$4),0)</f>
        <v>0</v>
      </c>
      <c r="D1569" s="3">
        <f>IFERROR(COUNTIFS('Issuance Log'!$B:$B,A1569,'Issuance Log'!$G:$G,$B$4),0)</f>
        <v>0</v>
      </c>
      <c r="E1569" s="3" t="str">
        <f ca="1">IFERROR(INDEX('Issuance Log'!$E:$E,MATCH(MAXIFS('Issuance Log'!$D:$D,'Issuance Log'!$B:$B,A1569,'Issuance Log'!$G:$G,$B$4),IF(('Issuance Log'!$B:$B=A1569)*('Issuance Log'!$G:$G=$B$4),'Issuance Log'!$D:$D),0)),"-")</f>
        <v>-</v>
      </c>
    </row>
    <row r="1570" spans="1:5" x14ac:dyDescent="0.25">
      <c r="A1570" s="4" t="s">
        <v>3064</v>
      </c>
      <c r="B1570" s="4" t="s">
        <v>3065</v>
      </c>
      <c r="C1570" s="5">
        <f>IFERROR(SUMIFS('Issuance Log'!$D:$D,'Issuance Log'!$B:$B,A1570,'Issuance Log'!$G:$G,$B$4),0)</f>
        <v>0</v>
      </c>
      <c r="D1570" s="5">
        <f>IFERROR(COUNTIFS('Issuance Log'!$B:$B,A1570,'Issuance Log'!$G:$G,$B$4),0)</f>
        <v>0</v>
      </c>
      <c r="E1570" s="5" t="str">
        <f ca="1">IFERROR(INDEX('Issuance Log'!$E:$E,MATCH(MAXIFS('Issuance Log'!$D:$D,'Issuance Log'!$B:$B,A1570,'Issuance Log'!$G:$G,$B$4),IF(('Issuance Log'!$B:$B=A1570)*('Issuance Log'!$G:$G=$B$4),'Issuance Log'!$D:$D),0)),"-")</f>
        <v>-</v>
      </c>
    </row>
    <row r="1571" spans="1:5" x14ac:dyDescent="0.25">
      <c r="A1571" s="2" t="s">
        <v>3066</v>
      </c>
      <c r="B1571" s="2" t="s">
        <v>3067</v>
      </c>
      <c r="C1571" s="3">
        <f>IFERROR(SUMIFS('Issuance Log'!$D:$D,'Issuance Log'!$B:$B,A1571,'Issuance Log'!$G:$G,$B$4),0)</f>
        <v>0</v>
      </c>
      <c r="D1571" s="3">
        <f>IFERROR(COUNTIFS('Issuance Log'!$B:$B,A1571,'Issuance Log'!$G:$G,$B$4),0)</f>
        <v>0</v>
      </c>
      <c r="E1571" s="3" t="str">
        <f ca="1">IFERROR(INDEX('Issuance Log'!$E:$E,MATCH(MAXIFS('Issuance Log'!$D:$D,'Issuance Log'!$B:$B,A1571,'Issuance Log'!$G:$G,$B$4),IF(('Issuance Log'!$B:$B=A1571)*('Issuance Log'!$G:$G=$B$4),'Issuance Log'!$D:$D),0)),"-")</f>
        <v>-</v>
      </c>
    </row>
    <row r="1572" spans="1:5" x14ac:dyDescent="0.25">
      <c r="A1572" s="4" t="s">
        <v>3068</v>
      </c>
      <c r="B1572" s="4" t="s">
        <v>3069</v>
      </c>
      <c r="C1572" s="5">
        <f>IFERROR(SUMIFS('Issuance Log'!$D:$D,'Issuance Log'!$B:$B,A1572,'Issuance Log'!$G:$G,$B$4),0)</f>
        <v>0</v>
      </c>
      <c r="D1572" s="5">
        <f>IFERROR(COUNTIFS('Issuance Log'!$B:$B,A1572,'Issuance Log'!$G:$G,$B$4),0)</f>
        <v>0</v>
      </c>
      <c r="E1572" s="5" t="str">
        <f ca="1">IFERROR(INDEX('Issuance Log'!$E:$E,MATCH(MAXIFS('Issuance Log'!$D:$D,'Issuance Log'!$B:$B,A1572,'Issuance Log'!$G:$G,$B$4),IF(('Issuance Log'!$B:$B=A1572)*('Issuance Log'!$G:$G=$B$4),'Issuance Log'!$D:$D),0)),"-")</f>
        <v>-</v>
      </c>
    </row>
    <row r="1573" spans="1:5" x14ac:dyDescent="0.25">
      <c r="A1573" s="2" t="s">
        <v>3070</v>
      </c>
      <c r="B1573" s="2" t="s">
        <v>3071</v>
      </c>
      <c r="C1573" s="3">
        <f>IFERROR(SUMIFS('Issuance Log'!$D:$D,'Issuance Log'!$B:$B,A1573,'Issuance Log'!$G:$G,$B$4),0)</f>
        <v>0</v>
      </c>
      <c r="D1573" s="3">
        <f>IFERROR(COUNTIFS('Issuance Log'!$B:$B,A1573,'Issuance Log'!$G:$G,$B$4),0)</f>
        <v>0</v>
      </c>
      <c r="E1573" s="3" t="str">
        <f ca="1">IFERROR(INDEX('Issuance Log'!$E:$E,MATCH(MAXIFS('Issuance Log'!$D:$D,'Issuance Log'!$B:$B,A1573,'Issuance Log'!$G:$G,$B$4),IF(('Issuance Log'!$B:$B=A1573)*('Issuance Log'!$G:$G=$B$4),'Issuance Log'!$D:$D),0)),"-")</f>
        <v>-</v>
      </c>
    </row>
    <row r="1574" spans="1:5" x14ac:dyDescent="0.25">
      <c r="A1574" s="4" t="s">
        <v>3072</v>
      </c>
      <c r="B1574" s="4" t="s">
        <v>3073</v>
      </c>
      <c r="C1574" s="5">
        <f>IFERROR(SUMIFS('Issuance Log'!$D:$D,'Issuance Log'!$B:$B,A1574,'Issuance Log'!$G:$G,$B$4),0)</f>
        <v>0</v>
      </c>
      <c r="D1574" s="5">
        <f>IFERROR(COUNTIFS('Issuance Log'!$B:$B,A1574,'Issuance Log'!$G:$G,$B$4),0)</f>
        <v>0</v>
      </c>
      <c r="E1574" s="5" t="str">
        <f ca="1">IFERROR(INDEX('Issuance Log'!$E:$E,MATCH(MAXIFS('Issuance Log'!$D:$D,'Issuance Log'!$B:$B,A1574,'Issuance Log'!$G:$G,$B$4),IF(('Issuance Log'!$B:$B=A1574)*('Issuance Log'!$G:$G=$B$4),'Issuance Log'!$D:$D),0)),"-")</f>
        <v>-</v>
      </c>
    </row>
    <row r="1575" spans="1:5" x14ac:dyDescent="0.25">
      <c r="A1575" s="2" t="s">
        <v>3074</v>
      </c>
      <c r="B1575" s="2" t="s">
        <v>3075</v>
      </c>
      <c r="C1575" s="3">
        <f>IFERROR(SUMIFS('Issuance Log'!$D:$D,'Issuance Log'!$B:$B,A1575,'Issuance Log'!$G:$G,$B$4),0)</f>
        <v>0</v>
      </c>
      <c r="D1575" s="3">
        <f>IFERROR(COUNTIFS('Issuance Log'!$B:$B,A1575,'Issuance Log'!$G:$G,$B$4),0)</f>
        <v>0</v>
      </c>
      <c r="E1575" s="3" t="str">
        <f ca="1">IFERROR(INDEX('Issuance Log'!$E:$E,MATCH(MAXIFS('Issuance Log'!$D:$D,'Issuance Log'!$B:$B,A1575,'Issuance Log'!$G:$G,$B$4),IF(('Issuance Log'!$B:$B=A1575)*('Issuance Log'!$G:$G=$B$4),'Issuance Log'!$D:$D),0)),"-")</f>
        <v>-</v>
      </c>
    </row>
    <row r="1576" spans="1:5" x14ac:dyDescent="0.25">
      <c r="A1576" s="4" t="s">
        <v>3076</v>
      </c>
      <c r="B1576" s="4" t="s">
        <v>3077</v>
      </c>
      <c r="C1576" s="5">
        <f>IFERROR(SUMIFS('Issuance Log'!$D:$D,'Issuance Log'!$B:$B,A1576,'Issuance Log'!$G:$G,$B$4),0)</f>
        <v>0</v>
      </c>
      <c r="D1576" s="5">
        <f>IFERROR(COUNTIFS('Issuance Log'!$B:$B,A1576,'Issuance Log'!$G:$G,$B$4),0)</f>
        <v>0</v>
      </c>
      <c r="E1576" s="5" t="str">
        <f ca="1">IFERROR(INDEX('Issuance Log'!$E:$E,MATCH(MAXIFS('Issuance Log'!$D:$D,'Issuance Log'!$B:$B,A1576,'Issuance Log'!$G:$G,$B$4),IF(('Issuance Log'!$B:$B=A1576)*('Issuance Log'!$G:$G=$B$4),'Issuance Log'!$D:$D),0)),"-")</f>
        <v>-</v>
      </c>
    </row>
    <row r="1577" spans="1:5" x14ac:dyDescent="0.25">
      <c r="A1577" s="2" t="s">
        <v>3078</v>
      </c>
      <c r="B1577" s="2" t="s">
        <v>3079</v>
      </c>
      <c r="C1577" s="3">
        <f>IFERROR(SUMIFS('Issuance Log'!$D:$D,'Issuance Log'!$B:$B,A1577,'Issuance Log'!$G:$G,$B$4),0)</f>
        <v>0</v>
      </c>
      <c r="D1577" s="3">
        <f>IFERROR(COUNTIFS('Issuance Log'!$B:$B,A1577,'Issuance Log'!$G:$G,$B$4),0)</f>
        <v>0</v>
      </c>
      <c r="E1577" s="3" t="str">
        <f ca="1">IFERROR(INDEX('Issuance Log'!$E:$E,MATCH(MAXIFS('Issuance Log'!$D:$D,'Issuance Log'!$B:$B,A1577,'Issuance Log'!$G:$G,$B$4),IF(('Issuance Log'!$B:$B=A1577)*('Issuance Log'!$G:$G=$B$4),'Issuance Log'!$D:$D),0)),"-")</f>
        <v>-</v>
      </c>
    </row>
    <row r="1578" spans="1:5" x14ac:dyDescent="0.25">
      <c r="A1578" s="4" t="s">
        <v>3080</v>
      </c>
      <c r="B1578" s="4" t="s">
        <v>3081</v>
      </c>
      <c r="C1578" s="5">
        <f>IFERROR(SUMIFS('Issuance Log'!$D:$D,'Issuance Log'!$B:$B,A1578,'Issuance Log'!$G:$G,$B$4),0)</f>
        <v>0</v>
      </c>
      <c r="D1578" s="5">
        <f>IFERROR(COUNTIFS('Issuance Log'!$B:$B,A1578,'Issuance Log'!$G:$G,$B$4),0)</f>
        <v>0</v>
      </c>
      <c r="E1578" s="5" t="str">
        <f ca="1">IFERROR(INDEX('Issuance Log'!$E:$E,MATCH(MAXIFS('Issuance Log'!$D:$D,'Issuance Log'!$B:$B,A1578,'Issuance Log'!$G:$G,$B$4),IF(('Issuance Log'!$B:$B=A1578)*('Issuance Log'!$G:$G=$B$4),'Issuance Log'!$D:$D),0)),"-")</f>
        <v>-</v>
      </c>
    </row>
    <row r="1579" spans="1:5" x14ac:dyDescent="0.25">
      <c r="A1579" s="2" t="s">
        <v>3082</v>
      </c>
      <c r="B1579" s="2" t="s">
        <v>3083</v>
      </c>
      <c r="C1579" s="3">
        <f>IFERROR(SUMIFS('Issuance Log'!$D:$D,'Issuance Log'!$B:$B,A1579,'Issuance Log'!$G:$G,$B$4),0)</f>
        <v>0</v>
      </c>
      <c r="D1579" s="3">
        <f>IFERROR(COUNTIFS('Issuance Log'!$B:$B,A1579,'Issuance Log'!$G:$G,$B$4),0)</f>
        <v>0</v>
      </c>
      <c r="E1579" s="3" t="str">
        <f ca="1">IFERROR(INDEX('Issuance Log'!$E:$E,MATCH(MAXIFS('Issuance Log'!$D:$D,'Issuance Log'!$B:$B,A1579,'Issuance Log'!$G:$G,$B$4),IF(('Issuance Log'!$B:$B=A1579)*('Issuance Log'!$G:$G=$B$4),'Issuance Log'!$D:$D),0)),"-")</f>
        <v>-</v>
      </c>
    </row>
    <row r="1580" spans="1:5" x14ac:dyDescent="0.25">
      <c r="A1580" s="4" t="s">
        <v>3084</v>
      </c>
      <c r="B1580" s="4" t="s">
        <v>3085</v>
      </c>
      <c r="C1580" s="5">
        <f>IFERROR(SUMIFS('Issuance Log'!$D:$D,'Issuance Log'!$B:$B,A1580,'Issuance Log'!$G:$G,$B$4),0)</f>
        <v>0</v>
      </c>
      <c r="D1580" s="5">
        <f>IFERROR(COUNTIFS('Issuance Log'!$B:$B,A1580,'Issuance Log'!$G:$G,$B$4),0)</f>
        <v>0</v>
      </c>
      <c r="E1580" s="5" t="str">
        <f ca="1">IFERROR(INDEX('Issuance Log'!$E:$E,MATCH(MAXIFS('Issuance Log'!$D:$D,'Issuance Log'!$B:$B,A1580,'Issuance Log'!$G:$G,$B$4),IF(('Issuance Log'!$B:$B=A1580)*('Issuance Log'!$G:$G=$B$4),'Issuance Log'!$D:$D),0)),"-")</f>
        <v>-</v>
      </c>
    </row>
    <row r="1581" spans="1:5" x14ac:dyDescent="0.25">
      <c r="A1581" s="2" t="s">
        <v>3086</v>
      </c>
      <c r="B1581" s="2" t="s">
        <v>3087</v>
      </c>
      <c r="C1581" s="3">
        <f>IFERROR(SUMIFS('Issuance Log'!$D:$D,'Issuance Log'!$B:$B,A1581,'Issuance Log'!$G:$G,$B$4),0)</f>
        <v>0</v>
      </c>
      <c r="D1581" s="3">
        <f>IFERROR(COUNTIFS('Issuance Log'!$B:$B,A1581,'Issuance Log'!$G:$G,$B$4),0)</f>
        <v>0</v>
      </c>
      <c r="E1581" s="3" t="str">
        <f ca="1">IFERROR(INDEX('Issuance Log'!$E:$E,MATCH(MAXIFS('Issuance Log'!$D:$D,'Issuance Log'!$B:$B,A1581,'Issuance Log'!$G:$G,$B$4),IF(('Issuance Log'!$B:$B=A1581)*('Issuance Log'!$G:$G=$B$4),'Issuance Log'!$D:$D),0)),"-")</f>
        <v>-</v>
      </c>
    </row>
    <row r="1582" spans="1:5" x14ac:dyDescent="0.25">
      <c r="A1582" s="4" t="s">
        <v>3088</v>
      </c>
      <c r="B1582" s="4" t="s">
        <v>3089</v>
      </c>
      <c r="C1582" s="5">
        <f>IFERROR(SUMIFS('Issuance Log'!$D:$D,'Issuance Log'!$B:$B,A1582,'Issuance Log'!$G:$G,$B$4),0)</f>
        <v>0</v>
      </c>
      <c r="D1582" s="5">
        <f>IFERROR(COUNTIFS('Issuance Log'!$B:$B,A1582,'Issuance Log'!$G:$G,$B$4),0)</f>
        <v>0</v>
      </c>
      <c r="E1582" s="5" t="str">
        <f ca="1">IFERROR(INDEX('Issuance Log'!$E:$E,MATCH(MAXIFS('Issuance Log'!$D:$D,'Issuance Log'!$B:$B,A1582,'Issuance Log'!$G:$G,$B$4),IF(('Issuance Log'!$B:$B=A1582)*('Issuance Log'!$G:$G=$B$4),'Issuance Log'!$D:$D),0)),"-")</f>
        <v>-</v>
      </c>
    </row>
    <row r="1583" spans="1:5" x14ac:dyDescent="0.25">
      <c r="A1583" s="2" t="s">
        <v>3090</v>
      </c>
      <c r="B1583" s="2" t="s">
        <v>3091</v>
      </c>
      <c r="C1583" s="3">
        <f>IFERROR(SUMIFS('Issuance Log'!$D:$D,'Issuance Log'!$B:$B,A1583,'Issuance Log'!$G:$G,$B$4),0)</f>
        <v>0</v>
      </c>
      <c r="D1583" s="3">
        <f>IFERROR(COUNTIFS('Issuance Log'!$B:$B,A1583,'Issuance Log'!$G:$G,$B$4),0)</f>
        <v>0</v>
      </c>
      <c r="E1583" s="3" t="str">
        <f ca="1">IFERROR(INDEX('Issuance Log'!$E:$E,MATCH(MAXIFS('Issuance Log'!$D:$D,'Issuance Log'!$B:$B,A1583,'Issuance Log'!$G:$G,$B$4),IF(('Issuance Log'!$B:$B=A1583)*('Issuance Log'!$G:$G=$B$4),'Issuance Log'!$D:$D),0)),"-")</f>
        <v>-</v>
      </c>
    </row>
    <row r="1584" spans="1:5" x14ac:dyDescent="0.25">
      <c r="A1584" s="4" t="s">
        <v>3092</v>
      </c>
      <c r="B1584" s="4" t="s">
        <v>3093</v>
      </c>
      <c r="C1584" s="5">
        <f>IFERROR(SUMIFS('Issuance Log'!$D:$D,'Issuance Log'!$B:$B,A1584,'Issuance Log'!$G:$G,$B$4),0)</f>
        <v>0</v>
      </c>
      <c r="D1584" s="5">
        <f>IFERROR(COUNTIFS('Issuance Log'!$B:$B,A1584,'Issuance Log'!$G:$G,$B$4),0)</f>
        <v>0</v>
      </c>
      <c r="E1584" s="5" t="str">
        <f ca="1">IFERROR(INDEX('Issuance Log'!$E:$E,MATCH(MAXIFS('Issuance Log'!$D:$D,'Issuance Log'!$B:$B,A1584,'Issuance Log'!$G:$G,$B$4),IF(('Issuance Log'!$B:$B=A1584)*('Issuance Log'!$G:$G=$B$4),'Issuance Log'!$D:$D),0)),"-")</f>
        <v>-</v>
      </c>
    </row>
  </sheetData>
  <autoFilter ref="A6:E1584"/>
  <mergeCells count="2">
    <mergeCell ref="A2:E2"/>
    <mergeCell ref="A1:E1"/>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
  <sheetViews>
    <sheetView workbookViewId="0">
      <selection activeCell="A7" sqref="A7"/>
    </sheetView>
  </sheetViews>
  <sheetFormatPr defaultRowHeight="15" x14ac:dyDescent="0.25"/>
  <cols>
    <col min="1" max="1" width="87.42578125" style="10" bestFit="1" customWidth="1"/>
    <col min="2" max="2" width="173.5703125" style="10" bestFit="1" customWidth="1"/>
  </cols>
  <sheetData>
    <row r="1" spans="1:2" ht="24" customHeight="1" x14ac:dyDescent="0.25">
      <c r="A1" s="13" t="s">
        <v>3109</v>
      </c>
      <c r="B1" s="14"/>
    </row>
    <row r="2" spans="1:2" ht="8.1" customHeight="1" x14ac:dyDescent="0.25">
      <c r="A2" s="15"/>
      <c r="B2" s="15"/>
    </row>
    <row r="3" spans="1:2" ht="20.100000000000001" customHeight="1" x14ac:dyDescent="0.25">
      <c r="A3" s="16" t="s">
        <v>3110</v>
      </c>
      <c r="B3" s="16"/>
    </row>
    <row r="4" spans="1:2" ht="30" customHeight="1" x14ac:dyDescent="0.25">
      <c r="A4" s="11" t="s">
        <v>3111</v>
      </c>
      <c r="B4" s="12" t="s">
        <v>3112</v>
      </c>
    </row>
    <row r="5" spans="1:2" ht="30" customHeight="1" x14ac:dyDescent="0.25">
      <c r="A5" s="11" t="s">
        <v>3113</v>
      </c>
      <c r="B5" s="12" t="s">
        <v>3114</v>
      </c>
    </row>
    <row r="6" spans="1:2" ht="30" customHeight="1" x14ac:dyDescent="0.25">
      <c r="A6" s="11" t="s">
        <v>3115</v>
      </c>
      <c r="B6" s="12" t="s">
        <v>3116</v>
      </c>
    </row>
    <row r="7" spans="1:2" ht="30" customHeight="1" x14ac:dyDescent="0.25">
      <c r="A7" s="11" t="s">
        <v>3117</v>
      </c>
      <c r="B7" s="12" t="s">
        <v>3118</v>
      </c>
    </row>
    <row r="8" spans="1:2" ht="8.1" customHeight="1" x14ac:dyDescent="0.25">
      <c r="A8" s="15"/>
      <c r="B8" s="15"/>
    </row>
    <row r="9" spans="1:2" ht="20.100000000000001" customHeight="1" x14ac:dyDescent="0.25">
      <c r="A9" s="17" t="s">
        <v>3119</v>
      </c>
      <c r="B9" s="17"/>
    </row>
    <row r="10" spans="1:2" ht="30" customHeight="1" x14ac:dyDescent="0.25">
      <c r="A10" s="18" t="s">
        <v>3120</v>
      </c>
      <c r="B10" s="12" t="s">
        <v>3121</v>
      </c>
    </row>
    <row r="11" spans="1:2" ht="30" customHeight="1" x14ac:dyDescent="0.25">
      <c r="A11" s="18" t="s">
        <v>3122</v>
      </c>
      <c r="B11" s="12" t="s">
        <v>3123</v>
      </c>
    </row>
    <row r="12" spans="1:2" ht="80.099999999999994" customHeight="1" x14ac:dyDescent="0.25">
      <c r="A12" s="18" t="s">
        <v>3124</v>
      </c>
      <c r="B12" s="12" t="s">
        <v>3125</v>
      </c>
    </row>
    <row r="13" spans="1:2" ht="8.1" customHeight="1" x14ac:dyDescent="0.25">
      <c r="A13" s="15"/>
      <c r="B13" s="15"/>
    </row>
    <row r="14" spans="1:2" ht="20.100000000000001" customHeight="1" x14ac:dyDescent="0.25">
      <c r="A14" s="19" t="s">
        <v>3126</v>
      </c>
      <c r="B14" s="19"/>
    </row>
    <row r="15" spans="1:2" ht="30" customHeight="1" x14ac:dyDescent="0.25">
      <c r="A15" s="20" t="s">
        <v>3127</v>
      </c>
      <c r="B15" s="12" t="s">
        <v>3128</v>
      </c>
    </row>
    <row r="16" spans="1:2" ht="75" customHeight="1" x14ac:dyDescent="0.25">
      <c r="A16" s="20" t="s">
        <v>3129</v>
      </c>
      <c r="B16" s="12" t="s">
        <v>3130</v>
      </c>
    </row>
    <row r="17" spans="1:2" ht="90" customHeight="1" x14ac:dyDescent="0.25">
      <c r="A17" s="20" t="s">
        <v>3131</v>
      </c>
      <c r="B17" s="12" t="s">
        <v>3132</v>
      </c>
    </row>
    <row r="18" spans="1:2" ht="30" customHeight="1" x14ac:dyDescent="0.25">
      <c r="A18" s="20" t="s">
        <v>3133</v>
      </c>
      <c r="B18" s="12" t="s">
        <v>3134</v>
      </c>
    </row>
    <row r="19" spans="1:2" ht="8.1" customHeight="1" x14ac:dyDescent="0.25">
      <c r="A19" s="15"/>
      <c r="B19" s="15"/>
    </row>
    <row r="20" spans="1:2" ht="20.100000000000001" customHeight="1" x14ac:dyDescent="0.25">
      <c r="A20" s="16" t="s">
        <v>3135</v>
      </c>
      <c r="B20" s="16"/>
    </row>
    <row r="21" spans="1:2" ht="30" customHeight="1" x14ac:dyDescent="0.25">
      <c r="A21" s="11" t="s">
        <v>3111</v>
      </c>
      <c r="B21" s="12" t="s">
        <v>3136</v>
      </c>
    </row>
    <row r="22" spans="1:2" ht="30" customHeight="1" x14ac:dyDescent="0.25">
      <c r="A22" s="11" t="s">
        <v>3137</v>
      </c>
      <c r="B22" s="12" t="s">
        <v>3138</v>
      </c>
    </row>
    <row r="23" spans="1:2" ht="30" customHeight="1" x14ac:dyDescent="0.25">
      <c r="A23" s="11" t="s">
        <v>3139</v>
      </c>
      <c r="B23" s="12" t="s">
        <v>3140</v>
      </c>
    </row>
    <row r="24" spans="1:2" ht="30" customHeight="1" x14ac:dyDescent="0.25">
      <c r="A24" s="11" t="s">
        <v>3141</v>
      </c>
      <c r="B24" s="12" t="s">
        <v>3142</v>
      </c>
    </row>
    <row r="25" spans="1:2" ht="8.1" customHeight="1" x14ac:dyDescent="0.25">
      <c r="A25" s="15"/>
      <c r="B25" s="15"/>
    </row>
    <row r="26" spans="1:2" ht="20.100000000000001" customHeight="1" x14ac:dyDescent="0.25">
      <c r="A26" s="16" t="s">
        <v>3143</v>
      </c>
      <c r="B26" s="16"/>
    </row>
    <row r="27" spans="1:2" ht="30" customHeight="1" x14ac:dyDescent="0.25">
      <c r="A27" s="11" t="s">
        <v>3111</v>
      </c>
      <c r="B27" s="12" t="s">
        <v>3144</v>
      </c>
    </row>
    <row r="28" spans="1:2" ht="30" customHeight="1" x14ac:dyDescent="0.25">
      <c r="A28" s="11" t="s">
        <v>3145</v>
      </c>
      <c r="B28" s="12" t="s">
        <v>3146</v>
      </c>
    </row>
    <row r="29" spans="1:2" ht="30" customHeight="1" x14ac:dyDescent="0.25">
      <c r="A29" s="11" t="s">
        <v>3147</v>
      </c>
      <c r="B29" s="12" t="s">
        <v>3148</v>
      </c>
    </row>
    <row r="30" spans="1:2" ht="8.1" customHeight="1" x14ac:dyDescent="0.25">
      <c r="A30" s="15"/>
      <c r="B30" s="15"/>
    </row>
    <row r="31" spans="1:2" ht="20.100000000000001" customHeight="1" x14ac:dyDescent="0.25">
      <c r="A31" s="21" t="s">
        <v>3149</v>
      </c>
      <c r="B31" s="21"/>
    </row>
    <row r="32" spans="1:2" ht="30" customHeight="1" x14ac:dyDescent="0.25">
      <c r="A32" s="11" t="s">
        <v>3150</v>
      </c>
      <c r="B32" s="12" t="s">
        <v>3151</v>
      </c>
    </row>
    <row r="33" spans="1:2" ht="30" customHeight="1" x14ac:dyDescent="0.25">
      <c r="A33" s="11" t="s">
        <v>3152</v>
      </c>
      <c r="B33" s="12" t="s">
        <v>3153</v>
      </c>
    </row>
    <row r="34" spans="1:2" ht="30" customHeight="1" x14ac:dyDescent="0.25">
      <c r="A34" s="11" t="s">
        <v>3154</v>
      </c>
      <c r="B34" s="12" t="s">
        <v>3155</v>
      </c>
    </row>
    <row r="35" spans="1:2" ht="30" customHeight="1" x14ac:dyDescent="0.25">
      <c r="A35" s="11" t="s">
        <v>3156</v>
      </c>
      <c r="B35" s="12" t="s">
        <v>3157</v>
      </c>
    </row>
    <row r="36" spans="1:2" ht="30" customHeight="1" x14ac:dyDescent="0.25">
      <c r="A36" s="11" t="s">
        <v>3158</v>
      </c>
      <c r="B36" s="12" t="s">
        <v>3159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Inventory Master</vt:lpstr>
      <vt:lpstr>Issuance Log</vt:lpstr>
      <vt:lpstr>Monthly Summary</vt:lpstr>
      <vt:lpstr>HOW TO 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Yusuf Tiamiyu</cp:lastModifiedBy>
  <dcterms:created xsi:type="dcterms:W3CDTF">2026-02-19T08:55:34Z</dcterms:created>
  <dcterms:modified xsi:type="dcterms:W3CDTF">2026-04-03T18:07:25Z</dcterms:modified>
</cp:coreProperties>
</file>
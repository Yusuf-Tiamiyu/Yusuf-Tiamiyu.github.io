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usuf.Tiamiyu\Downloads\"/>
    </mc:Choice>
  </mc:AlternateContent>
  <bookViews>
    <workbookView xWindow="0" yWindow="0" windowWidth="16380" windowHeight="8190" tabRatio="500"/>
  </bookViews>
  <sheets>
    <sheet name="DASHBOARD" sheetId="1" r:id="rId1"/>
    <sheet name="DATA ENTRY" sheetId="2" r:id="rId2"/>
    <sheet name="PIVOT DATA" sheetId="3" state="hidden" r:id="rId3"/>
    <sheet name="SELECTIONS" sheetId="4" r:id="rId4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7" i="4" l="1"/>
  <c r="E8" i="4" s="1"/>
  <c r="E6" i="4"/>
  <c r="E5" i="4"/>
  <c r="E4" i="4"/>
  <c r="E3" i="4"/>
  <c r="D13" i="3"/>
  <c r="C13" i="3"/>
  <c r="B13" i="3"/>
  <c r="D12" i="3"/>
  <c r="C12" i="3"/>
  <c r="B12" i="3"/>
  <c r="D11" i="3"/>
  <c r="C11" i="3"/>
  <c r="B11" i="3"/>
  <c r="J10" i="3"/>
  <c r="I10" i="3"/>
  <c r="H10" i="3"/>
  <c r="D10" i="3"/>
  <c r="C10" i="3"/>
  <c r="B10" i="3"/>
  <c r="J9" i="3"/>
  <c r="I9" i="3"/>
  <c r="H9" i="3"/>
  <c r="D9" i="3"/>
  <c r="C9" i="3"/>
  <c r="B9" i="3"/>
  <c r="J8" i="3"/>
  <c r="I8" i="3"/>
  <c r="H8" i="3"/>
  <c r="D8" i="3"/>
  <c r="C8" i="3"/>
  <c r="B8" i="3"/>
  <c r="N7" i="3"/>
  <c r="J7" i="3"/>
  <c r="I7" i="3"/>
  <c r="H7" i="3"/>
  <c r="D7" i="3"/>
  <c r="C7" i="3"/>
  <c r="B7" i="3"/>
  <c r="N6" i="3"/>
  <c r="J6" i="3"/>
  <c r="I6" i="3"/>
  <c r="H6" i="3"/>
  <c r="D6" i="3"/>
  <c r="C6" i="3"/>
  <c r="B6" i="3"/>
  <c r="N5" i="3"/>
  <c r="J5" i="3"/>
  <c r="I5" i="3"/>
  <c r="H5" i="3"/>
  <c r="D5" i="3"/>
  <c r="C5" i="3"/>
  <c r="B5" i="3"/>
  <c r="G141" i="2"/>
  <c r="G140" i="2"/>
  <c r="G139" i="2"/>
  <c r="G138" i="2"/>
  <c r="G137" i="2"/>
  <c r="G136" i="2"/>
  <c r="E13" i="3" s="1"/>
  <c r="G135" i="2"/>
  <c r="G134" i="2"/>
  <c r="G133" i="2"/>
  <c r="G132" i="2"/>
  <c r="G131" i="2"/>
  <c r="G130" i="2"/>
  <c r="E12" i="3" s="1"/>
  <c r="G129" i="2"/>
  <c r="G128" i="2"/>
  <c r="G127" i="2"/>
  <c r="G126" i="2"/>
  <c r="G125" i="2"/>
  <c r="G124" i="2"/>
  <c r="E11" i="3" s="1"/>
  <c r="G123" i="2"/>
  <c r="G122" i="2"/>
  <c r="G121" i="2"/>
  <c r="G120" i="2"/>
  <c r="G119" i="2"/>
  <c r="G118" i="2"/>
  <c r="E10" i="3" s="1"/>
  <c r="G117" i="2"/>
  <c r="G116" i="2"/>
  <c r="G115" i="2"/>
  <c r="G114" i="2"/>
  <c r="G113" i="2"/>
  <c r="G112" i="2"/>
  <c r="E9" i="3" s="1"/>
  <c r="G111" i="2"/>
  <c r="G110" i="2"/>
  <c r="G109" i="2"/>
  <c r="G108" i="2"/>
  <c r="E8" i="3" s="1"/>
  <c r="G107" i="2"/>
  <c r="G106" i="2"/>
  <c r="G105" i="2"/>
  <c r="G104" i="2"/>
  <c r="G103" i="2"/>
  <c r="G102" i="2"/>
  <c r="G101" i="2"/>
  <c r="G100" i="2"/>
  <c r="E7" i="3" s="1"/>
  <c r="G99" i="2"/>
  <c r="G98" i="2"/>
  <c r="G97" i="2"/>
  <c r="G96" i="2"/>
  <c r="E6" i="3" s="1"/>
  <c r="G95" i="2"/>
  <c r="G94" i="2"/>
  <c r="G93" i="2"/>
  <c r="G92" i="2"/>
  <c r="G91" i="2"/>
  <c r="G90" i="2"/>
  <c r="G89" i="2"/>
  <c r="G88" i="2"/>
  <c r="E5" i="3" s="1"/>
  <c r="L83" i="2"/>
  <c r="K83" i="2"/>
  <c r="K82" i="2"/>
  <c r="L82" i="2" s="1"/>
  <c r="L81" i="2"/>
  <c r="K81" i="2"/>
  <c r="K80" i="2"/>
  <c r="L80" i="2" s="1"/>
  <c r="L79" i="2"/>
  <c r="K79" i="2"/>
  <c r="K78" i="2"/>
  <c r="L78" i="2" s="1"/>
  <c r="L77" i="2"/>
  <c r="K77" i="2"/>
  <c r="K76" i="2"/>
  <c r="L76" i="2" s="1"/>
  <c r="L75" i="2"/>
  <c r="K75" i="2"/>
  <c r="K74" i="2"/>
  <c r="L74" i="2" s="1"/>
  <c r="L73" i="2"/>
  <c r="K73" i="2"/>
  <c r="K72" i="2"/>
  <c r="L72" i="2" s="1"/>
  <c r="L71" i="2"/>
  <c r="K71" i="2"/>
  <c r="K70" i="2"/>
  <c r="L70" i="2" s="1"/>
  <c r="L69" i="2"/>
  <c r="K69" i="2"/>
  <c r="K68" i="2"/>
  <c r="L68" i="2" s="1"/>
  <c r="L67" i="2"/>
  <c r="K67" i="2"/>
  <c r="K66" i="2"/>
  <c r="L66" i="2" s="1"/>
  <c r="A72" i="1"/>
  <c r="A73" i="1" s="1"/>
  <c r="M7" i="1" s="1"/>
  <c r="A71" i="1"/>
  <c r="K9" i="1" s="1"/>
  <c r="A70" i="1"/>
  <c r="A67" i="1"/>
  <c r="A66" i="1"/>
  <c r="A68" i="1" s="1"/>
  <c r="A63" i="1"/>
  <c r="A62" i="1"/>
  <c r="A61" i="1"/>
  <c r="A60" i="1"/>
  <c r="A59" i="1"/>
  <c r="A58" i="1"/>
  <c r="B9" i="1" s="1"/>
  <c r="A57" i="1"/>
  <c r="A56" i="1"/>
  <c r="A55" i="1"/>
  <c r="B7" i="1" s="1"/>
  <c r="A54" i="1"/>
  <c r="A53" i="1"/>
  <c r="A52" i="1"/>
  <c r="A51" i="1"/>
  <c r="E6" i="1" s="1"/>
  <c r="A50" i="1"/>
  <c r="C35" i="1"/>
  <c r="F35" i="1" s="1"/>
  <c r="F34" i="1"/>
  <c r="E34" i="1"/>
  <c r="C34" i="1"/>
  <c r="F33" i="1"/>
  <c r="E33" i="1"/>
  <c r="C33" i="1"/>
  <c r="C32" i="1"/>
  <c r="F32" i="1" s="1"/>
  <c r="C31" i="1"/>
  <c r="F31" i="1" s="1"/>
  <c r="F30" i="1"/>
  <c r="E30" i="1"/>
  <c r="C30" i="1"/>
  <c r="J29" i="1"/>
  <c r="K29" i="1" s="1"/>
  <c r="H29" i="1"/>
  <c r="F29" i="1"/>
  <c r="E29" i="1"/>
  <c r="C29" i="1"/>
  <c r="J28" i="1"/>
  <c r="K28" i="1" s="1"/>
  <c r="H28" i="1"/>
  <c r="C28" i="1"/>
  <c r="E28" i="1" s="1"/>
  <c r="K27" i="1"/>
  <c r="J27" i="1"/>
  <c r="H27" i="1"/>
  <c r="I29" i="1" s="1"/>
  <c r="C27" i="1"/>
  <c r="F27" i="1" s="1"/>
  <c r="G22" i="1"/>
  <c r="F22" i="1"/>
  <c r="E22" i="1"/>
  <c r="D22" i="1"/>
  <c r="C22" i="1"/>
  <c r="G21" i="1"/>
  <c r="F21" i="1"/>
  <c r="E21" i="1"/>
  <c r="D21" i="1"/>
  <c r="C21" i="1"/>
  <c r="G20" i="1"/>
  <c r="F20" i="1"/>
  <c r="E20" i="1"/>
  <c r="D20" i="1"/>
  <c r="C20" i="1"/>
  <c r="L19" i="1"/>
  <c r="K19" i="1"/>
  <c r="J19" i="1"/>
  <c r="I19" i="1"/>
  <c r="G19" i="1"/>
  <c r="F19" i="1"/>
  <c r="E19" i="1"/>
  <c r="D19" i="1"/>
  <c r="C19" i="1"/>
  <c r="L18" i="1"/>
  <c r="K18" i="1"/>
  <c r="J18" i="1"/>
  <c r="I18" i="1"/>
  <c r="G18" i="1"/>
  <c r="F18" i="1"/>
  <c r="E18" i="1"/>
  <c r="D18" i="1"/>
  <c r="C18" i="1"/>
  <c r="L17" i="1"/>
  <c r="K17" i="1"/>
  <c r="J17" i="1"/>
  <c r="I17" i="1"/>
  <c r="G17" i="1"/>
  <c r="F17" i="1"/>
  <c r="E17" i="1"/>
  <c r="D17" i="1"/>
  <c r="C17" i="1"/>
  <c r="L16" i="1"/>
  <c r="K16" i="1"/>
  <c r="J16" i="1"/>
  <c r="I16" i="1"/>
  <c r="G16" i="1"/>
  <c r="F16" i="1"/>
  <c r="E16" i="1"/>
  <c r="D16" i="1"/>
  <c r="C16" i="1"/>
  <c r="L15" i="1"/>
  <c r="K15" i="1"/>
  <c r="J15" i="1"/>
  <c r="I15" i="1"/>
  <c r="G15" i="1"/>
  <c r="F15" i="1"/>
  <c r="E15" i="1"/>
  <c r="D15" i="1"/>
  <c r="C15" i="1"/>
  <c r="L14" i="1"/>
  <c r="K14" i="1"/>
  <c r="J14" i="1"/>
  <c r="I14" i="1"/>
  <c r="G14" i="1"/>
  <c r="F14" i="1"/>
  <c r="E14" i="1"/>
  <c r="D14" i="1"/>
  <c r="C14" i="1"/>
  <c r="H9" i="1"/>
  <c r="E9" i="1"/>
  <c r="H7" i="1"/>
  <c r="E7" i="1"/>
  <c r="M6" i="1"/>
  <c r="H6" i="1"/>
  <c r="B6" i="1"/>
  <c r="A2" i="1"/>
  <c r="A69" i="1" l="1"/>
  <c r="K7" i="1"/>
  <c r="K6" i="1"/>
  <c r="A65" i="1"/>
  <c r="E32" i="1"/>
  <c r="E27" i="1"/>
  <c r="F28" i="1"/>
  <c r="E31" i="1"/>
  <c r="E35" i="1"/>
  <c r="I28" i="1"/>
  <c r="I27" i="1"/>
  <c r="M9" i="1"/>
  <c r="A64" i="1" l="1"/>
</calcChain>
</file>

<file path=xl/sharedStrings.xml><?xml version="1.0" encoding="utf-8"?>
<sst xmlns="http://schemas.openxmlformats.org/spreadsheetml/2006/main" count="746" uniqueCount="101">
  <si>
    <t>⟵  Go to SELECTIONS sheet to change filters  ·  Go to DATA ENTRY sheet to add data</t>
  </si>
  <si>
    <t>TOTAL TESTS RUN</t>
  </si>
  <si>
    <t>TAT % vs 90% TARGET</t>
  </si>
  <si>
    <t>STAFF ADEQUACY</t>
  </si>
  <si>
    <t>ANALYZER STATUS</t>
  </si>
  <si>
    <t>Month Total</t>
  </si>
  <si>
    <t>Month TAT / Gap vs 90%</t>
  </si>
  <si>
    <t>Understaffed Depts  /  Total Shortfall</t>
  </si>
  <si>
    <t>Functional  /  Down  /  For Repair</t>
  </si>
  <si>
    <t>TESTS BY SITE</t>
  </si>
  <si>
    <t>TESTS BY DEPARTMENT</t>
  </si>
  <si>
    <t>Site</t>
  </si>
  <si>
    <t>Tests</t>
  </si>
  <si>
    <t>REQs</t>
  </si>
  <si>
    <t>TAT %</t>
  </si>
  <si>
    <t>Staff Gap</t>
  </si>
  <si>
    <t>Status</t>
  </si>
  <si>
    <t>Department</t>
  </si>
  <si>
    <t>Gap vs 90%</t>
  </si>
  <si>
    <t>Site A</t>
  </si>
  <si>
    <t>Chemistry</t>
  </si>
  <si>
    <t>Site B</t>
  </si>
  <si>
    <t>Serology</t>
  </si>
  <si>
    <t>Site C</t>
  </si>
  <si>
    <t>Hematology</t>
  </si>
  <si>
    <t>Site D</t>
  </si>
  <si>
    <t>Cardiac Markers</t>
  </si>
  <si>
    <t>Site E</t>
  </si>
  <si>
    <t>Endocrinology</t>
  </si>
  <si>
    <t>Site F</t>
  </si>
  <si>
    <t>Toxicology</t>
  </si>
  <si>
    <t>Site G</t>
  </si>
  <si>
    <t>Site H</t>
  </si>
  <si>
    <t>Site I</t>
  </si>
  <si>
    <t>STAFFING OVERSite BEW  (Target: 6 staff per site)</t>
  </si>
  <si>
    <t>ANALYZER STATUS (Filtered by Month, Week, Site &amp; Dept)</t>
  </si>
  <si>
    <t>Actual Staff</t>
  </si>
  <si>
    <t>Target</t>
  </si>
  <si>
    <t>Gap</t>
  </si>
  <si>
    <t>Count</t>
  </si>
  <si>
    <t>% of Total</t>
  </si>
  <si>
    <t>Avg % Avail</t>
  </si>
  <si>
    <t>Functional</t>
  </si>
  <si>
    <t>Downtime</t>
  </si>
  <si>
    <t>Due for Repair</t>
  </si>
  <si>
    <t>Lab Operations Co.  ·  Lab Operations Dashboard  ·  Data is sourced from DATA ENTRY sheet  ·  TAT Target: 90%  ·  Staff Target: 6 per site  ·  Analyzer Availability Target: 90%  ·  Staff Adequacy Target: 100% of departments fully staffed</t>
  </si>
  <si>
    <t>SECTION A – Weekly Test Volume &amp; TAT Performance</t>
  </si>
  <si>
    <t>Year</t>
  </si>
  <si>
    <t>Month</t>
  </si>
  <si>
    <t>Week</t>
  </si>
  <si>
    <t>Tests Run</t>
  </si>
  <si>
    <t>Unique REQ Numbers</t>
  </si>
  <si>
    <t>TAT % (Tests meeting target)</t>
  </si>
  <si>
    <t>January</t>
  </si>
  <si>
    <t>Week 1</t>
  </si>
  <si>
    <t>SECTION B – Analyzer Register  |  Fill in Month &amp; Week to match your reporting period.  |  Fill in Downtime &amp; Repair hours (decimal, e.g. 4.5 = 4h30m) to auto-calculate % Availability  |  Add more rows as needed — one row per analyzer per period</t>
  </si>
  <si>
    <t>Analyzer Name</t>
  </si>
  <si>
    <t>Model/Brand</t>
  </si>
  <si>
    <t>Last Service Date</t>
  </si>
  <si>
    <t>Next Service Due</t>
  </si>
  <si>
    <t>Notes</t>
  </si>
  <si>
    <t>Downtime Hrs</t>
  </si>
  <si>
    <t>Repair Hrs</t>
  </si>
  <si>
    <t>% Availability</t>
  </si>
  <si>
    <t>▶ ADD MORE ANALYZERS: Type a new row in this section. Copy formulas in columns K &amp; L from any existing row downward. Fill in Month &amp; Week (cols M &amp; N) to match your reporting period. Availability % = (168 hrs − Downtime hrs − Repair hrs) ÷ 168 hrs per week.</t>
  </si>
  <si>
    <t>CHE-Analyzer-01</t>
  </si>
  <si>
    <t>Sample Brand</t>
  </si>
  <si>
    <t>2024-01-01</t>
  </si>
  <si>
    <t>2024-07-01</t>
  </si>
  <si>
    <t>SER-Analyzer-01</t>
  </si>
  <si>
    <t>SECTION C – Staffing Register</t>
  </si>
  <si>
    <t>Staff Count (Actual)</t>
  </si>
  <si>
    <t>Target (6)</t>
  </si>
  <si>
    <t>PIVOT DATA – Do not edit this sheet</t>
  </si>
  <si>
    <t>PURPOSE: This sheet holds pre-computed all-time organisation totals (no filters). The DASHBOARD itself uses SUMIFS/AVERAGEIFS that respond to your SELECTIONS filters. PIVOT DATA is a background reference layer — you don't need to edit it.</t>
  </si>
  <si>
    <t>Site Summary (all periods)</t>
  </si>
  <si>
    <t>Dept Summary (all periods)</t>
  </si>
  <si>
    <t>Analyzer Status Summary</t>
  </si>
  <si>
    <t>Total Tests</t>
  </si>
  <si>
    <t>Total REC</t>
  </si>
  <si>
    <t>Avg TAT%</t>
  </si>
  <si>
    <t>FILTER SELECTIONS – Change these cells to filter the Dashboard</t>
  </si>
  <si>
    <t>Selected Year</t>
  </si>
  <si>
    <t>Selected Month</t>
  </si>
  <si>
    <t>Selected Week</t>
  </si>
  <si>
    <t>Selected Site</t>
  </si>
  <si>
    <t>All Sites</t>
  </si>
  <si>
    <t>Selected Department</t>
  </si>
  <si>
    <t>All Departments</t>
  </si>
  <si>
    <t>HOW TO USE:</t>
  </si>
  <si>
    <t>1. Change the yellow cells above to filter the DASHBOARD.</t>
  </si>
  <si>
    <t>2. Year: Currently 2026 only. Month + Week: drill into any period.</t>
  </si>
  <si>
    <t>3. Site: select one site or 'All Sites' for org-wide view.</t>
  </si>
  <si>
    <t>4. Department: select one department or 'All Departments'.</t>
  </si>
  <si>
    <t>5. Analyzer Status Register on dashboard also filters by Site &amp; Department.</t>
  </si>
  <si>
    <t>6. Staff Adequacy KPI: shows % of dept-rows meeting the 6-staff target (filtered). 100% = all staffed.</t>
  </si>
  <si>
    <t>7. Analyzer KPI: shows avg % availability vs 90% target (filtered by site &amp; dept).</t>
  </si>
  <si>
    <t xml:space="preserve">  LAB OPERATIONS DASHBOARD</t>
  </si>
  <si>
    <t>UNIQUE REQ NUMBERS</t>
  </si>
  <si>
    <t>LAB OPERATIONS DATA ENTRY  |  Section A: Weekly Test Volume &amp; TAT. Section B: Analyzer Register. Section C: Staffing Register.  |  Add new rows below last entry. Copy formulas in K &amp; L of Section B downward for new analyzers.</t>
  </si>
  <si>
    <t xml:space="preserve"> LAB OPERATIONS DATA 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</si>
</sst>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\+0.0%;\-0.0%;0.0%"/>
    <numFmt numFmtId="166" formatCode="0.0"/>
  </numFmts>
  <fonts count="37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FFFFFF"/>
      <name val="Arial"/>
      <charset val="1"/>
    </font>
    <font>
      <i/>
      <sz val="9"/>
      <color rgb="FF5A6A85"/>
      <name val="Arial"/>
      <charset val="1"/>
    </font>
    <font>
      <b/>
      <sz val="9"/>
      <color rgb="FFB0BEC5"/>
      <name val="Arial"/>
      <charset val="1"/>
    </font>
    <font>
      <b/>
      <sz val="9"/>
      <color rgb="FFCE93D8"/>
      <name val="Arial"/>
      <charset val="1"/>
    </font>
    <font>
      <b/>
      <sz val="9"/>
      <color rgb="FFA5D6A7"/>
      <name val="Arial"/>
      <charset val="1"/>
    </font>
    <font>
      <b/>
      <sz val="20"/>
      <color rgb="FFFFFFFF"/>
      <name val="Arial"/>
      <charset val="1"/>
    </font>
    <font>
      <b/>
      <sz val="18"/>
      <color rgb="FFFFFFFF"/>
      <name val="Arial"/>
      <charset val="1"/>
    </font>
    <font>
      <sz val="9"/>
      <color rgb="FFB0BEC5"/>
      <name val="Arial"/>
      <charset val="1"/>
    </font>
    <font>
      <sz val="9"/>
      <color rgb="FFCE93D8"/>
      <name val="Arial"/>
      <charset val="1"/>
    </font>
    <font>
      <sz val="8"/>
      <color rgb="FFA5D6A7"/>
      <name val="Arial"/>
      <charset val="1"/>
    </font>
    <font>
      <sz val="8"/>
      <color rgb="FF78909C"/>
      <name val="Arial"/>
      <charset val="1"/>
    </font>
    <font>
      <sz val="8"/>
      <color rgb="FFBA68C8"/>
      <name val="Arial"/>
      <charset val="1"/>
    </font>
    <font>
      <sz val="8"/>
      <color rgb="FF81C784"/>
      <name val="Arial"/>
      <charset val="1"/>
    </font>
    <font>
      <b/>
      <sz val="12"/>
      <color rgb="FFCFD8DC"/>
      <name val="Arial"/>
      <charset val="1"/>
    </font>
    <font>
      <b/>
      <sz val="12"/>
      <color rgb="FFE1BEE7"/>
      <name val="Arial"/>
      <charset val="1"/>
    </font>
    <font>
      <b/>
      <sz val="12"/>
      <color rgb="FFC8E6C9"/>
      <name val="Arial"/>
      <charset val="1"/>
    </font>
    <font>
      <b/>
      <sz val="10"/>
      <color rgb="FFFFFFFF"/>
      <name val="Arial"/>
      <charset val="1"/>
    </font>
    <font>
      <sz val="9"/>
      <color rgb="FF1A1A2E"/>
      <name val="Arial"/>
      <charset val="1"/>
    </font>
    <font>
      <b/>
      <sz val="9"/>
      <color rgb="FFFFFFFF"/>
      <name val="Arial"/>
      <charset val="1"/>
    </font>
    <font>
      <b/>
      <sz val="10"/>
      <color rgb="FF1A1A2E"/>
      <name val="Arial"/>
      <charset val="1"/>
    </font>
    <font>
      <b/>
      <sz val="9"/>
      <color rgb="FF1B5E20"/>
      <name val="Arial"/>
      <charset val="1"/>
    </font>
    <font>
      <b/>
      <sz val="11"/>
      <color rgb="FF1A1A2E"/>
      <name val="Arial"/>
      <charset val="1"/>
    </font>
    <font>
      <sz val="9"/>
      <color rgb="FF5A6A85"/>
      <name val="Arial"/>
      <charset val="1"/>
    </font>
    <font>
      <b/>
      <sz val="9"/>
      <color rgb="FFB71C1C"/>
      <name val="Arial"/>
      <charset val="1"/>
    </font>
    <font>
      <b/>
      <sz val="9"/>
      <color rgb="FFF57F17"/>
      <name val="Arial"/>
      <charset val="1"/>
    </font>
    <font>
      <i/>
      <sz val="8"/>
      <color rgb="FF5A6A85"/>
      <name val="Arial"/>
      <charset val="1"/>
    </font>
    <font>
      <sz val="7"/>
      <color rgb="FFFFFFFF"/>
      <name val="Arial"/>
      <charset val="1"/>
    </font>
    <font>
      <b/>
      <sz val="14"/>
      <color rgb="FFFFFFFF"/>
      <name val="Arial"/>
      <charset val="1"/>
    </font>
    <font>
      <i/>
      <sz val="9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5A6A85"/>
      <name val="Arial"/>
      <charset val="1"/>
    </font>
    <font>
      <b/>
      <sz val="9"/>
      <color rgb="FF1A1A2E"/>
      <name val="Arial"/>
      <charset val="1"/>
    </font>
    <font>
      <b/>
      <sz val="11"/>
      <color rgb="FF0D1F3C"/>
      <name val="Arial"/>
      <charset val="1"/>
    </font>
    <font>
      <sz val="7"/>
      <color rgb="FFCCCCCC"/>
      <name val="Arial"/>
      <charset val="1"/>
    </font>
    <font>
      <b/>
      <sz val="10"/>
      <color rgb="FF0D1F3C"/>
      <name val="Arial"/>
      <charset val="1"/>
    </font>
  </fonts>
  <fills count="18">
    <fill>
      <patternFill patternType="none"/>
    </fill>
    <fill>
      <patternFill patternType="gray125"/>
    </fill>
    <fill>
      <patternFill patternType="solid">
        <fgColor rgb="FF0D1F3C"/>
        <bgColor rgb="FF1A1A2E"/>
      </patternFill>
    </fill>
    <fill>
      <patternFill patternType="solid">
        <fgColor rgb="FF00A99D"/>
        <bgColor rgb="FF78909C"/>
      </patternFill>
    </fill>
    <fill>
      <patternFill patternType="solid">
        <fgColor rgb="FFF4F6F9"/>
        <bgColor rgb="FFEEF2F7"/>
      </patternFill>
    </fill>
    <fill>
      <patternFill patternType="solid">
        <fgColor rgb="FF1A3A5C"/>
        <bgColor rgb="FF1A3320"/>
      </patternFill>
    </fill>
    <fill>
      <patternFill patternType="solid">
        <fgColor rgb="FF0F5132"/>
        <bgColor rgb="FF1B5E20"/>
      </patternFill>
    </fill>
    <fill>
      <patternFill patternType="solid">
        <fgColor rgb="FF4A235A"/>
        <bgColor rgb="FF1A1A2E"/>
      </patternFill>
    </fill>
    <fill>
      <patternFill patternType="solid">
        <fgColor rgb="FF1A3320"/>
        <bgColor rgb="FF0D1F3C"/>
      </patternFill>
    </fill>
    <fill>
      <patternFill patternType="solid">
        <fgColor rgb="FF5C6BC0"/>
        <bgColor rgb="FF5A6A85"/>
      </patternFill>
    </fill>
    <fill>
      <patternFill patternType="solid">
        <fgColor rgb="FFFFFFFF"/>
        <bgColor rgb="FFF4F6F9"/>
      </patternFill>
    </fill>
    <fill>
      <patternFill patternType="solid">
        <fgColor rgb="FFEEF2F7"/>
        <bgColor rgb="FFF4F6F9"/>
      </patternFill>
    </fill>
    <fill>
      <patternFill patternType="solid">
        <fgColor rgb="FFF5A623"/>
        <bgColor rgb="FFF57F17"/>
      </patternFill>
    </fill>
    <fill>
      <patternFill patternType="solid">
        <fgColor rgb="FFC8E6C9"/>
        <bgColor rgb="FFC6EFCE"/>
      </patternFill>
    </fill>
    <fill>
      <patternFill patternType="solid">
        <fgColor rgb="FFFFCDD2"/>
        <bgColor rgb="FFFFC7CE"/>
      </patternFill>
    </fill>
    <fill>
      <patternFill patternType="solid">
        <fgColor rgb="FFFFF9C4"/>
        <bgColor rgb="FFFFEB9C"/>
      </patternFill>
    </fill>
    <fill>
      <patternFill patternType="solid">
        <fgColor rgb="FFDDE3ED"/>
        <bgColor rgb="FFCFD8DC"/>
      </patternFill>
    </fill>
    <fill>
      <patternFill patternType="solid">
        <fgColor rgb="FFE8F5E9"/>
        <bgColor rgb="FFEEF2F7"/>
      </patternFill>
    </fill>
  </fills>
  <borders count="8">
    <border>
      <left/>
      <right/>
      <top/>
      <bottom/>
      <diagonal/>
    </border>
    <border>
      <left/>
      <right/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/>
      <top/>
      <bottom style="medium">
        <color rgb="FFFFFFFF"/>
      </bottom>
      <diagonal/>
    </border>
    <border>
      <left/>
      <right/>
      <top/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/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9" fillId="2" borderId="2" xfId="0" applyFont="1" applyFill="1" applyBorder="1" applyAlignment="1">
      <alignment horizontal="center" vertical="center" wrapText="1"/>
    </xf>
    <xf numFmtId="164" fontId="8" fillId="8" borderId="0" xfId="0" applyNumberFormat="1" applyFont="1" applyFill="1" applyBorder="1" applyAlignment="1">
      <alignment horizontal="center" vertical="center" wrapText="1"/>
    </xf>
    <xf numFmtId="9" fontId="8" fillId="7" borderId="0" xfId="0" applyNumberFormat="1" applyFont="1" applyFill="1" applyBorder="1" applyAlignment="1">
      <alignment horizontal="center" vertical="center" wrapText="1"/>
    </xf>
    <xf numFmtId="164" fontId="7" fillId="6" borderId="2" xfId="0" applyNumberFormat="1" applyFont="1" applyFill="1" applyBorder="1" applyAlignment="1">
      <alignment horizontal="center" vertical="center" wrapText="1"/>
    </xf>
    <xf numFmtId="3" fontId="7" fillId="5" borderId="2" xfId="0" applyNumberFormat="1" applyFont="1" applyFill="1" applyBorder="1" applyAlignment="1">
      <alignment horizontal="center" vertical="center" wrapText="1"/>
    </xf>
    <xf numFmtId="3" fontId="7" fillId="2" borderId="2" xfId="0" applyNumberFormat="1" applyFont="1" applyFill="1" applyBorder="1" applyAlignment="1">
      <alignment horizontal="center" vertical="center" wrapText="1"/>
    </xf>
    <xf numFmtId="0" fontId="6" fillId="8" borderId="0" xfId="0" applyFont="1" applyFill="1" applyBorder="1" applyAlignment="1">
      <alignment horizontal="center" vertical="center" wrapText="1"/>
    </xf>
    <xf numFmtId="0" fontId="5" fillId="7" borderId="0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9" fillId="10" borderId="0" xfId="0" applyFont="1" applyFill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20" fillId="9" borderId="5" xfId="0" applyFont="1" applyFill="1" applyBorder="1" applyAlignment="1">
      <alignment horizontal="center" vertical="center" wrapText="1"/>
    </xf>
    <xf numFmtId="0" fontId="20" fillId="10" borderId="0" xfId="0" applyFont="1" applyFill="1" applyAlignment="1">
      <alignment horizontal="center" vertical="center" wrapText="1"/>
    </xf>
    <xf numFmtId="0" fontId="19" fillId="4" borderId="5" xfId="0" applyFont="1" applyFill="1" applyBorder="1" applyAlignment="1">
      <alignment horizontal="left" vertical="center" wrapText="1"/>
    </xf>
    <xf numFmtId="3" fontId="19" fillId="0" borderId="5" xfId="0" applyNumberFormat="1" applyFont="1" applyBorder="1" applyAlignment="1">
      <alignment horizontal="center" vertical="center" wrapText="1"/>
    </xf>
    <xf numFmtId="164" fontId="19" fillId="0" borderId="5" xfId="0" applyNumberFormat="1" applyFont="1" applyBorder="1" applyAlignment="1">
      <alignment horizontal="center" vertical="center" wrapText="1"/>
    </xf>
    <xf numFmtId="1" fontId="19" fillId="0" borderId="5" xfId="0" applyNumberFormat="1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165" fontId="19" fillId="0" borderId="5" xfId="0" applyNumberFormat="1" applyFont="1" applyBorder="1" applyAlignment="1">
      <alignment horizontal="center" vertical="center" wrapText="1"/>
    </xf>
    <xf numFmtId="3" fontId="19" fillId="11" borderId="5" xfId="0" applyNumberFormat="1" applyFont="1" applyFill="1" applyBorder="1" applyAlignment="1">
      <alignment horizontal="center" vertical="center" wrapText="1"/>
    </xf>
    <xf numFmtId="164" fontId="19" fillId="11" borderId="5" xfId="0" applyNumberFormat="1" applyFont="1" applyFill="1" applyBorder="1" applyAlignment="1">
      <alignment horizontal="center" vertical="center" wrapText="1"/>
    </xf>
    <xf numFmtId="1" fontId="19" fillId="11" borderId="5" xfId="0" applyNumberFormat="1" applyFont="1" applyFill="1" applyBorder="1" applyAlignment="1">
      <alignment horizontal="center" vertical="center" wrapText="1"/>
    </xf>
    <xf numFmtId="0" fontId="19" fillId="11" borderId="5" xfId="0" applyFont="1" applyFill="1" applyBorder="1" applyAlignment="1">
      <alignment horizontal="center" vertical="center" wrapText="1"/>
    </xf>
    <xf numFmtId="0" fontId="19" fillId="11" borderId="5" xfId="0" applyFont="1" applyFill="1" applyBorder="1" applyAlignment="1">
      <alignment horizontal="left" vertical="center" wrapText="1"/>
    </xf>
    <xf numFmtId="165" fontId="19" fillId="11" borderId="5" xfId="0" applyNumberFormat="1" applyFont="1" applyFill="1" applyBorder="1" applyAlignment="1">
      <alignment horizontal="center" vertical="center" wrapText="1"/>
    </xf>
    <xf numFmtId="0" fontId="0" fillId="10" borderId="0" xfId="0" applyFill="1"/>
    <xf numFmtId="166" fontId="19" fillId="0" borderId="5" xfId="0" applyNumberFormat="1" applyFont="1" applyBorder="1" applyAlignment="1">
      <alignment horizontal="center" vertical="center" wrapText="1"/>
    </xf>
    <xf numFmtId="0" fontId="22" fillId="13" borderId="5" xfId="0" applyFont="1" applyFill="1" applyBorder="1" applyAlignment="1">
      <alignment horizontal="center" vertical="center" wrapText="1"/>
    </xf>
    <xf numFmtId="0" fontId="23" fillId="4" borderId="5" xfId="0" applyFont="1" applyFill="1" applyBorder="1" applyAlignment="1">
      <alignment horizontal="center" vertical="center" wrapText="1"/>
    </xf>
    <xf numFmtId="164" fontId="24" fillId="4" borderId="5" xfId="0" applyNumberFormat="1" applyFont="1" applyFill="1" applyBorder="1" applyAlignment="1">
      <alignment horizontal="center" vertical="center" wrapText="1"/>
    </xf>
    <xf numFmtId="164" fontId="19" fillId="4" borderId="5" xfId="0" applyNumberFormat="1" applyFont="1" applyFill="1" applyBorder="1" applyAlignment="1">
      <alignment horizontal="center" vertical="center" wrapText="1"/>
    </xf>
    <xf numFmtId="165" fontId="19" fillId="4" borderId="5" xfId="0" applyNumberFormat="1" applyFont="1" applyFill="1" applyBorder="1" applyAlignment="1">
      <alignment horizontal="center" vertical="center" wrapText="1"/>
    </xf>
    <xf numFmtId="166" fontId="19" fillId="11" borderId="5" xfId="0" applyNumberFormat="1" applyFont="1" applyFill="1" applyBorder="1" applyAlignment="1">
      <alignment horizontal="center" vertical="center" wrapText="1"/>
    </xf>
    <xf numFmtId="0" fontId="25" fillId="14" borderId="5" xfId="0" applyFont="1" applyFill="1" applyBorder="1" applyAlignment="1">
      <alignment horizontal="center" vertical="center" wrapText="1"/>
    </xf>
    <xf numFmtId="0" fontId="26" fillId="15" borderId="5" xfId="0" applyFont="1" applyFill="1" applyBorder="1" applyAlignment="1">
      <alignment horizontal="center" vertical="center" wrapText="1"/>
    </xf>
    <xf numFmtId="0" fontId="28" fillId="0" borderId="0" xfId="0" applyFont="1"/>
    <xf numFmtId="9" fontId="19" fillId="0" borderId="5" xfId="0" applyNumberFormat="1" applyFont="1" applyBorder="1" applyAlignment="1">
      <alignment horizontal="center" vertical="center" wrapText="1"/>
    </xf>
    <xf numFmtId="0" fontId="19" fillId="17" borderId="5" xfId="0" applyFont="1" applyFill="1" applyBorder="1" applyAlignment="1">
      <alignment horizontal="center" vertical="center" wrapText="1"/>
    </xf>
    <xf numFmtId="166" fontId="19" fillId="15" borderId="5" xfId="0" applyNumberFormat="1" applyFont="1" applyFill="1" applyBorder="1" applyAlignment="1">
      <alignment horizontal="center" vertical="center" wrapText="1"/>
    </xf>
    <xf numFmtId="165" fontId="19" fillId="0" borderId="7" xfId="0" applyNumberFormat="1" applyFont="1" applyBorder="1" applyAlignment="1">
      <alignment horizontal="center" vertical="center" wrapText="1"/>
    </xf>
    <xf numFmtId="0" fontId="32" fillId="16" borderId="0" xfId="0" applyFont="1" applyFill="1"/>
    <xf numFmtId="0" fontId="33" fillId="0" borderId="0" xfId="0" applyFont="1"/>
    <xf numFmtId="0" fontId="20" fillId="2" borderId="0" xfId="0" applyFont="1" applyFill="1" applyAlignment="1">
      <alignment horizontal="center" vertical="center" wrapText="1"/>
    </xf>
    <xf numFmtId="0" fontId="20" fillId="3" borderId="0" xfId="0" applyFont="1" applyFill="1" applyAlignment="1">
      <alignment horizontal="center" vertical="center" wrapText="1"/>
    </xf>
    <xf numFmtId="0" fontId="20" fillId="12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0" fontId="34" fillId="15" borderId="5" xfId="0" applyFont="1" applyFill="1" applyBorder="1" applyAlignment="1">
      <alignment horizontal="center" vertical="center" wrapText="1"/>
    </xf>
    <xf numFmtId="0" fontId="35" fillId="0" borderId="0" xfId="0" applyFont="1"/>
    <xf numFmtId="0" fontId="36" fillId="0" borderId="0" xfId="0" applyFont="1"/>
    <xf numFmtId="0" fontId="9" fillId="5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10" fillId="7" borderId="0" xfId="0" applyFont="1" applyFill="1" applyBorder="1" applyAlignment="1">
      <alignment horizontal="center" vertical="center" wrapText="1"/>
    </xf>
    <xf numFmtId="0" fontId="11" fillId="8" borderId="0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13" fillId="7" borderId="0" xfId="0" applyFont="1" applyFill="1" applyBorder="1" applyAlignment="1">
      <alignment horizontal="center" vertical="center" wrapText="1"/>
    </xf>
    <xf numFmtId="0" fontId="14" fillId="8" borderId="0" xfId="0" applyFont="1" applyFill="1" applyBorder="1" applyAlignment="1">
      <alignment horizontal="center" vertical="center" wrapText="1"/>
    </xf>
    <xf numFmtId="3" fontId="15" fillId="2" borderId="3" xfId="0" applyNumberFormat="1" applyFont="1" applyFill="1" applyBorder="1" applyAlignment="1">
      <alignment horizontal="center" vertical="center" wrapText="1"/>
    </xf>
    <xf numFmtId="3" fontId="15" fillId="5" borderId="3" xfId="0" applyNumberFormat="1" applyFont="1" applyFill="1" applyBorder="1" applyAlignment="1">
      <alignment horizontal="center" vertical="center" wrapText="1"/>
    </xf>
    <xf numFmtId="49" fontId="15" fillId="6" borderId="3" xfId="0" applyNumberFormat="1" applyFont="1" applyFill="1" applyBorder="1" applyAlignment="1">
      <alignment horizontal="center" vertical="center" wrapText="1"/>
    </xf>
    <xf numFmtId="1" fontId="16" fillId="7" borderId="0" xfId="0" applyNumberFormat="1" applyFont="1" applyFill="1" applyBorder="1" applyAlignment="1">
      <alignment horizontal="center" vertical="center" wrapText="1"/>
    </xf>
    <xf numFmtId="0" fontId="17" fillId="8" borderId="0" xfId="0" applyFont="1" applyFill="1" applyBorder="1" applyAlignment="1">
      <alignment horizontal="center" vertical="center" wrapText="1"/>
    </xf>
    <xf numFmtId="0" fontId="18" fillId="3" borderId="0" xfId="0" applyFont="1" applyFill="1" applyBorder="1" applyAlignment="1">
      <alignment horizontal="center" vertical="center" wrapText="1"/>
    </xf>
    <xf numFmtId="0" fontId="18" fillId="9" borderId="4" xfId="0" applyFont="1" applyFill="1" applyBorder="1" applyAlignment="1">
      <alignment horizontal="center" vertical="center" wrapText="1"/>
    </xf>
    <xf numFmtId="0" fontId="21" fillId="12" borderId="4" xfId="0" applyFont="1" applyFill="1" applyBorder="1" applyAlignment="1">
      <alignment horizontal="center" vertical="center" wrapText="1"/>
    </xf>
    <xf numFmtId="0" fontId="27" fillId="16" borderId="0" xfId="0" applyFont="1" applyFill="1" applyBorder="1" applyAlignment="1">
      <alignment horizontal="center" vertical="center" wrapText="1"/>
    </xf>
    <xf numFmtId="0" fontId="29" fillId="2" borderId="0" xfId="0" applyFont="1" applyFill="1" applyBorder="1" applyAlignment="1">
      <alignment horizontal="center" vertical="center" wrapText="1"/>
    </xf>
    <xf numFmtId="0" fontId="30" fillId="3" borderId="0" xfId="0" applyFont="1" applyFill="1" applyBorder="1" applyAlignment="1">
      <alignment horizontal="center" vertical="center" wrapText="1"/>
    </xf>
    <xf numFmtId="0" fontId="31" fillId="3" borderId="4" xfId="0" applyFont="1" applyFill="1" applyBorder="1" applyAlignment="1">
      <alignment horizontal="center" vertical="center" wrapText="1"/>
    </xf>
    <xf numFmtId="0" fontId="27" fillId="15" borderId="6" xfId="0" applyFont="1" applyFill="1" applyBorder="1" applyAlignment="1">
      <alignment horizontal="center" vertical="center" wrapText="1"/>
    </xf>
    <xf numFmtId="0" fontId="0" fillId="0" borderId="0" xfId="0" applyBorder="1"/>
    <xf numFmtId="0" fontId="31" fillId="9" borderId="4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31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14">
    <dxf>
      <font>
        <sz val="9"/>
        <color rgb="FFB71C1C"/>
        <name val="Arial"/>
      </font>
      <fill>
        <patternFill>
          <bgColor rgb="FFFFCDD2"/>
        </patternFill>
      </fill>
    </dxf>
    <dxf>
      <font>
        <sz val="9"/>
        <color rgb="FFF57F17"/>
        <name val="Arial"/>
      </font>
      <fill>
        <patternFill>
          <bgColor rgb="FFFFF9C4"/>
        </patternFill>
      </fill>
    </dxf>
    <dxf>
      <font>
        <sz val="9"/>
        <color rgb="FF1B5E20"/>
        <name val="Arial"/>
      </font>
      <fill>
        <patternFill>
          <bgColor rgb="FFC8E6C9"/>
        </patternFill>
      </fill>
    </dxf>
    <dxf>
      <font>
        <sz val="9"/>
        <color rgb="FFF57F17"/>
        <name val="Arial"/>
      </font>
      <fill>
        <patternFill>
          <bgColor rgb="FFFFF9C4"/>
        </patternFill>
      </fill>
    </dxf>
    <dxf>
      <font>
        <sz val="9"/>
        <color rgb="FFB71C1C"/>
        <name val="Arial"/>
      </font>
      <fill>
        <patternFill>
          <bgColor rgb="FFFFCDD2"/>
        </patternFill>
      </fill>
    </dxf>
    <dxf>
      <font>
        <sz val="9"/>
        <color rgb="FF1B5E20"/>
        <name val="Arial"/>
      </font>
      <fill>
        <patternFill>
          <bgColor rgb="FFC8E6C9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276221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276221"/>
      </font>
      <fill>
        <patternFill>
          <bgColor rgb="FFC6EFCE"/>
        </patternFill>
      </fill>
    </dxf>
    <dxf>
      <font>
        <sz val="9"/>
        <color rgb="FF1B5E20"/>
        <name val="Arial"/>
      </font>
      <fill>
        <patternFill>
          <bgColor rgb="FFC8E6C9"/>
        </patternFill>
      </fill>
    </dxf>
    <dxf>
      <font>
        <sz val="9"/>
        <color rgb="FFB71C1C"/>
        <name val="Arial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C8E6C9"/>
      <rgbColor rgb="FFFF00FF"/>
      <rgbColor rgb="FF00FFFF"/>
      <rgbColor rgb="FF9C0006"/>
      <rgbColor rgb="FF1B5E20"/>
      <rgbColor rgb="FF000080"/>
      <rgbColor rgb="FF9C5700"/>
      <rgbColor rgb="FF800080"/>
      <rgbColor rgb="FF00A99D"/>
      <rgbColor rgb="FFBBBBBB"/>
      <rgbColor rgb="FF888888"/>
      <rgbColor rgb="FFB0BEC5"/>
      <rgbColor rgb="FF993366"/>
      <rgbColor rgb="FFFFF9C4"/>
      <rgbColor rgb="FFE8F5E9"/>
      <rgbColor rgb="FF660066"/>
      <rgbColor rgb="FFBA68C8"/>
      <rgbColor rgb="FF0F5132"/>
      <rgbColor rgb="FFCFD8DC"/>
      <rgbColor rgb="FF000080"/>
      <rgbColor rgb="FFFF00FF"/>
      <rgbColor rgb="FFF4F6F9"/>
      <rgbColor rgb="FF00FFFF"/>
      <rgbColor rgb="FF800080"/>
      <rgbColor rgb="FF800000"/>
      <rgbColor rgb="FF276221"/>
      <rgbColor rgb="FF0000FF"/>
      <rgbColor rgb="FFDDE3ED"/>
      <rgbColor rgb="FFEEF2F7"/>
      <rgbColor rgb="FFC6EFCE"/>
      <rgbColor rgb="FFFFEB9C"/>
      <rgbColor rgb="FF90CAF9"/>
      <rgbColor rgb="FFE1BEE7"/>
      <rgbColor rgb="FFCE93D8"/>
      <rgbColor rgb="FFFFC7CE"/>
      <rgbColor rgb="FF5C6BC0"/>
      <rgbColor rgb="FFA5D6A7"/>
      <rgbColor rgb="FF81C784"/>
      <rgbColor rgb="FFFFCDD2"/>
      <rgbColor rgb="FFF5A623"/>
      <rgbColor rgb="FFF57F17"/>
      <rgbColor rgb="FF5A6A85"/>
      <rgbColor rgb="FF78909C"/>
      <rgbColor rgb="FF1A3A5C"/>
      <rgbColor rgb="FFCCCCCC"/>
      <rgbColor rgb="FF0D1F3C"/>
      <rgbColor rgb="FF1A1A2E"/>
      <rgbColor rgb="FFB71C1C"/>
      <rgbColor rgb="FF993366"/>
      <rgbColor rgb="FF4A235A"/>
      <rgbColor rgb="FF1A33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1F3C"/>
    <pageSetUpPr fitToPage="1"/>
  </sheetPr>
  <dimension ref="A1:O73"/>
  <sheetViews>
    <sheetView showGridLines="0" tabSelected="1" zoomScale="90" zoomScaleNormal="90" workbookViewId="0">
      <pane ySplit="3" topLeftCell="A4" activePane="bottomLeft" state="frozen"/>
      <selection pane="bottomLeft" activeCell="E9" sqref="E9:G9"/>
    </sheetView>
  </sheetViews>
  <sheetFormatPr defaultColWidth="8.7109375" defaultRowHeight="15" x14ac:dyDescent="0.25"/>
  <cols>
    <col min="1" max="1" width="2" customWidth="1"/>
    <col min="2" max="2" width="18" customWidth="1"/>
    <col min="3" max="14" width="14" customWidth="1"/>
    <col min="15" max="15" width="2" customWidth="1"/>
  </cols>
  <sheetData>
    <row r="1" spans="1:15" ht="39.75" customHeight="1" x14ac:dyDescent="0.25">
      <c r="A1" s="14" t="s">
        <v>97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21.75" customHeight="1" x14ac:dyDescent="0.25">
      <c r="A2" s="13" t="str">
        <f>" Viewing: "&amp;SELECTIONS!B4&amp;"  ·  "&amp;SELECTIONS!B5&amp;"  ·  "&amp;SELECTIONS!B6&amp;"  ·  "&amp;SELECTIONS!B7</f>
        <v xml:space="preserve"> Viewing: January  ·  Week 1  ·  All Sites  ·  All Departments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1:15" ht="18" customHeight="1" x14ac:dyDescent="0.25">
      <c r="A3" s="12" t="s">
        <v>0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</row>
    <row r="5" spans="1:15" ht="27" customHeight="1" x14ac:dyDescent="0.25">
      <c r="B5" s="11" t="s">
        <v>1</v>
      </c>
      <c r="C5" s="11"/>
      <c r="D5" s="11"/>
      <c r="E5" s="10" t="s">
        <v>98</v>
      </c>
      <c r="F5" s="10"/>
      <c r="G5" s="10"/>
      <c r="H5" s="9" t="s">
        <v>2</v>
      </c>
      <c r="I5" s="9"/>
      <c r="J5" s="9"/>
      <c r="K5" s="8" t="s">
        <v>3</v>
      </c>
      <c r="L5" s="8"/>
      <c r="M5" s="7" t="s">
        <v>4</v>
      </c>
      <c r="N5" s="7"/>
    </row>
    <row r="6" spans="1:15" ht="31.5" customHeight="1" x14ac:dyDescent="0.25">
      <c r="B6" s="6">
        <f>A50</f>
        <v>12465</v>
      </c>
      <c r="C6" s="6"/>
      <c r="D6" s="6"/>
      <c r="E6" s="5">
        <f>A51</f>
        <v>11599</v>
      </c>
      <c r="F6" s="5"/>
      <c r="G6" s="5"/>
      <c r="H6" s="4">
        <f>A52</f>
        <v>0.86777777777777776</v>
      </c>
      <c r="I6" s="4"/>
      <c r="J6" s="4"/>
      <c r="K6" s="3">
        <f>A68</f>
        <v>0.51851851851851849</v>
      </c>
      <c r="L6" s="3"/>
      <c r="M6" s="2">
        <f>A72</f>
        <v>1</v>
      </c>
      <c r="N6" s="2"/>
    </row>
    <row r="7" spans="1:15" ht="18" customHeight="1" x14ac:dyDescent="0.25">
      <c r="B7" s="1" t="str">
        <f>IF(A55=0,"No prior week data",IF((A50-A55)&gt;0,"▲ +"&amp;TEXT(ABS((A50-A55)),"#,##0")&amp;" vs prev week",IF((A50-A55)&lt;0,"▼ -"&amp;TEXT(ABS((A50-A55)),"#,##0")&amp;" vs prev week","► No change vs prev week")))</f>
        <v>No prior week data</v>
      </c>
      <c r="C7" s="1"/>
      <c r="D7" s="1"/>
      <c r="E7" s="55" t="str">
        <f>IF(A56=0,"No prior week data",IF((A51-A56)&gt;0,"▲ +"&amp;TEXT(ABS((A51-A56)),"#,##0")&amp;" vs prev week",IF((A51-A56)&lt;0,"▼ -"&amp;TEXT(ABS((A51-A56)),"#,##0")&amp;" vs prev week","► No change vs prev week")))</f>
        <v>No prior week data</v>
      </c>
      <c r="F7" s="55"/>
      <c r="G7" s="55"/>
      <c r="H7" s="56" t="str">
        <f>IF(A57=0,"No prior week data",IF((A52-A57)&gt;0,"▲ +"&amp;TEXT(ABS((A52-A57)),"0.0%")&amp;" vs prev week",IF((A52-A57)&lt;0,"▼ -"&amp;TEXT(ABS((A52-A57)),"0.0%")&amp;" vs prev week","► No change vs prev week")))</f>
        <v>No prior week data</v>
      </c>
      <c r="I7" s="56"/>
      <c r="J7" s="56"/>
      <c r="K7" s="57" t="str">
        <f>IF(A68=1,"✓ 100% Depts Fully Staffed","⚠ "&amp;TEXT(A68,"0%")&amp;" staffed  |  Gap: "&amp;TEXT(A69,"+0%;-0%;0%"))</f>
        <v>⚠ 52% staffed  |  Gap: -48%</v>
      </c>
      <c r="L7" s="57"/>
      <c r="M7" s="58" t="str">
        <f>IF(A72=0,"No data","⚠ "&amp;TEXT(A72,"0.0%")&amp;" Avg Avail  |  Gap: "&amp;TEXT(A73,"+0.0%;-0.0%;0.0%")&amp;" vs 90%")</f>
        <v>⚠ 100.0% Avg Avail  |  Gap: +10.0% vs 90%</v>
      </c>
      <c r="N7" s="58"/>
    </row>
    <row r="8" spans="1:15" ht="15.75" customHeight="1" x14ac:dyDescent="0.25">
      <c r="B8" s="59" t="s">
        <v>5</v>
      </c>
      <c r="C8" s="59"/>
      <c r="D8" s="59"/>
      <c r="E8" s="60" t="s">
        <v>5</v>
      </c>
      <c r="F8" s="60"/>
      <c r="G8" s="60"/>
      <c r="H8" s="61" t="s">
        <v>6</v>
      </c>
      <c r="I8" s="61"/>
      <c r="J8" s="61"/>
      <c r="K8" s="62" t="s">
        <v>7</v>
      </c>
      <c r="L8" s="62"/>
      <c r="M8" s="63" t="s">
        <v>8</v>
      </c>
      <c r="N8" s="63"/>
    </row>
    <row r="9" spans="1:15" ht="30.75" customHeight="1" x14ac:dyDescent="0.25">
      <c r="B9" s="64">
        <f>A58</f>
        <v>12465</v>
      </c>
      <c r="C9" s="64"/>
      <c r="D9" s="64"/>
      <c r="E9" s="65">
        <f>A59</f>
        <v>11599</v>
      </c>
      <c r="F9" s="65"/>
      <c r="G9" s="65"/>
      <c r="H9" s="66" t="str">
        <f>TEXT(A60,"0.0%")&amp;"  /  "&amp;TEXT(A60-0.9,"+0.0%;-0.0%;0.0%")</f>
        <v>86.8%  /  -3.2%</v>
      </c>
      <c r="I9" s="66"/>
      <c r="J9" s="66"/>
      <c r="K9" s="67" t="str">
        <f>A70&amp;" dept(s)  |  "&amp;A71&amp;" staff short"</f>
        <v>26 dept(s)  |  58 staff short</v>
      </c>
      <c r="L9" s="67"/>
      <c r="M9" s="68" t="str">
        <f>H27&amp;" ✓  |  "&amp;H28&amp;" ↓  |  "&amp;H29&amp;" 🔧"</f>
        <v>18 ✓  |  0 ↓  |  0 🔧</v>
      </c>
      <c r="N9" s="68"/>
    </row>
    <row r="10" spans="1:15" ht="12" customHeight="1" x14ac:dyDescent="0.25"/>
    <row r="11" spans="1:15" ht="9.75" customHeight="1" x14ac:dyDescent="0.25"/>
    <row r="12" spans="1:15" ht="21.75" customHeight="1" x14ac:dyDescent="0.25">
      <c r="B12" s="69" t="s">
        <v>9</v>
      </c>
      <c r="C12" s="69"/>
      <c r="D12" s="69"/>
      <c r="E12" s="69"/>
      <c r="F12" s="69"/>
      <c r="G12" s="69"/>
      <c r="H12" s="70" t="s">
        <v>10</v>
      </c>
      <c r="I12" s="70"/>
      <c r="J12" s="70"/>
      <c r="K12" s="70"/>
      <c r="L12" s="70"/>
      <c r="M12" s="15"/>
      <c r="N12" s="15"/>
    </row>
    <row r="13" spans="1:15" ht="18" customHeight="1" x14ac:dyDescent="0.25">
      <c r="B13" s="16" t="s">
        <v>11</v>
      </c>
      <c r="C13" s="16" t="s">
        <v>12</v>
      </c>
      <c r="D13" s="16" t="s">
        <v>13</v>
      </c>
      <c r="E13" s="16" t="s">
        <v>14</v>
      </c>
      <c r="F13" s="16" t="s">
        <v>15</v>
      </c>
      <c r="G13" s="16" t="s">
        <v>16</v>
      </c>
      <c r="H13" s="17" t="s">
        <v>17</v>
      </c>
      <c r="I13" s="17" t="s">
        <v>12</v>
      </c>
      <c r="J13" s="17" t="s">
        <v>13</v>
      </c>
      <c r="K13" s="17" t="s">
        <v>14</v>
      </c>
      <c r="L13" s="17" t="s">
        <v>18</v>
      </c>
      <c r="M13" s="18"/>
      <c r="N13" s="18"/>
    </row>
    <row r="14" spans="1:15" ht="18" customHeight="1" x14ac:dyDescent="0.25">
      <c r="B14" s="19" t="s">
        <v>19</v>
      </c>
      <c r="C14" s="20">
        <f>SUMIFS('DATA ENTRY'!F6:F500,'DATA ENTRY'!B6:B500,SELECTIONS!E3,'DATA ENTRY'!C6:C500,SELECTIONS!E4,'DATA ENTRY'!D6:D500,"Site A",'DATA ENTRY'!E6:E500,SELECTIONS!E6)</f>
        <v>1532</v>
      </c>
      <c r="D14" s="20">
        <f>SUMIFS('DATA ENTRY'!G6:G500,'DATA ENTRY'!B6:B500,SELECTIONS!E3,'DATA ENTRY'!C6:C500,SELECTIONS!E4,'DATA ENTRY'!D6:D500,"Site A",'DATA ENTRY'!E6:E500,SELECTIONS!E6)</f>
        <v>761</v>
      </c>
      <c r="E14" s="21">
        <f>IFERROR(AVERAGEIFS('DATA ENTRY'!H6:H500,'DATA ENTRY'!H6:H500,"&gt;0",'DATA ENTRY'!B6:B500,SELECTIONS!E3,'DATA ENTRY'!C6:C500,SELECTIONS!E4,'DATA ENTRY'!D6:D500,"Site A",'DATA ENTRY'!E6:E500,SELECTIONS!E6),0)</f>
        <v>0.88166666666666671</v>
      </c>
      <c r="F14" s="22">
        <f>SUMIFS('DATA ENTRY'!G88:G264,'DATA ENTRY'!A88:A264,"Site A",'DATA ENTRY'!B88:B264,SELECTIONS!E6,'DATA ENTRY'!C88:C264,SELECTIONS!E3,'DATA ENTRY'!D88:D264,SELECTIONS!E4)</f>
        <v>1</v>
      </c>
      <c r="G14" s="23" t="str">
        <f>IF(IFERROR(AVERAGEIFS('DATA ENTRY'!H6:H500,'DATA ENTRY'!H6:H500,"&gt;0",'DATA ENTRY'!B6:B500,SELECTIONS!E3,'DATA ENTRY'!C6:C500,SELECTIONS!E4,'DATA ENTRY'!D6:D500,"Site A",'DATA ENTRY'!E6:E500,SELECTIONS!E6),0)&gt;=0.9,"✓ On Target","⚠ Below Target")</f>
        <v>⚠ Below Target</v>
      </c>
      <c r="H14" s="19" t="s">
        <v>20</v>
      </c>
      <c r="I14" s="20">
        <f>SUMIFS('DATA ENTRY'!F6:F500,'DATA ENTRY'!B6:B500,SELECTIONS!E3,'DATA ENTRY'!C6:C500,SELECTIONS!E4,'DATA ENTRY'!D6:D500,SELECTIONS!E5,'DATA ENTRY'!E6:E500,"Chemistry")</f>
        <v>2275</v>
      </c>
      <c r="J14" s="20">
        <f>SUMIFS('DATA ENTRY'!G6:G500,'DATA ENTRY'!B6:B500,SELECTIONS!E3,'DATA ENTRY'!C6:C500,SELECTIONS!E4,'DATA ENTRY'!D6:D500,SELECTIONS!E5,'DATA ENTRY'!E6:E500,"Chemistry")</f>
        <v>1561</v>
      </c>
      <c r="K14" s="21">
        <f>IFERROR(AVERAGEIFS('DATA ENTRY'!H6:H500,'DATA ENTRY'!H6:H500,"&gt;0",'DATA ENTRY'!B6:B500,SELECTIONS!E3,'DATA ENTRY'!C6:C500,SELECTIONS!E4,'DATA ENTRY'!D6:D500,SELECTIONS!E5,'DATA ENTRY'!E6:E500,"Chemistry"),0)</f>
        <v>0.87888888888888894</v>
      </c>
      <c r="L14" s="24">
        <f>IFERROR(AVERAGEIFS('DATA ENTRY'!H6:H500,'DATA ENTRY'!H6:H500,"&gt;0",'DATA ENTRY'!B6:B500,SELECTIONS!E3,'DATA ENTRY'!C6:C500,SELECTIONS!E4,'DATA ENTRY'!D6:D500,SELECTIONS!E5,'DATA ENTRY'!E6:E500,"Chemistry"),0)-0.9</f>
        <v>-2.1111111111111081E-2</v>
      </c>
      <c r="M14" s="15"/>
      <c r="N14" s="15"/>
    </row>
    <row r="15" spans="1:15" ht="18" customHeight="1" x14ac:dyDescent="0.25">
      <c r="B15" s="19" t="s">
        <v>21</v>
      </c>
      <c r="C15" s="25">
        <f>SUMIFS('DATA ENTRY'!F6:F500,'DATA ENTRY'!B6:B500,SELECTIONS!E3,'DATA ENTRY'!C6:C500,SELECTIONS!E4,'DATA ENTRY'!D6:D500,"Site B",'DATA ENTRY'!E6:E500,SELECTIONS!E6)</f>
        <v>1468</v>
      </c>
      <c r="D15" s="25">
        <f>SUMIFS('DATA ENTRY'!G6:G500,'DATA ENTRY'!B6:B500,SELECTIONS!E3,'DATA ENTRY'!C6:C500,SELECTIONS!E4,'DATA ENTRY'!D6:D500,"Site B",'DATA ENTRY'!E6:E500,SELECTIONS!E6)</f>
        <v>1321</v>
      </c>
      <c r="E15" s="26">
        <f>IFERROR(AVERAGEIFS('DATA ENTRY'!H6:H500,'DATA ENTRY'!H6:H500,"&gt;0",'DATA ENTRY'!B6:B500,SELECTIONS!E3,'DATA ENTRY'!C6:C500,SELECTIONS!E4,'DATA ENTRY'!D6:D500,"Site B",'DATA ENTRY'!E6:E500,SELECTIONS!E6),0)</f>
        <v>0.85166666666666668</v>
      </c>
      <c r="F15" s="27">
        <f>SUMIFS('DATA ENTRY'!G88:G264,'DATA ENTRY'!A88:A264,"Site B",'DATA ENTRY'!B88:B264,SELECTIONS!E6,'DATA ENTRY'!C88:C264,SELECTIONS!E3,'DATA ENTRY'!D88:D264,SELECTIONS!E4)</f>
        <v>-3</v>
      </c>
      <c r="G15" s="28" t="str">
        <f>IF(IFERROR(AVERAGEIFS('DATA ENTRY'!H6:H500,'DATA ENTRY'!H6:H500,"&gt;0",'DATA ENTRY'!B6:B500,SELECTIONS!E3,'DATA ENTRY'!C6:C500,SELECTIONS!E4,'DATA ENTRY'!D6:D500,"Site B",'DATA ENTRY'!E6:E500,SELECTIONS!E6),0)&gt;=0.9,"✓ On Target","⚠ Below Target")</f>
        <v>⚠ Below Target</v>
      </c>
      <c r="H15" s="29" t="s">
        <v>22</v>
      </c>
      <c r="I15" s="25">
        <f>SUMIFS('DATA ENTRY'!F6:F500,'DATA ENTRY'!B6:B500,SELECTIONS!E3,'DATA ENTRY'!C6:C500,SELECTIONS!E4,'DATA ENTRY'!D6:D500,SELECTIONS!E5,'DATA ENTRY'!E6:E500,"Serology")</f>
        <v>1824</v>
      </c>
      <c r="J15" s="25">
        <f>SUMIFS('DATA ENTRY'!G6:G500,'DATA ENTRY'!B6:B500,SELECTIONS!E3,'DATA ENTRY'!C6:C500,SELECTIONS!E4,'DATA ENTRY'!D6:D500,SELECTIONS!E5,'DATA ENTRY'!E6:E500,"Serology")</f>
        <v>2096</v>
      </c>
      <c r="K15" s="26">
        <f>IFERROR(AVERAGEIFS('DATA ENTRY'!H6:H500,'DATA ENTRY'!H6:H500,"&gt;0",'DATA ENTRY'!B6:B500,SELECTIONS!E3,'DATA ENTRY'!C6:C500,SELECTIONS!E4,'DATA ENTRY'!D6:D500,SELECTIONS!E5,'DATA ENTRY'!E6:E500,"Serology"),0)</f>
        <v>0.86222222222222222</v>
      </c>
      <c r="L15" s="30">
        <f>IFERROR(AVERAGEIFS('DATA ENTRY'!H6:H500,'DATA ENTRY'!H6:H500,"&gt;0",'DATA ENTRY'!B6:B500,SELECTIONS!E3,'DATA ENTRY'!C6:C500,SELECTIONS!E4,'DATA ENTRY'!D6:D500,SELECTIONS!E5,'DATA ENTRY'!E6:E500,"Serology"),0)-0.9</f>
        <v>-3.7777777777777799E-2</v>
      </c>
      <c r="M15" s="15"/>
      <c r="N15" s="15"/>
    </row>
    <row r="16" spans="1:15" ht="18" customHeight="1" x14ac:dyDescent="0.25">
      <c r="B16" s="19" t="s">
        <v>23</v>
      </c>
      <c r="C16" s="20">
        <f>SUMIFS('DATA ENTRY'!F6:F500,'DATA ENTRY'!B6:B500,SELECTIONS!E3,'DATA ENTRY'!C6:C500,SELECTIONS!E4,'DATA ENTRY'!D6:D500,"Site C",'DATA ENTRY'!E6:E500,SELECTIONS!E6)</f>
        <v>1232</v>
      </c>
      <c r="D16" s="20">
        <f>SUMIFS('DATA ENTRY'!G6:G500,'DATA ENTRY'!B6:B500,SELECTIONS!E3,'DATA ENTRY'!C6:C500,SELECTIONS!E4,'DATA ENTRY'!D6:D500,"Site C",'DATA ENTRY'!E6:E500,SELECTIONS!E6)</f>
        <v>1144</v>
      </c>
      <c r="E16" s="21">
        <f>IFERROR(AVERAGEIFS('DATA ENTRY'!H6:H500,'DATA ENTRY'!H6:H500,"&gt;0",'DATA ENTRY'!B6:B500,SELECTIONS!E3,'DATA ENTRY'!C6:C500,SELECTIONS!E4,'DATA ENTRY'!D6:D500,"Site C",'DATA ENTRY'!E6:E500,SELECTIONS!E6),0)</f>
        <v>0.90333333333333332</v>
      </c>
      <c r="F16" s="22">
        <f>SUMIFS('DATA ENTRY'!G88:G264,'DATA ENTRY'!A88:A264,"Site C",'DATA ENTRY'!B88:B264,SELECTIONS!E6,'DATA ENTRY'!C88:C264,SELECTIONS!E3,'DATA ENTRY'!D88:D264,SELECTIONS!E4)</f>
        <v>-6</v>
      </c>
      <c r="G16" s="23" t="str">
        <f>IF(IFERROR(AVERAGEIFS('DATA ENTRY'!H6:H500,'DATA ENTRY'!H6:H500,"&gt;0",'DATA ENTRY'!B6:B500,SELECTIONS!E3,'DATA ENTRY'!C6:C500,SELECTIONS!E4,'DATA ENTRY'!D6:D500,"Site C",'DATA ENTRY'!E6:E500,SELECTIONS!E6),0)&gt;=0.9,"✓ On Target","⚠ Below Target")</f>
        <v>✓ On Target</v>
      </c>
      <c r="H16" s="19" t="s">
        <v>24</v>
      </c>
      <c r="I16" s="20">
        <f>SUMIFS('DATA ENTRY'!F6:F500,'DATA ENTRY'!B6:B500,SELECTIONS!E3,'DATA ENTRY'!C6:C500,SELECTIONS!E4,'DATA ENTRY'!D6:D500,SELECTIONS!E5,'DATA ENTRY'!E6:E500,"Hematology")</f>
        <v>1717</v>
      </c>
      <c r="J16" s="20">
        <f>SUMIFS('DATA ENTRY'!G6:G500,'DATA ENTRY'!B6:B500,SELECTIONS!E3,'DATA ENTRY'!C6:C500,SELECTIONS!E4,'DATA ENTRY'!D6:D500,SELECTIONS!E5,'DATA ENTRY'!E6:E500,"Hematology")</f>
        <v>1744</v>
      </c>
      <c r="K16" s="21">
        <f>IFERROR(AVERAGEIFS('DATA ENTRY'!H6:H500,'DATA ENTRY'!H6:H500,"&gt;0",'DATA ENTRY'!B6:B500,SELECTIONS!E3,'DATA ENTRY'!C6:C500,SELECTIONS!E4,'DATA ENTRY'!D6:D500,SELECTIONS!E5,'DATA ENTRY'!E6:E500,"Hematology"),0)</f>
        <v>0.88333333333333341</v>
      </c>
      <c r="L16" s="24">
        <f>IFERROR(AVERAGEIFS('DATA ENTRY'!H6:H500,'DATA ENTRY'!H6:H500,"&gt;0",'DATA ENTRY'!B6:B500,SELECTIONS!E3,'DATA ENTRY'!C6:C500,SELECTIONS!E4,'DATA ENTRY'!D6:D500,SELECTIONS!E5,'DATA ENTRY'!E6:E500,"Hematology"),0)-0.9</f>
        <v>-1.6666666666666607E-2</v>
      </c>
      <c r="M16" s="15"/>
      <c r="N16" s="15"/>
    </row>
    <row r="17" spans="2:14" ht="18" customHeight="1" x14ac:dyDescent="0.25">
      <c r="B17" s="19" t="s">
        <v>25</v>
      </c>
      <c r="C17" s="25">
        <f>SUMIFS('DATA ENTRY'!F6:F500,'DATA ENTRY'!B6:B500,SELECTIONS!E3,'DATA ENTRY'!C6:C500,SELECTIONS!E4,'DATA ENTRY'!D6:D500,"Site D",'DATA ENTRY'!E6:E500,SELECTIONS!E6)</f>
        <v>1519</v>
      </c>
      <c r="D17" s="25">
        <f>SUMIFS('DATA ENTRY'!G6:G500,'DATA ENTRY'!B6:B500,SELECTIONS!E3,'DATA ENTRY'!C6:C500,SELECTIONS!E4,'DATA ENTRY'!D6:D500,"Site D",'DATA ENTRY'!E6:E500,SELECTIONS!E6)</f>
        <v>1205</v>
      </c>
      <c r="E17" s="26">
        <f>IFERROR(AVERAGEIFS('DATA ENTRY'!H6:H500,'DATA ENTRY'!H6:H500,"&gt;0",'DATA ENTRY'!B6:B500,SELECTIONS!E3,'DATA ENTRY'!C6:C500,SELECTIONS!E4,'DATA ENTRY'!D6:D500,"Site D",'DATA ENTRY'!E6:E500,SELECTIONS!E6),0)</f>
        <v>0.85</v>
      </c>
      <c r="F17" s="27">
        <f>SUMIFS('DATA ENTRY'!G88:G264,'DATA ENTRY'!A88:A264,"Site D",'DATA ENTRY'!B88:B264,SELECTIONS!E6,'DATA ENTRY'!C88:C264,SELECTIONS!E3,'DATA ENTRY'!D88:D264,SELECTIONS!E4)</f>
        <v>-5</v>
      </c>
      <c r="G17" s="28" t="str">
        <f>IF(IFERROR(AVERAGEIFS('DATA ENTRY'!H6:H500,'DATA ENTRY'!H6:H500,"&gt;0",'DATA ENTRY'!B6:B500,SELECTIONS!E3,'DATA ENTRY'!C6:C500,SELECTIONS!E4,'DATA ENTRY'!D6:D500,"Site D",'DATA ENTRY'!E6:E500,SELECTIONS!E6),0)&gt;=0.9,"✓ On Target","⚠ Below Target")</f>
        <v>⚠ Below Target</v>
      </c>
      <c r="H17" s="29" t="s">
        <v>26</v>
      </c>
      <c r="I17" s="25">
        <f>SUMIFS('DATA ENTRY'!F6:F500,'DATA ENTRY'!B6:B500,SELECTIONS!E3,'DATA ENTRY'!C6:C500,SELECTIONS!E4,'DATA ENTRY'!D6:D500,SELECTIONS!E5,'DATA ENTRY'!E6:E500,"Cardiac Markers")</f>
        <v>2016</v>
      </c>
      <c r="J17" s="25">
        <f>SUMIFS('DATA ENTRY'!G6:G500,'DATA ENTRY'!B6:B500,SELECTIONS!E3,'DATA ENTRY'!C6:C500,SELECTIONS!E4,'DATA ENTRY'!D6:D500,SELECTIONS!E5,'DATA ENTRY'!E6:E500,"Cardiac Markers")</f>
        <v>1828</v>
      </c>
      <c r="K17" s="26">
        <f>IFERROR(AVERAGEIFS('DATA ENTRY'!H6:H500,'DATA ENTRY'!H6:H500,"&gt;0",'DATA ENTRY'!B6:B500,SELECTIONS!E3,'DATA ENTRY'!C6:C500,SELECTIONS!E4,'DATA ENTRY'!D6:D500,SELECTIONS!E5,'DATA ENTRY'!E6:E500,"Cardiac Markers"),0)</f>
        <v>0.88222222222222213</v>
      </c>
      <c r="L17" s="30">
        <f>IFERROR(AVERAGEIFS('DATA ENTRY'!H6:H500,'DATA ENTRY'!H6:H500,"&gt;0",'DATA ENTRY'!B6:B500,SELECTIONS!E3,'DATA ENTRY'!C6:C500,SELECTIONS!E4,'DATA ENTRY'!D6:D500,SELECTIONS!E5,'DATA ENTRY'!E6:E500,"Cardiac Markers"),0)-0.9</f>
        <v>-1.7777777777777892E-2</v>
      </c>
      <c r="M17" s="15"/>
      <c r="N17" s="15"/>
    </row>
    <row r="18" spans="2:14" ht="18" customHeight="1" x14ac:dyDescent="0.25">
      <c r="B18" s="19" t="s">
        <v>27</v>
      </c>
      <c r="C18" s="20">
        <f>SUMIFS('DATA ENTRY'!F6:F500,'DATA ENTRY'!B6:B500,SELECTIONS!E3,'DATA ENTRY'!C6:C500,SELECTIONS!E4,'DATA ENTRY'!D6:D500,"Site E",'DATA ENTRY'!E6:E500,SELECTIONS!E6)</f>
        <v>1633</v>
      </c>
      <c r="D18" s="20">
        <f>SUMIFS('DATA ENTRY'!G6:G500,'DATA ENTRY'!B6:B500,SELECTIONS!E3,'DATA ENTRY'!C6:C500,SELECTIONS!E4,'DATA ENTRY'!D6:D500,"Site E",'DATA ENTRY'!E6:E500,SELECTIONS!E6)</f>
        <v>1815</v>
      </c>
      <c r="E18" s="21">
        <f>IFERROR(AVERAGEIFS('DATA ENTRY'!H6:H500,'DATA ENTRY'!H6:H500,"&gt;0",'DATA ENTRY'!B6:B500,SELECTIONS!E3,'DATA ENTRY'!C6:C500,SELECTIONS!E4,'DATA ENTRY'!D6:D500,"Site E",'DATA ENTRY'!E6:E500,SELECTIONS!E6),0)</f>
        <v>0.85999999999999988</v>
      </c>
      <c r="F18" s="22">
        <f>SUMIFS('DATA ENTRY'!G88:G264,'DATA ENTRY'!A88:A264,"Site E",'DATA ENTRY'!B88:B264,SELECTIONS!E6,'DATA ENTRY'!C88:C264,SELECTIONS!E3,'DATA ENTRY'!D88:D264,SELECTIONS!E4)</f>
        <v>-5</v>
      </c>
      <c r="G18" s="23" t="str">
        <f>IF(IFERROR(AVERAGEIFS('DATA ENTRY'!H6:H500,'DATA ENTRY'!H6:H500,"&gt;0",'DATA ENTRY'!B6:B500,SELECTIONS!E3,'DATA ENTRY'!C6:C500,SELECTIONS!E4,'DATA ENTRY'!D6:D500,"Site E",'DATA ENTRY'!E6:E500,SELECTIONS!E6),0)&gt;=0.9,"✓ On Target","⚠ Below Target")</f>
        <v>⚠ Below Target</v>
      </c>
      <c r="H18" s="19" t="s">
        <v>28</v>
      </c>
      <c r="I18" s="20">
        <f>SUMIFS('DATA ENTRY'!F6:F500,'DATA ENTRY'!B6:B500,SELECTIONS!E3,'DATA ENTRY'!C6:C500,SELECTIONS!E4,'DATA ENTRY'!D6:D500,SELECTIONS!E5,'DATA ENTRY'!E6:E500,"Endocrinology")</f>
        <v>2170</v>
      </c>
      <c r="J18" s="20">
        <f>SUMIFS('DATA ENTRY'!G6:G500,'DATA ENTRY'!B6:B500,SELECTIONS!E3,'DATA ENTRY'!C6:C500,SELECTIONS!E4,'DATA ENTRY'!D6:D500,SELECTIONS!E5,'DATA ENTRY'!E6:E500,"Endocrinology")</f>
        <v>2213</v>
      </c>
      <c r="K18" s="21">
        <f>IFERROR(AVERAGEIFS('DATA ENTRY'!H6:H500,'DATA ENTRY'!H6:H500,"&gt;0",'DATA ENTRY'!B6:B500,SELECTIONS!E3,'DATA ENTRY'!C6:C500,SELECTIONS!E4,'DATA ENTRY'!D6:D500,SELECTIONS!E5,'DATA ENTRY'!E6:E500,"Endocrinology"),0)</f>
        <v>0.85555555555555562</v>
      </c>
      <c r="L18" s="24">
        <f>IFERROR(AVERAGEIFS('DATA ENTRY'!H6:H500,'DATA ENTRY'!H6:H500,"&gt;0",'DATA ENTRY'!B6:B500,SELECTIONS!E3,'DATA ENTRY'!C6:C500,SELECTIONS!E4,'DATA ENTRY'!D6:D500,SELECTIONS!E5,'DATA ENTRY'!E6:E500,"Endocrinology"),0)-0.9</f>
        <v>-4.4444444444444398E-2</v>
      </c>
      <c r="M18" s="15"/>
      <c r="N18" s="15"/>
    </row>
    <row r="19" spans="2:14" ht="18" customHeight="1" x14ac:dyDescent="0.25">
      <c r="B19" s="19" t="s">
        <v>29</v>
      </c>
      <c r="C19" s="25">
        <f>SUMIFS('DATA ENTRY'!F6:F500,'DATA ENTRY'!B6:B500,SELECTIONS!E3,'DATA ENTRY'!C6:C500,SELECTIONS!E4,'DATA ENTRY'!D6:D500,"Site F",'DATA ENTRY'!E6:E500,SELECTIONS!E6)</f>
        <v>1148</v>
      </c>
      <c r="D19" s="25">
        <f>SUMIFS('DATA ENTRY'!G6:G500,'DATA ENTRY'!B6:B500,SELECTIONS!E3,'DATA ENTRY'!C6:C500,SELECTIONS!E4,'DATA ENTRY'!D6:D500,"Site F",'DATA ENTRY'!E6:E500,SELECTIONS!E6)</f>
        <v>1711</v>
      </c>
      <c r="E19" s="26">
        <f>IFERROR(AVERAGEIFS('DATA ENTRY'!H6:H500,'DATA ENTRY'!H6:H500,"&gt;0",'DATA ENTRY'!B6:B500,SELECTIONS!E3,'DATA ENTRY'!C6:C500,SELECTIONS!E4,'DATA ENTRY'!D6:D500,"Site F",'DATA ENTRY'!E6:E500,SELECTIONS!E6),0)</f>
        <v>0.84833333333333349</v>
      </c>
      <c r="F19" s="27">
        <f>SUMIFS('DATA ENTRY'!G88:G264,'DATA ENTRY'!A88:A264,"Site F",'DATA ENTRY'!B88:B264,SELECTIONS!E6,'DATA ENTRY'!C88:C264,SELECTIONS!E3,'DATA ENTRY'!D88:D264,SELECTIONS!E4)</f>
        <v>-9</v>
      </c>
      <c r="G19" s="28" t="str">
        <f>IF(IFERROR(AVERAGEIFS('DATA ENTRY'!H6:H500,'DATA ENTRY'!H6:H500,"&gt;0",'DATA ENTRY'!B6:B500,SELECTIONS!E3,'DATA ENTRY'!C6:C500,SELECTIONS!E4,'DATA ENTRY'!D6:D500,"Site F",'DATA ENTRY'!E6:E500,SELECTIONS!E6),0)&gt;=0.9,"✓ On Target","⚠ Below Target")</f>
        <v>⚠ Below Target</v>
      </c>
      <c r="H19" s="29" t="s">
        <v>30</v>
      </c>
      <c r="I19" s="25">
        <f>SUMIFS('DATA ENTRY'!F6:F500,'DATA ENTRY'!B6:B500,SELECTIONS!E3,'DATA ENTRY'!C6:C500,SELECTIONS!E4,'DATA ENTRY'!D6:D500,SELECTIONS!E5,'DATA ENTRY'!E6:E500,"Toxicology")</f>
        <v>2463</v>
      </c>
      <c r="J19" s="25">
        <f>SUMIFS('DATA ENTRY'!G6:G500,'DATA ENTRY'!B6:B500,SELECTIONS!E3,'DATA ENTRY'!C6:C500,SELECTIONS!E4,'DATA ENTRY'!D6:D500,SELECTIONS!E5,'DATA ENTRY'!E6:E500,"Toxicology")</f>
        <v>2157</v>
      </c>
      <c r="K19" s="26">
        <f>IFERROR(AVERAGEIFS('DATA ENTRY'!H6:H500,'DATA ENTRY'!H6:H500,"&gt;0",'DATA ENTRY'!B6:B500,SELECTIONS!E3,'DATA ENTRY'!C6:C500,SELECTIONS!E4,'DATA ENTRY'!D6:D500,SELECTIONS!E5,'DATA ENTRY'!E6:E500,"Toxicology"),0)</f>
        <v>0.84444444444444444</v>
      </c>
      <c r="L19" s="30">
        <f>IFERROR(AVERAGEIFS('DATA ENTRY'!H6:H500,'DATA ENTRY'!H6:H500,"&gt;0",'DATA ENTRY'!B6:B500,SELECTIONS!E3,'DATA ENTRY'!C6:C500,SELECTIONS!E4,'DATA ENTRY'!D6:D500,SELECTIONS!E5,'DATA ENTRY'!E6:E500,"Toxicology"),0)-0.9</f>
        <v>-5.555555555555558E-2</v>
      </c>
      <c r="M19" s="15"/>
      <c r="N19" s="15"/>
    </row>
    <row r="20" spans="2:14" ht="18" customHeight="1" x14ac:dyDescent="0.25">
      <c r="B20" s="19" t="s">
        <v>31</v>
      </c>
      <c r="C20" s="20">
        <f>SUMIFS('DATA ENTRY'!F6:F500,'DATA ENTRY'!B6:B500,SELECTIONS!E3,'DATA ENTRY'!C6:C500,SELECTIONS!E4,'DATA ENTRY'!D6:D500,"Site G",'DATA ENTRY'!E6:E500,SELECTIONS!E6)</f>
        <v>1053</v>
      </c>
      <c r="D20" s="20">
        <f>SUMIFS('DATA ENTRY'!G6:G500,'DATA ENTRY'!B6:B500,SELECTIONS!E3,'DATA ENTRY'!C6:C500,SELECTIONS!E4,'DATA ENTRY'!D6:D500,"Site G",'DATA ENTRY'!E6:E500,SELECTIONS!E6)</f>
        <v>1263</v>
      </c>
      <c r="E20" s="21">
        <f>IFERROR(AVERAGEIFS('DATA ENTRY'!H6:H500,'DATA ENTRY'!H6:H500,"&gt;0",'DATA ENTRY'!B6:B500,SELECTIONS!E3,'DATA ENTRY'!C6:C500,SELECTIONS!E4,'DATA ENTRY'!D6:D500,"Site G",'DATA ENTRY'!E6:E500,SELECTIONS!E6),0)</f>
        <v>0.89</v>
      </c>
      <c r="F20" s="22">
        <f>SUMIFS('DATA ENTRY'!G88:G264,'DATA ENTRY'!A88:A264,"Site G",'DATA ENTRY'!B88:B264,SELECTIONS!E6,'DATA ENTRY'!C88:C264,SELECTIONS!E3,'DATA ENTRY'!D88:D264,SELECTIONS!E4)</f>
        <v>-6</v>
      </c>
      <c r="G20" s="23" t="str">
        <f>IF(IFERROR(AVERAGEIFS('DATA ENTRY'!H6:H500,'DATA ENTRY'!H6:H500,"&gt;0",'DATA ENTRY'!B6:B500,SELECTIONS!E3,'DATA ENTRY'!C6:C500,SELECTIONS!E4,'DATA ENTRY'!D6:D500,"Site G",'DATA ENTRY'!E6:E500,SELECTIONS!E6),0)&gt;=0.9,"✓ On Target","⚠ Below Target")</f>
        <v>⚠ Below Target</v>
      </c>
      <c r="M20" s="31"/>
      <c r="N20" s="31"/>
    </row>
    <row r="21" spans="2:14" ht="18" customHeight="1" x14ac:dyDescent="0.25">
      <c r="B21" s="19" t="s">
        <v>32</v>
      </c>
      <c r="C21" s="25">
        <f>SUMIFS('DATA ENTRY'!F6:F500,'DATA ENTRY'!B6:B500,SELECTIONS!E3,'DATA ENTRY'!C6:C500,SELECTIONS!E4,'DATA ENTRY'!D6:D500,"Site H",'DATA ENTRY'!E6:E500,SELECTIONS!E6)</f>
        <v>1341</v>
      </c>
      <c r="D21" s="25">
        <f>SUMIFS('DATA ENTRY'!G6:G500,'DATA ENTRY'!B6:B500,SELECTIONS!E3,'DATA ENTRY'!C6:C500,SELECTIONS!E4,'DATA ENTRY'!D6:D500,"Site H",'DATA ENTRY'!E6:E500,SELECTIONS!E6)</f>
        <v>1362</v>
      </c>
      <c r="E21" s="26">
        <f>IFERROR(AVERAGEIFS('DATA ENTRY'!H6:H500,'DATA ENTRY'!H6:H500,"&gt;0",'DATA ENTRY'!B6:B500,SELECTIONS!E3,'DATA ENTRY'!C6:C500,SELECTIONS!E4,'DATA ENTRY'!D6:D500,"Site H",'DATA ENTRY'!E6:E500,SELECTIONS!E6),0)</f>
        <v>0.8883333333333332</v>
      </c>
      <c r="F21" s="27">
        <f>SUMIFS('DATA ENTRY'!G88:G264,'DATA ENTRY'!A88:A264,"Site H",'DATA ENTRY'!B88:B264,SELECTIONS!E6,'DATA ENTRY'!C88:C264,SELECTIONS!E3,'DATA ENTRY'!D88:D264,SELECTIONS!E4)</f>
        <v>-8</v>
      </c>
      <c r="G21" s="28" t="str">
        <f>IF(IFERROR(AVERAGEIFS('DATA ENTRY'!H6:H500,'DATA ENTRY'!H6:H500,"&gt;0",'DATA ENTRY'!B6:B500,SELECTIONS!E3,'DATA ENTRY'!C6:C500,SELECTIONS!E4,'DATA ENTRY'!D6:D500,"Site H",'DATA ENTRY'!E6:E500,SELECTIONS!E6),0)&gt;=0.9,"✓ On Target","⚠ Below Target")</f>
        <v>⚠ Below Target</v>
      </c>
      <c r="M21" s="31"/>
      <c r="N21" s="31"/>
    </row>
    <row r="22" spans="2:14" ht="18" customHeight="1" x14ac:dyDescent="0.25">
      <c r="B22" s="19" t="s">
        <v>33</v>
      </c>
      <c r="C22" s="20">
        <f>SUMIFS('DATA ENTRY'!F6:F500,'DATA ENTRY'!B6:B500,SELECTIONS!E3,'DATA ENTRY'!C6:C500,SELECTIONS!E4,'DATA ENTRY'!D6:D500,"Site I",'DATA ENTRY'!E6:E500,SELECTIONS!E6)</f>
        <v>1539</v>
      </c>
      <c r="D22" s="20">
        <f>SUMIFS('DATA ENTRY'!G6:G500,'DATA ENTRY'!B6:B500,SELECTIONS!E3,'DATA ENTRY'!C6:C500,SELECTIONS!E4,'DATA ENTRY'!D6:D500,"Site I",'DATA ENTRY'!E6:E500,SELECTIONS!E6)</f>
        <v>1017</v>
      </c>
      <c r="E22" s="21">
        <f>IFERROR(AVERAGEIFS('DATA ENTRY'!H6:H500,'DATA ENTRY'!H6:H500,"&gt;0",'DATA ENTRY'!B6:B500,SELECTIONS!E3,'DATA ENTRY'!C6:C500,SELECTIONS!E4,'DATA ENTRY'!D6:D500,"Site I",'DATA ENTRY'!E6:E500,SELECTIONS!E6),0)</f>
        <v>0.83666666666666656</v>
      </c>
      <c r="F22" s="22">
        <f>SUMIFS('DATA ENTRY'!G88:G264,'DATA ENTRY'!A88:A264,"Site I",'DATA ENTRY'!B88:B264,SELECTIONS!E6,'DATA ENTRY'!C88:C264,SELECTIONS!E3,'DATA ENTRY'!D88:D264,SELECTIONS!E4)</f>
        <v>2</v>
      </c>
      <c r="G22" s="23" t="str">
        <f>IF(IFERROR(AVERAGEIFS('DATA ENTRY'!H6:H500,'DATA ENTRY'!H6:H500,"&gt;0",'DATA ENTRY'!B6:B500,SELECTIONS!E3,'DATA ENTRY'!C6:C500,SELECTIONS!E4,'DATA ENTRY'!D6:D500,"Site I",'DATA ENTRY'!E6:E500,SELECTIONS!E6),0)&gt;=0.9,"✓ On Target","⚠ Below Target")</f>
        <v>⚠ Below Target</v>
      </c>
      <c r="M22" s="31"/>
      <c r="N22" s="31"/>
    </row>
    <row r="24" spans="2:14" ht="9.75" customHeight="1" x14ac:dyDescent="0.25"/>
    <row r="25" spans="2:14" ht="21.75" customHeight="1" x14ac:dyDescent="0.25">
      <c r="B25" s="70" t="s">
        <v>34</v>
      </c>
      <c r="C25" s="70"/>
      <c r="D25" s="70"/>
      <c r="E25" s="70"/>
      <c r="F25" s="70"/>
      <c r="G25" s="71" t="s">
        <v>35</v>
      </c>
      <c r="H25" s="71"/>
      <c r="I25" s="71"/>
      <c r="J25" s="71"/>
      <c r="K25" s="71"/>
    </row>
    <row r="26" spans="2:14" ht="18" customHeight="1" x14ac:dyDescent="0.25">
      <c r="B26" s="16" t="s">
        <v>11</v>
      </c>
      <c r="C26" s="16" t="s">
        <v>36</v>
      </c>
      <c r="D26" s="16" t="s">
        <v>37</v>
      </c>
      <c r="E26" s="16" t="s">
        <v>38</v>
      </c>
      <c r="F26" s="16" t="s">
        <v>16</v>
      </c>
      <c r="G26" s="16" t="s">
        <v>16</v>
      </c>
      <c r="H26" s="16" t="s">
        <v>39</v>
      </c>
      <c r="I26" s="16" t="s">
        <v>40</v>
      </c>
      <c r="J26" s="16" t="s">
        <v>41</v>
      </c>
      <c r="K26" s="16" t="s">
        <v>18</v>
      </c>
    </row>
    <row r="27" spans="2:14" ht="18" customHeight="1" x14ac:dyDescent="0.25">
      <c r="B27" s="19" t="s">
        <v>19</v>
      </c>
      <c r="C27" s="32">
        <f>IFERROR(AVERAGEIFS('DATA ENTRY'!E88:E264,'DATA ENTRY'!E88:E264,"&gt;0",'DATA ENTRY'!A88:A264,"Site A",'DATA ENTRY'!B88:B264,SELECTIONS!E6,'DATA ENTRY'!C88:C264,SELECTIONS!E3,'DATA ENTRY'!D88:D264,SELECTIONS!E4),0)</f>
        <v>6.166666666666667</v>
      </c>
      <c r="D27" s="23">
        <v>6</v>
      </c>
      <c r="E27" s="32">
        <f t="shared" ref="E27:E35" si="0">C27-D27</f>
        <v>0.16666666666666696</v>
      </c>
      <c r="F27" s="23" t="str">
        <f t="shared" ref="F27:F35" si="1">IF(C27&gt;=D27,"✓ Staffed","⚠ Gap")</f>
        <v>✓ Staffed</v>
      </c>
      <c r="G27" s="33" t="s">
        <v>42</v>
      </c>
      <c r="H27" s="34">
        <f>COUNTIFS('DATA ENTRY'!E66:E264,"Functional",'DATA ENTRY'!A66:A264,SELECTIONS!E5,'DATA ENTRY'!B66:B264,SELECTIONS!E6,'DATA ENTRY'!M66:M264,SELECTIONS!E3,'DATA ENTRY'!N66:N264,SELECTIONS!E4)</f>
        <v>18</v>
      </c>
      <c r="I27" s="35">
        <f>IFERROR(H27/(H27+H28+H29),0)</f>
        <v>1</v>
      </c>
      <c r="J27" s="36">
        <f>IFERROR(AVERAGEIFS('DATA ENTRY'!K66:K264,'DATA ENTRY'!E66:E264,"Functional",'DATA ENTRY'!A66:A264,SELECTIONS!E5,'DATA ENTRY'!B66:B264,SELECTIONS!E6,'DATA ENTRY'!M66:M264,SELECTIONS!E3,'DATA ENTRY'!N66:N264,SELECTIONS!E4),0)</f>
        <v>1</v>
      </c>
      <c r="K27" s="37">
        <f>J27-0.9</f>
        <v>9.9999999999999978E-2</v>
      </c>
    </row>
    <row r="28" spans="2:14" ht="18" customHeight="1" x14ac:dyDescent="0.25">
      <c r="B28" s="29" t="s">
        <v>21</v>
      </c>
      <c r="C28" s="38">
        <f>IFERROR(AVERAGEIFS('DATA ENTRY'!E88:E264,'DATA ENTRY'!E88:E264,"&gt;0",'DATA ENTRY'!A88:A264,"Site B",'DATA ENTRY'!B88:B264,SELECTIONS!E6,'DATA ENTRY'!C88:C264,SELECTIONS!E3,'DATA ENTRY'!D88:D264,SELECTIONS!E4),0)</f>
        <v>5.5</v>
      </c>
      <c r="D28" s="28">
        <v>6</v>
      </c>
      <c r="E28" s="38">
        <f t="shared" si="0"/>
        <v>-0.5</v>
      </c>
      <c r="F28" s="28" t="str">
        <f t="shared" si="1"/>
        <v>⚠ Gap</v>
      </c>
      <c r="G28" s="39" t="s">
        <v>43</v>
      </c>
      <c r="H28" s="34">
        <f>COUNTIFS('DATA ENTRY'!E66:E264,"Downtime",'DATA ENTRY'!A66:A264,SELECTIONS!E5,'DATA ENTRY'!B66:B264,SELECTIONS!E6,'DATA ENTRY'!M66:M264,SELECTIONS!E3,'DATA ENTRY'!N66:N264,SELECTIONS!E4)</f>
        <v>0</v>
      </c>
      <c r="I28" s="35">
        <f>IFERROR(H28/(H27+H28+H29),0)</f>
        <v>0</v>
      </c>
      <c r="J28" s="36">
        <f>IFERROR(AVERAGEIFS('DATA ENTRY'!K66:K264,'DATA ENTRY'!E66:E264,"Downtime",'DATA ENTRY'!A66:A264,SELECTIONS!E5,'DATA ENTRY'!B66:B264,SELECTIONS!E6,'DATA ENTRY'!M66:M264,SELECTIONS!E3,'DATA ENTRY'!N66:N264,SELECTIONS!E4),0)</f>
        <v>0</v>
      </c>
      <c r="K28" s="37">
        <f>J28-0.9</f>
        <v>-0.9</v>
      </c>
    </row>
    <row r="29" spans="2:14" ht="18" customHeight="1" x14ac:dyDescent="0.25">
      <c r="B29" s="19" t="s">
        <v>23</v>
      </c>
      <c r="C29" s="32">
        <f>IFERROR(AVERAGEIFS('DATA ENTRY'!E88:E264,'DATA ENTRY'!E88:E264,"&gt;0",'DATA ENTRY'!A88:A264,"Site C",'DATA ENTRY'!B88:B264,SELECTIONS!E6,'DATA ENTRY'!C88:C264,SELECTIONS!E3,'DATA ENTRY'!D88:D264,SELECTIONS!E4),0)</f>
        <v>5</v>
      </c>
      <c r="D29" s="23">
        <v>6</v>
      </c>
      <c r="E29" s="32">
        <f t="shared" si="0"/>
        <v>-1</v>
      </c>
      <c r="F29" s="23" t="str">
        <f t="shared" si="1"/>
        <v>⚠ Gap</v>
      </c>
      <c r="G29" s="40" t="s">
        <v>44</v>
      </c>
      <c r="H29" s="34">
        <f>COUNTIFS('DATA ENTRY'!E66:E264,"Due for Repair",'DATA ENTRY'!A66:A264,SELECTIONS!E5,'DATA ENTRY'!B66:B264,SELECTIONS!E6,'DATA ENTRY'!M66:M264,SELECTIONS!E3,'DATA ENTRY'!N66:N264,SELECTIONS!E4)</f>
        <v>0</v>
      </c>
      <c r="I29" s="35">
        <f>IFERROR(H29/(H27+H28+H29),0)</f>
        <v>0</v>
      </c>
      <c r="J29" s="36">
        <f>IFERROR(AVERAGEIFS('DATA ENTRY'!K66:K264,'DATA ENTRY'!E66:E264,"Due for Repair",'DATA ENTRY'!A66:A264,SELECTIONS!E5,'DATA ENTRY'!B66:B264,SELECTIONS!E6,'DATA ENTRY'!M66:M264,SELECTIONS!E3,'DATA ENTRY'!N66:N264,SELECTIONS!E4),0)</f>
        <v>0</v>
      </c>
      <c r="K29" s="37">
        <f>J29-0.9</f>
        <v>-0.9</v>
      </c>
    </row>
    <row r="30" spans="2:14" ht="18" customHeight="1" x14ac:dyDescent="0.25">
      <c r="B30" s="29" t="s">
        <v>25</v>
      </c>
      <c r="C30" s="38">
        <f>IFERROR(AVERAGEIFS('DATA ENTRY'!E88:E264,'DATA ENTRY'!E88:E264,"&gt;0",'DATA ENTRY'!A88:A264,"Site D",'DATA ENTRY'!B88:B264,SELECTIONS!E6,'DATA ENTRY'!C88:C264,SELECTIONS!E3,'DATA ENTRY'!D88:D264,SELECTIONS!E4),0)</f>
        <v>5.166666666666667</v>
      </c>
      <c r="D30" s="28">
        <v>6</v>
      </c>
      <c r="E30" s="38">
        <f t="shared" si="0"/>
        <v>-0.83333333333333304</v>
      </c>
      <c r="F30" s="28" t="str">
        <f t="shared" si="1"/>
        <v>⚠ Gap</v>
      </c>
    </row>
    <row r="31" spans="2:14" ht="18" customHeight="1" x14ac:dyDescent="0.25">
      <c r="B31" s="19" t="s">
        <v>27</v>
      </c>
      <c r="C31" s="32">
        <f>IFERROR(AVERAGEIFS('DATA ENTRY'!E88:E264,'DATA ENTRY'!E88:E264,"&gt;0",'DATA ENTRY'!A88:A264,"Site E",'DATA ENTRY'!B88:B264,SELECTIONS!E6,'DATA ENTRY'!C88:C264,SELECTIONS!E3,'DATA ENTRY'!D88:D264,SELECTIONS!E4),0)</f>
        <v>5.166666666666667</v>
      </c>
      <c r="D31" s="23">
        <v>6</v>
      </c>
      <c r="E31" s="32">
        <f t="shared" si="0"/>
        <v>-0.83333333333333304</v>
      </c>
      <c r="F31" s="23" t="str">
        <f t="shared" si="1"/>
        <v>⚠ Gap</v>
      </c>
    </row>
    <row r="32" spans="2:14" ht="18" customHeight="1" x14ac:dyDescent="0.25">
      <c r="B32" s="29" t="s">
        <v>29</v>
      </c>
      <c r="C32" s="38">
        <f>IFERROR(AVERAGEIFS('DATA ENTRY'!E88:E264,'DATA ENTRY'!E88:E264,"&gt;0",'DATA ENTRY'!A88:A264,"Site F",'DATA ENTRY'!B88:B264,SELECTIONS!E6,'DATA ENTRY'!C88:C264,SELECTIONS!E3,'DATA ENTRY'!D88:D264,SELECTIONS!E4),0)</f>
        <v>4.5</v>
      </c>
      <c r="D32" s="28">
        <v>6</v>
      </c>
      <c r="E32" s="38">
        <f t="shared" si="0"/>
        <v>-1.5</v>
      </c>
      <c r="F32" s="28" t="str">
        <f t="shared" si="1"/>
        <v>⚠ Gap</v>
      </c>
    </row>
    <row r="33" spans="1:15" ht="18" customHeight="1" x14ac:dyDescent="0.25">
      <c r="B33" s="19" t="s">
        <v>31</v>
      </c>
      <c r="C33" s="32">
        <f>IFERROR(AVERAGEIFS('DATA ENTRY'!E88:E264,'DATA ENTRY'!E88:E264,"&gt;0",'DATA ENTRY'!A88:A264,"Site G",'DATA ENTRY'!B88:B264,SELECTIONS!E6,'DATA ENTRY'!C88:C264,SELECTIONS!E3,'DATA ENTRY'!D88:D264,SELECTIONS!E4),0)</f>
        <v>5</v>
      </c>
      <c r="D33" s="23">
        <v>6</v>
      </c>
      <c r="E33" s="32">
        <f t="shared" si="0"/>
        <v>-1</v>
      </c>
      <c r="F33" s="23" t="str">
        <f t="shared" si="1"/>
        <v>⚠ Gap</v>
      </c>
    </row>
    <row r="34" spans="1:15" ht="18" customHeight="1" x14ac:dyDescent="0.25">
      <c r="B34" s="29" t="s">
        <v>32</v>
      </c>
      <c r="C34" s="38">
        <f>IFERROR(AVERAGEIFS('DATA ENTRY'!E88:E264,'DATA ENTRY'!E88:E264,"&gt;0",'DATA ENTRY'!A88:A264,"Site H",'DATA ENTRY'!B88:B264,SELECTIONS!E6,'DATA ENTRY'!C88:C264,SELECTIONS!E3,'DATA ENTRY'!D88:D264,SELECTIONS!E4),0)</f>
        <v>4.666666666666667</v>
      </c>
      <c r="D34" s="28">
        <v>6</v>
      </c>
      <c r="E34" s="38">
        <f t="shared" si="0"/>
        <v>-1.333333333333333</v>
      </c>
      <c r="F34" s="28" t="str">
        <f t="shared" si="1"/>
        <v>⚠ Gap</v>
      </c>
    </row>
    <row r="35" spans="1:15" ht="18" customHeight="1" x14ac:dyDescent="0.25">
      <c r="B35" s="19" t="s">
        <v>33</v>
      </c>
      <c r="C35" s="32">
        <f>IFERROR(AVERAGEIFS('DATA ENTRY'!E88:E264,'DATA ENTRY'!E88:E264,"&gt;0",'DATA ENTRY'!A88:A264,"Site I",'DATA ENTRY'!B88:B264,SELECTIONS!E6,'DATA ENTRY'!C88:C264,SELECTIONS!E3,'DATA ENTRY'!D88:D264,SELECTIONS!E4),0)</f>
        <v>6.333333333333333</v>
      </c>
      <c r="D35" s="23">
        <v>6</v>
      </c>
      <c r="E35" s="32">
        <f t="shared" si="0"/>
        <v>0.33333333333333304</v>
      </c>
      <c r="F35" s="23" t="str">
        <f t="shared" si="1"/>
        <v>✓ Staffed</v>
      </c>
    </row>
    <row r="37" spans="1:15" ht="21.75" customHeight="1" x14ac:dyDescent="0.25"/>
    <row r="38" spans="1:15" ht="18" customHeight="1" x14ac:dyDescent="0.25">
      <c r="A38" s="72" t="s">
        <v>45</v>
      </c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</row>
    <row r="39" spans="1:15" ht="19.5" customHeight="1" x14ac:dyDescent="0.25"/>
    <row r="40" spans="1:15" ht="19.5" customHeight="1" x14ac:dyDescent="0.25"/>
    <row r="41" spans="1:15" ht="19.5" customHeight="1" x14ac:dyDescent="0.25"/>
    <row r="43" spans="1:15" ht="18" customHeight="1" x14ac:dyDescent="0.25"/>
    <row r="50" spans="1:1" ht="15" customHeight="1" x14ac:dyDescent="0.25">
      <c r="A50" s="41">
        <f>SUMIFS('DATA ENTRY'!F6:F500,'DATA ENTRY'!B6:B500,SELECTIONS!E3,'DATA ENTRY'!C6:C500,SELECTIONS!E4,'DATA ENTRY'!D6:D500,SELECTIONS!E5,'DATA ENTRY'!E6:E500,SELECTIONS!E6)</f>
        <v>12465</v>
      </c>
    </row>
    <row r="51" spans="1:1" ht="15" customHeight="1" x14ac:dyDescent="0.25">
      <c r="A51" s="41">
        <f>SUMIFS('DATA ENTRY'!G6:G500,'DATA ENTRY'!B6:B500,SELECTIONS!E3,'DATA ENTRY'!C6:C500,SELECTIONS!E4,'DATA ENTRY'!D6:D500,SELECTIONS!E5,'DATA ENTRY'!E6:E500,SELECTIONS!E6)</f>
        <v>11599</v>
      </c>
    </row>
    <row r="52" spans="1:1" ht="15" customHeight="1" x14ac:dyDescent="0.25">
      <c r="A52" s="41">
        <f>IFERROR(AVERAGEIFS('DATA ENTRY'!H6:H500,'DATA ENTRY'!H6:H500,"&gt;0",'DATA ENTRY'!B6:B500,SELECTIONS!E3,'DATA ENTRY'!C6:C500,SELECTIONS!E4,'DATA ENTRY'!D6:D500,SELECTIONS!E5,'DATA ENTRY'!E6:E500,SELECTIONS!E6),0)</f>
        <v>0.86777777777777776</v>
      </c>
    </row>
    <row r="53" spans="1:1" ht="15" customHeight="1" x14ac:dyDescent="0.25">
      <c r="A53" s="41">
        <f>SUMIFS('DATA ENTRY'!G88:G264,'DATA ENTRY'!A88:A264,SELECTIONS!E5,'DATA ENTRY'!B88:B264,SELECTIONS!E6,'DATA ENTRY'!C88:C264,SELECTIONS!E3,'DATA ENTRY'!D88:D264,SELECTIONS!E4)</f>
        <v>-39</v>
      </c>
    </row>
    <row r="54" spans="1:1" ht="15" customHeight="1" x14ac:dyDescent="0.25">
      <c r="A54" s="41" t="str">
        <f>SELECTIONS!E7</f>
        <v>NO_PREV</v>
      </c>
    </row>
    <row r="55" spans="1:1" ht="15" customHeight="1" x14ac:dyDescent="0.25">
      <c r="A55" s="41">
        <f>IF(SELECTIONS!E7="NO_PREV",0,SUMIFS('DATA ENTRY'!F6:F500,'DATA ENTRY'!B6:B500,SELECTIONS!E3,'DATA ENTRY'!C6:C500,SELECTIONS!E8,'DATA ENTRY'!D6:D500,SELECTIONS!E5,'DATA ENTRY'!E6:E500,SELECTIONS!E6))</f>
        <v>0</v>
      </c>
    </row>
    <row r="56" spans="1:1" ht="15" customHeight="1" x14ac:dyDescent="0.25">
      <c r="A56" s="41">
        <f>IF(SELECTIONS!E7="NO_PREV",0,SUMIFS('DATA ENTRY'!G6:G500,'DATA ENTRY'!B6:B500,SELECTIONS!E3,'DATA ENTRY'!C6:C500,SELECTIONS!E8,'DATA ENTRY'!D6:D500,SELECTIONS!E5,'DATA ENTRY'!E6:E500,SELECTIONS!E6))</f>
        <v>0</v>
      </c>
    </row>
    <row r="57" spans="1:1" ht="15" customHeight="1" x14ac:dyDescent="0.25">
      <c r="A57" s="41">
        <f>IF(SELECTIONS!E7="NO_PREV",0,IFERROR(AVERAGEIFS('DATA ENTRY'!H6:H500,'DATA ENTRY'!H6:H500,"&gt;0",'DATA ENTRY'!B6:B500,SELECTIONS!E3,'DATA ENTRY'!C6:C500,SELECTIONS!E8,'DATA ENTRY'!D6:D500,SELECTIONS!E5,'DATA ENTRY'!E6:E500,SELECTIONS!E6),0))</f>
        <v>0</v>
      </c>
    </row>
    <row r="58" spans="1:1" ht="15" customHeight="1" x14ac:dyDescent="0.25">
      <c r="A58" s="41">
        <f>SUMIFS('DATA ENTRY'!F6:F500,'DATA ENTRY'!B6:B500,SELECTIONS!E3,'DATA ENTRY'!C6:C500,"*",'DATA ENTRY'!D6:D500,SELECTIONS!E5,'DATA ENTRY'!E6:E500,SELECTIONS!E6)</f>
        <v>12465</v>
      </c>
    </row>
    <row r="59" spans="1:1" ht="15" customHeight="1" x14ac:dyDescent="0.25">
      <c r="A59" s="41">
        <f>SUMIFS('DATA ENTRY'!G6:G500,'DATA ENTRY'!B6:B500,SELECTIONS!E3,'DATA ENTRY'!C6:C500,"*",'DATA ENTRY'!D6:D500,SELECTIONS!E5,'DATA ENTRY'!E6:E500,SELECTIONS!E6)</f>
        <v>11599</v>
      </c>
    </row>
    <row r="60" spans="1:1" ht="15" customHeight="1" x14ac:dyDescent="0.25">
      <c r="A60" s="41">
        <f>IFERROR(AVERAGEIFS('DATA ENTRY'!H6:H500,'DATA ENTRY'!H6:H500,"&gt;0",'DATA ENTRY'!B6:B500,SELECTIONS!E3,'DATA ENTRY'!C6:C500,"*",'DATA ENTRY'!D6:D500,SELECTIONS!E5,'DATA ENTRY'!E6:E500,SELECTIONS!E6),0)</f>
        <v>0.86777777777777776</v>
      </c>
    </row>
    <row r="61" spans="1:1" ht="15" customHeight="1" x14ac:dyDescent="0.25">
      <c r="A61" s="41">
        <f>COUNTIFS('DATA ENTRY'!E66:E264,"Functional")</f>
        <v>18</v>
      </c>
    </row>
    <row r="62" spans="1:1" ht="15" customHeight="1" x14ac:dyDescent="0.25">
      <c r="A62" s="41">
        <f>COUNTIFS('DATA ENTRY'!E66:E264,"Downtime")</f>
        <v>0</v>
      </c>
    </row>
    <row r="63" spans="1:1" ht="15" customHeight="1" x14ac:dyDescent="0.25">
      <c r="A63" s="41">
        <f>COUNTIFS('DATA ENTRY'!E66:E264,"Due for Repair")</f>
        <v>0</v>
      </c>
    </row>
    <row r="64" spans="1:1" ht="15" customHeight="1" x14ac:dyDescent="0.25">
      <c r="A64" s="41">
        <f>SUMIF(E27:E35,"&lt;0",E27:E35)</f>
        <v>-6.9999999999999991</v>
      </c>
    </row>
    <row r="65" spans="1:1" ht="15" customHeight="1" x14ac:dyDescent="0.25">
      <c r="A65" s="41">
        <f>COUNTIF(F27:F35,"⚠ Gap")</f>
        <v>7</v>
      </c>
    </row>
    <row r="66" spans="1:1" ht="15" customHeight="1" x14ac:dyDescent="0.25">
      <c r="A66">
        <f>COUNTIFS('DATA ENTRY'!A88:A264,SELECTIONS!E5,'DATA ENTRY'!B88:B264,SELECTIONS!E6,'DATA ENTRY'!C88:C264,SELECTIONS!E3,'DATA ENTRY'!D88:D264,SELECTIONS!E4,'DATA ENTRY'!G88:G264,"&gt;="&amp;0)</f>
        <v>28</v>
      </c>
    </row>
    <row r="67" spans="1:1" ht="15" customHeight="1" x14ac:dyDescent="0.25">
      <c r="A67">
        <f>COUNTIFS('DATA ENTRY'!A88:A264,SELECTIONS!E5,'DATA ENTRY'!B88:B264,SELECTIONS!E6,'DATA ENTRY'!C88:C264,SELECTIONS!E3,'DATA ENTRY'!D88:D264,SELECTIONS!E4,'DATA ENTRY'!E88:E264,"&gt;0")</f>
        <v>54</v>
      </c>
    </row>
    <row r="68" spans="1:1" ht="15" customHeight="1" x14ac:dyDescent="0.25">
      <c r="A68">
        <f>IFERROR(MIN(A66/A67,1),0)</f>
        <v>0.51851851851851849</v>
      </c>
    </row>
    <row r="69" spans="1:1" ht="15" customHeight="1" x14ac:dyDescent="0.25">
      <c r="A69">
        <f>A68-1</f>
        <v>-0.48148148148148151</v>
      </c>
    </row>
    <row r="70" spans="1:1" ht="15" customHeight="1" x14ac:dyDescent="0.25">
      <c r="A70">
        <f>COUNTIFS('DATA ENTRY'!A88:A264,SELECTIONS!E5,'DATA ENTRY'!B88:B264,SELECTIONS!E6,'DATA ENTRY'!C88:C264,SELECTIONS!E3,'DATA ENTRY'!D88:D264,SELECTIONS!E4,'DATA ENTRY'!G88:G264,"&lt;0")</f>
        <v>26</v>
      </c>
    </row>
    <row r="71" spans="1:1" ht="15" customHeight="1" x14ac:dyDescent="0.25">
      <c r="A71">
        <f>ABS(SUMIFS('DATA ENTRY'!G88:G264,'DATA ENTRY'!A88:A264,SELECTIONS!E5,'DATA ENTRY'!B88:B264,SELECTIONS!E6,'DATA ENTRY'!C88:C264,SELECTIONS!E3,'DATA ENTRY'!D88:D264,SELECTIONS!E4,'DATA ENTRY'!G88:G264,"&lt;0"))</f>
        <v>58</v>
      </c>
    </row>
    <row r="72" spans="1:1" ht="15" customHeight="1" x14ac:dyDescent="0.25">
      <c r="A72">
        <f>IFERROR(AVERAGEIFS('DATA ENTRY'!K66:K264,'DATA ENTRY'!A66:A264,SELECTIONS!E5,'DATA ENTRY'!B66:B264,SELECTIONS!E6,'DATA ENTRY'!M66:M264,SELECTIONS!E3,'DATA ENTRY'!N66:N264,SELECTIONS!E4),0)</f>
        <v>1</v>
      </c>
    </row>
    <row r="73" spans="1:1" ht="15" customHeight="1" x14ac:dyDescent="0.25">
      <c r="A73">
        <f>A72-0.9</f>
        <v>9.9999999999999978E-2</v>
      </c>
    </row>
  </sheetData>
  <mergeCells count="33">
    <mergeCell ref="B12:G12"/>
    <mergeCell ref="H12:L12"/>
    <mergeCell ref="B25:F25"/>
    <mergeCell ref="G25:K25"/>
    <mergeCell ref="A38:O38"/>
    <mergeCell ref="B9:D9"/>
    <mergeCell ref="E9:G9"/>
    <mergeCell ref="H9:J9"/>
    <mergeCell ref="K9:L9"/>
    <mergeCell ref="M9:N9"/>
    <mergeCell ref="B8:D8"/>
    <mergeCell ref="E8:G8"/>
    <mergeCell ref="H8:J8"/>
    <mergeCell ref="K8:L8"/>
    <mergeCell ref="M8:N8"/>
    <mergeCell ref="B7:D7"/>
    <mergeCell ref="E7:G7"/>
    <mergeCell ref="H7:J7"/>
    <mergeCell ref="K7:L7"/>
    <mergeCell ref="M7:N7"/>
    <mergeCell ref="B6:D6"/>
    <mergeCell ref="E6:G6"/>
    <mergeCell ref="H6:J6"/>
    <mergeCell ref="K6:L6"/>
    <mergeCell ref="M6:N6"/>
    <mergeCell ref="A1:O1"/>
    <mergeCell ref="A2:O2"/>
    <mergeCell ref="A3:O3"/>
    <mergeCell ref="B5:D5"/>
    <mergeCell ref="E5:G5"/>
    <mergeCell ref="H5:J5"/>
    <mergeCell ref="K5:L5"/>
    <mergeCell ref="M5:N5"/>
  </mergeCells>
  <conditionalFormatting sqref="E27:E35">
    <cfRule type="cellIs" dxfId="13" priority="2" operator="lessThan">
      <formula>0</formula>
    </cfRule>
    <cfRule type="cellIs" dxfId="12" priority="3" operator="greaterThanOrEqual">
      <formula>0</formula>
    </cfRule>
  </conditionalFormatting>
  <conditionalFormatting sqref="E14:E22">
    <cfRule type="cellIs" dxfId="11" priority="4" operator="greaterThanOrEqual">
      <formula>0.9</formula>
    </cfRule>
    <cfRule type="cellIs" dxfId="10" priority="5" operator="between">
      <formula>0.5</formula>
      <formula>0.8999</formula>
    </cfRule>
    <cfRule type="cellIs" dxfId="9" priority="6" operator="lessThan">
      <formula>0.5</formula>
    </cfRule>
  </conditionalFormatting>
  <conditionalFormatting sqref="K14:K19">
    <cfRule type="cellIs" dxfId="8" priority="7" operator="greaterThanOrEqual">
      <formula>0.9</formula>
    </cfRule>
    <cfRule type="cellIs" dxfId="7" priority="8" operator="between">
      <formula>0.5</formula>
      <formula>0.8999</formula>
    </cfRule>
    <cfRule type="cellIs" dxfId="6" priority="9" operator="lessThan">
      <formula>0.5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99D"/>
  </sheetPr>
  <dimension ref="A1:O141"/>
  <sheetViews>
    <sheetView showGridLines="0" zoomScaleNormal="100" workbookViewId="0">
      <pane ySplit="2" topLeftCell="A102" activePane="bottomLeft" state="frozen"/>
      <selection pane="bottomLeft" activeCell="M73" sqref="M73"/>
    </sheetView>
  </sheetViews>
  <sheetFormatPr defaultColWidth="8.7109375" defaultRowHeight="15" x14ac:dyDescent="0.25"/>
  <cols>
    <col min="1" max="1" width="11.28515625" customWidth="1"/>
    <col min="2" max="2" width="14" customWidth="1"/>
    <col min="3" max="3" width="13.28515625" customWidth="1"/>
    <col min="4" max="4" width="12.28515625" customWidth="1"/>
    <col min="5" max="5" width="14" customWidth="1"/>
    <col min="6" max="6" width="15.42578125" customWidth="1"/>
    <col min="7" max="7" width="18.5703125" customWidth="1"/>
    <col min="8" max="8" width="24.7109375" customWidth="1"/>
    <col min="9" max="9" width="12.42578125" customWidth="1"/>
    <col min="10" max="10" width="9.5703125" customWidth="1"/>
    <col min="11" max="11" width="11.28515625" customWidth="1"/>
    <col min="12" max="12" width="10.140625" customWidth="1"/>
    <col min="13" max="13" width="7.140625" customWidth="1"/>
    <col min="14" max="14" width="6.85546875" customWidth="1"/>
  </cols>
  <sheetData>
    <row r="1" spans="1:15" ht="36" customHeight="1" x14ac:dyDescent="0.25">
      <c r="A1" s="73" t="s">
        <v>100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</row>
    <row r="2" spans="1:15" ht="30" customHeight="1" x14ac:dyDescent="0.25">
      <c r="A2" s="74" t="s">
        <v>99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</row>
    <row r="4" spans="1:15" ht="24" customHeight="1" x14ac:dyDescent="0.25">
      <c r="A4" s="75" t="s">
        <v>46</v>
      </c>
      <c r="B4" s="75"/>
      <c r="C4" s="75"/>
      <c r="D4" s="75"/>
      <c r="E4" s="75"/>
      <c r="F4" s="75"/>
      <c r="G4" s="75"/>
      <c r="H4" s="75"/>
    </row>
    <row r="5" spans="1:15" ht="21.75" customHeight="1" x14ac:dyDescent="0.25">
      <c r="A5" s="16" t="s">
        <v>47</v>
      </c>
      <c r="B5" s="16" t="s">
        <v>48</v>
      </c>
      <c r="C5" s="16" t="s">
        <v>49</v>
      </c>
      <c r="D5" s="16" t="s">
        <v>11</v>
      </c>
      <c r="E5" s="16" t="s">
        <v>17</v>
      </c>
      <c r="F5" s="16" t="s">
        <v>50</v>
      </c>
      <c r="G5" s="16" t="s">
        <v>51</v>
      </c>
      <c r="H5" s="16" t="s">
        <v>52</v>
      </c>
    </row>
    <row r="6" spans="1:15" ht="15" customHeight="1" x14ac:dyDescent="0.25">
      <c r="A6" s="23">
        <v>2026</v>
      </c>
      <c r="B6" s="23" t="s">
        <v>53</v>
      </c>
      <c r="C6" s="23" t="s">
        <v>54</v>
      </c>
      <c r="D6" s="23" t="s">
        <v>19</v>
      </c>
      <c r="E6" s="23" t="s">
        <v>20</v>
      </c>
      <c r="F6" s="23">
        <v>137</v>
      </c>
      <c r="G6" s="23">
        <v>72</v>
      </c>
      <c r="H6" s="42">
        <v>0.93</v>
      </c>
    </row>
    <row r="7" spans="1:15" ht="15" customHeight="1" x14ac:dyDescent="0.25">
      <c r="A7" s="23">
        <v>2026</v>
      </c>
      <c r="B7" s="23" t="s">
        <v>53</v>
      </c>
      <c r="C7" s="23" t="s">
        <v>54</v>
      </c>
      <c r="D7" s="23" t="s">
        <v>19</v>
      </c>
      <c r="E7" s="23" t="s">
        <v>22</v>
      </c>
      <c r="F7" s="23">
        <v>194</v>
      </c>
      <c r="G7" s="23">
        <v>131</v>
      </c>
      <c r="H7" s="42">
        <v>0.93</v>
      </c>
    </row>
    <row r="8" spans="1:15" ht="15" customHeight="1" x14ac:dyDescent="0.25">
      <c r="A8" s="23">
        <v>2026</v>
      </c>
      <c r="B8" s="23" t="s">
        <v>53</v>
      </c>
      <c r="C8" s="23" t="s">
        <v>54</v>
      </c>
      <c r="D8" s="23" t="s">
        <v>19</v>
      </c>
      <c r="E8" s="23" t="s">
        <v>24</v>
      </c>
      <c r="F8" s="23">
        <v>359</v>
      </c>
      <c r="G8" s="23">
        <v>104</v>
      </c>
      <c r="H8" s="42">
        <v>0.9</v>
      </c>
    </row>
    <row r="9" spans="1:15" ht="15" customHeight="1" x14ac:dyDescent="0.25">
      <c r="A9" s="23">
        <v>2026</v>
      </c>
      <c r="B9" s="23" t="s">
        <v>53</v>
      </c>
      <c r="C9" s="23" t="s">
        <v>54</v>
      </c>
      <c r="D9" s="23" t="s">
        <v>19</v>
      </c>
      <c r="E9" s="23" t="s">
        <v>26</v>
      </c>
      <c r="F9" s="23">
        <v>95</v>
      </c>
      <c r="G9" s="23">
        <v>107</v>
      </c>
      <c r="H9" s="42">
        <v>0.82</v>
      </c>
    </row>
    <row r="10" spans="1:15" ht="15" customHeight="1" x14ac:dyDescent="0.25">
      <c r="A10" s="23">
        <v>2026</v>
      </c>
      <c r="B10" s="23" t="s">
        <v>53</v>
      </c>
      <c r="C10" s="23" t="s">
        <v>54</v>
      </c>
      <c r="D10" s="23" t="s">
        <v>19</v>
      </c>
      <c r="E10" s="23" t="s">
        <v>28</v>
      </c>
      <c r="F10" s="23">
        <v>388</v>
      </c>
      <c r="G10" s="23">
        <v>73</v>
      </c>
      <c r="H10" s="42">
        <v>0.89</v>
      </c>
    </row>
    <row r="11" spans="1:15" ht="15" customHeight="1" x14ac:dyDescent="0.25">
      <c r="A11" s="23">
        <v>2026</v>
      </c>
      <c r="B11" s="23" t="s">
        <v>53</v>
      </c>
      <c r="C11" s="23" t="s">
        <v>54</v>
      </c>
      <c r="D11" s="23" t="s">
        <v>19</v>
      </c>
      <c r="E11" s="23" t="s">
        <v>30</v>
      </c>
      <c r="F11" s="23">
        <v>359</v>
      </c>
      <c r="G11" s="23">
        <v>274</v>
      </c>
      <c r="H11" s="42">
        <v>0.82</v>
      </c>
    </row>
    <row r="12" spans="1:15" ht="15" customHeight="1" x14ac:dyDescent="0.25">
      <c r="A12" s="23">
        <v>2026</v>
      </c>
      <c r="B12" s="23" t="s">
        <v>53</v>
      </c>
      <c r="C12" s="23" t="s">
        <v>54</v>
      </c>
      <c r="D12" s="23" t="s">
        <v>21</v>
      </c>
      <c r="E12" s="23" t="s">
        <v>20</v>
      </c>
      <c r="F12" s="23">
        <v>222</v>
      </c>
      <c r="G12" s="23">
        <v>63</v>
      </c>
      <c r="H12" s="42">
        <v>0.93</v>
      </c>
    </row>
    <row r="13" spans="1:15" ht="15" customHeight="1" x14ac:dyDescent="0.25">
      <c r="A13" s="23">
        <v>2026</v>
      </c>
      <c r="B13" s="23" t="s">
        <v>53</v>
      </c>
      <c r="C13" s="23" t="s">
        <v>54</v>
      </c>
      <c r="D13" s="23" t="s">
        <v>21</v>
      </c>
      <c r="E13" s="23" t="s">
        <v>22</v>
      </c>
      <c r="F13" s="23">
        <v>296</v>
      </c>
      <c r="G13" s="23">
        <v>234</v>
      </c>
      <c r="H13" s="42">
        <v>0.84</v>
      </c>
    </row>
    <row r="14" spans="1:15" ht="15" customHeight="1" x14ac:dyDescent="0.25">
      <c r="A14" s="23">
        <v>2026</v>
      </c>
      <c r="B14" s="23" t="s">
        <v>53</v>
      </c>
      <c r="C14" s="23" t="s">
        <v>54</v>
      </c>
      <c r="D14" s="23" t="s">
        <v>21</v>
      </c>
      <c r="E14" s="23" t="s">
        <v>24</v>
      </c>
      <c r="F14" s="23">
        <v>252</v>
      </c>
      <c r="G14" s="23">
        <v>112</v>
      </c>
      <c r="H14" s="42">
        <v>0.8</v>
      </c>
    </row>
    <row r="15" spans="1:15" ht="15" customHeight="1" x14ac:dyDescent="0.25">
      <c r="A15" s="23">
        <v>2026</v>
      </c>
      <c r="B15" s="23" t="s">
        <v>53</v>
      </c>
      <c r="C15" s="23" t="s">
        <v>54</v>
      </c>
      <c r="D15" s="23" t="s">
        <v>21</v>
      </c>
      <c r="E15" s="23" t="s">
        <v>26</v>
      </c>
      <c r="F15" s="23">
        <v>263</v>
      </c>
      <c r="G15" s="23">
        <v>236</v>
      </c>
      <c r="H15" s="42">
        <v>0.9</v>
      </c>
    </row>
    <row r="16" spans="1:15" ht="15" customHeight="1" x14ac:dyDescent="0.25">
      <c r="A16" s="23">
        <v>2026</v>
      </c>
      <c r="B16" s="23" t="s">
        <v>53</v>
      </c>
      <c r="C16" s="23" t="s">
        <v>54</v>
      </c>
      <c r="D16" s="23" t="s">
        <v>21</v>
      </c>
      <c r="E16" s="23" t="s">
        <v>28</v>
      </c>
      <c r="F16" s="23">
        <v>315</v>
      </c>
      <c r="G16" s="23">
        <v>334</v>
      </c>
      <c r="H16" s="42">
        <v>0.8</v>
      </c>
    </row>
    <row r="17" spans="1:8" ht="15" customHeight="1" x14ac:dyDescent="0.25">
      <c r="A17" s="23">
        <v>2026</v>
      </c>
      <c r="B17" s="23" t="s">
        <v>53</v>
      </c>
      <c r="C17" s="23" t="s">
        <v>54</v>
      </c>
      <c r="D17" s="23" t="s">
        <v>21</v>
      </c>
      <c r="E17" s="23" t="s">
        <v>30</v>
      </c>
      <c r="F17" s="23">
        <v>120</v>
      </c>
      <c r="G17" s="23">
        <v>342</v>
      </c>
      <c r="H17" s="42">
        <v>0.84</v>
      </c>
    </row>
    <row r="18" spans="1:8" ht="15" customHeight="1" x14ac:dyDescent="0.25">
      <c r="A18" s="23">
        <v>2026</v>
      </c>
      <c r="B18" s="23" t="s">
        <v>53</v>
      </c>
      <c r="C18" s="23" t="s">
        <v>54</v>
      </c>
      <c r="D18" s="23" t="s">
        <v>23</v>
      </c>
      <c r="E18" s="23" t="s">
        <v>20</v>
      </c>
      <c r="F18" s="23">
        <v>396</v>
      </c>
      <c r="G18" s="23">
        <v>245</v>
      </c>
      <c r="H18" s="42">
        <v>0.9</v>
      </c>
    </row>
    <row r="19" spans="1:8" ht="15" customHeight="1" x14ac:dyDescent="0.25">
      <c r="A19" s="23">
        <v>2026</v>
      </c>
      <c r="B19" s="23" t="s">
        <v>53</v>
      </c>
      <c r="C19" s="23" t="s">
        <v>54</v>
      </c>
      <c r="D19" s="23" t="s">
        <v>23</v>
      </c>
      <c r="E19" s="23" t="s">
        <v>22</v>
      </c>
      <c r="F19" s="23">
        <v>115</v>
      </c>
      <c r="G19" s="23">
        <v>83</v>
      </c>
      <c r="H19" s="42">
        <v>0.91</v>
      </c>
    </row>
    <row r="20" spans="1:8" ht="15" customHeight="1" x14ac:dyDescent="0.25">
      <c r="A20" s="23">
        <v>2026</v>
      </c>
      <c r="B20" s="23" t="s">
        <v>53</v>
      </c>
      <c r="C20" s="23" t="s">
        <v>54</v>
      </c>
      <c r="D20" s="23" t="s">
        <v>23</v>
      </c>
      <c r="E20" s="23" t="s">
        <v>24</v>
      </c>
      <c r="F20" s="23">
        <v>120</v>
      </c>
      <c r="G20" s="23">
        <v>179</v>
      </c>
      <c r="H20" s="42">
        <v>0.95</v>
      </c>
    </row>
    <row r="21" spans="1:8" ht="15" customHeight="1" x14ac:dyDescent="0.25">
      <c r="A21" s="23">
        <v>2026</v>
      </c>
      <c r="B21" s="23" t="s">
        <v>53</v>
      </c>
      <c r="C21" s="23" t="s">
        <v>54</v>
      </c>
      <c r="D21" s="23" t="s">
        <v>23</v>
      </c>
      <c r="E21" s="23" t="s">
        <v>26</v>
      </c>
      <c r="F21" s="23">
        <v>222</v>
      </c>
      <c r="G21" s="23">
        <v>292</v>
      </c>
      <c r="H21" s="42">
        <v>0.91</v>
      </c>
    </row>
    <row r="22" spans="1:8" ht="15" customHeight="1" x14ac:dyDescent="0.25">
      <c r="A22" s="23">
        <v>2026</v>
      </c>
      <c r="B22" s="23" t="s">
        <v>53</v>
      </c>
      <c r="C22" s="23" t="s">
        <v>54</v>
      </c>
      <c r="D22" s="23" t="s">
        <v>23</v>
      </c>
      <c r="E22" s="23" t="s">
        <v>28</v>
      </c>
      <c r="F22" s="23">
        <v>163</v>
      </c>
      <c r="G22" s="23">
        <v>249</v>
      </c>
      <c r="H22" s="42">
        <v>0.85</v>
      </c>
    </row>
    <row r="23" spans="1:8" ht="15" customHeight="1" x14ac:dyDescent="0.25">
      <c r="A23" s="23">
        <v>2026</v>
      </c>
      <c r="B23" s="23" t="s">
        <v>53</v>
      </c>
      <c r="C23" s="23" t="s">
        <v>54</v>
      </c>
      <c r="D23" s="23" t="s">
        <v>23</v>
      </c>
      <c r="E23" s="23" t="s">
        <v>30</v>
      </c>
      <c r="F23" s="23">
        <v>216</v>
      </c>
      <c r="G23" s="23">
        <v>96</v>
      </c>
      <c r="H23" s="42">
        <v>0.9</v>
      </c>
    </row>
    <row r="24" spans="1:8" ht="15" customHeight="1" x14ac:dyDescent="0.25">
      <c r="A24" s="23">
        <v>2026</v>
      </c>
      <c r="B24" s="23" t="s">
        <v>53</v>
      </c>
      <c r="C24" s="23" t="s">
        <v>54</v>
      </c>
      <c r="D24" s="23" t="s">
        <v>25</v>
      </c>
      <c r="E24" s="23" t="s">
        <v>20</v>
      </c>
      <c r="F24" s="23">
        <v>353</v>
      </c>
      <c r="G24" s="23">
        <v>185</v>
      </c>
      <c r="H24" s="42">
        <v>0.81</v>
      </c>
    </row>
    <row r="25" spans="1:8" ht="15" customHeight="1" x14ac:dyDescent="0.25">
      <c r="A25" s="23">
        <v>2026</v>
      </c>
      <c r="B25" s="23" t="s">
        <v>53</v>
      </c>
      <c r="C25" s="23" t="s">
        <v>54</v>
      </c>
      <c r="D25" s="23" t="s">
        <v>25</v>
      </c>
      <c r="E25" s="23" t="s">
        <v>22</v>
      </c>
      <c r="F25" s="23">
        <v>218</v>
      </c>
      <c r="G25" s="23">
        <v>345</v>
      </c>
      <c r="H25" s="42">
        <v>0.82</v>
      </c>
    </row>
    <row r="26" spans="1:8" ht="15" customHeight="1" x14ac:dyDescent="0.25">
      <c r="A26" s="23">
        <v>2026</v>
      </c>
      <c r="B26" s="23" t="s">
        <v>53</v>
      </c>
      <c r="C26" s="23" t="s">
        <v>54</v>
      </c>
      <c r="D26" s="23" t="s">
        <v>25</v>
      </c>
      <c r="E26" s="23" t="s">
        <v>24</v>
      </c>
      <c r="F26" s="23">
        <v>108</v>
      </c>
      <c r="G26" s="23">
        <v>177</v>
      </c>
      <c r="H26" s="42">
        <v>0.94</v>
      </c>
    </row>
    <row r="27" spans="1:8" ht="15" customHeight="1" x14ac:dyDescent="0.25">
      <c r="A27" s="23">
        <v>2026</v>
      </c>
      <c r="B27" s="23" t="s">
        <v>53</v>
      </c>
      <c r="C27" s="23" t="s">
        <v>54</v>
      </c>
      <c r="D27" s="23" t="s">
        <v>25</v>
      </c>
      <c r="E27" s="23" t="s">
        <v>26</v>
      </c>
      <c r="F27" s="23">
        <v>285</v>
      </c>
      <c r="G27" s="23">
        <v>197</v>
      </c>
      <c r="H27" s="42">
        <v>0.79</v>
      </c>
    </row>
    <row r="28" spans="1:8" ht="15" customHeight="1" x14ac:dyDescent="0.25">
      <c r="A28" s="23">
        <v>2026</v>
      </c>
      <c r="B28" s="23" t="s">
        <v>53</v>
      </c>
      <c r="C28" s="23" t="s">
        <v>54</v>
      </c>
      <c r="D28" s="23" t="s">
        <v>25</v>
      </c>
      <c r="E28" s="23" t="s">
        <v>28</v>
      </c>
      <c r="F28" s="23">
        <v>241</v>
      </c>
      <c r="G28" s="23">
        <v>168</v>
      </c>
      <c r="H28" s="42">
        <v>0.91</v>
      </c>
    </row>
    <row r="29" spans="1:8" ht="15" customHeight="1" x14ac:dyDescent="0.25">
      <c r="A29" s="23">
        <v>2026</v>
      </c>
      <c r="B29" s="23" t="s">
        <v>53</v>
      </c>
      <c r="C29" s="23" t="s">
        <v>54</v>
      </c>
      <c r="D29" s="23" t="s">
        <v>25</v>
      </c>
      <c r="E29" s="23" t="s">
        <v>30</v>
      </c>
      <c r="F29" s="23">
        <v>314</v>
      </c>
      <c r="G29" s="23">
        <v>133</v>
      </c>
      <c r="H29" s="42">
        <v>0.83</v>
      </c>
    </row>
    <row r="30" spans="1:8" ht="15" customHeight="1" x14ac:dyDescent="0.25">
      <c r="A30" s="23">
        <v>2026</v>
      </c>
      <c r="B30" s="23" t="s">
        <v>53</v>
      </c>
      <c r="C30" s="23" t="s">
        <v>54</v>
      </c>
      <c r="D30" s="23" t="s">
        <v>27</v>
      </c>
      <c r="E30" s="23" t="s">
        <v>20</v>
      </c>
      <c r="F30" s="23">
        <v>367</v>
      </c>
      <c r="G30" s="23">
        <v>335</v>
      </c>
      <c r="H30" s="42">
        <v>0.83</v>
      </c>
    </row>
    <row r="31" spans="1:8" ht="15" customHeight="1" x14ac:dyDescent="0.25">
      <c r="A31" s="23">
        <v>2026</v>
      </c>
      <c r="B31" s="23" t="s">
        <v>53</v>
      </c>
      <c r="C31" s="23" t="s">
        <v>54</v>
      </c>
      <c r="D31" s="23" t="s">
        <v>27</v>
      </c>
      <c r="E31" s="23" t="s">
        <v>22</v>
      </c>
      <c r="F31" s="23">
        <v>299</v>
      </c>
      <c r="G31" s="23">
        <v>358</v>
      </c>
      <c r="H31" s="42">
        <v>0.86</v>
      </c>
    </row>
    <row r="32" spans="1:8" ht="15" customHeight="1" x14ac:dyDescent="0.25">
      <c r="A32" s="23">
        <v>2026</v>
      </c>
      <c r="B32" s="23" t="s">
        <v>53</v>
      </c>
      <c r="C32" s="23" t="s">
        <v>54</v>
      </c>
      <c r="D32" s="23" t="s">
        <v>27</v>
      </c>
      <c r="E32" s="23" t="s">
        <v>24</v>
      </c>
      <c r="F32" s="23">
        <v>150</v>
      </c>
      <c r="G32" s="23">
        <v>320</v>
      </c>
      <c r="H32" s="42">
        <v>0.88</v>
      </c>
    </row>
    <row r="33" spans="1:8" ht="15" customHeight="1" x14ac:dyDescent="0.25">
      <c r="A33" s="23">
        <v>2026</v>
      </c>
      <c r="B33" s="23" t="s">
        <v>53</v>
      </c>
      <c r="C33" s="23" t="s">
        <v>54</v>
      </c>
      <c r="D33" s="23" t="s">
        <v>27</v>
      </c>
      <c r="E33" s="23" t="s">
        <v>26</v>
      </c>
      <c r="F33" s="23">
        <v>136</v>
      </c>
      <c r="G33" s="23">
        <v>138</v>
      </c>
      <c r="H33" s="42">
        <v>0.91</v>
      </c>
    </row>
    <row r="34" spans="1:8" ht="15" customHeight="1" x14ac:dyDescent="0.25">
      <c r="A34" s="23">
        <v>2026</v>
      </c>
      <c r="B34" s="23" t="s">
        <v>53</v>
      </c>
      <c r="C34" s="23" t="s">
        <v>54</v>
      </c>
      <c r="D34" s="23" t="s">
        <v>27</v>
      </c>
      <c r="E34" s="23" t="s">
        <v>28</v>
      </c>
      <c r="F34" s="23">
        <v>296</v>
      </c>
      <c r="G34" s="23">
        <v>365</v>
      </c>
      <c r="H34" s="42">
        <v>0.79</v>
      </c>
    </row>
    <row r="35" spans="1:8" ht="15" customHeight="1" x14ac:dyDescent="0.25">
      <c r="A35" s="23">
        <v>2026</v>
      </c>
      <c r="B35" s="23" t="s">
        <v>53</v>
      </c>
      <c r="C35" s="23" t="s">
        <v>54</v>
      </c>
      <c r="D35" s="23" t="s">
        <v>27</v>
      </c>
      <c r="E35" s="23" t="s">
        <v>30</v>
      </c>
      <c r="F35" s="23">
        <v>385</v>
      </c>
      <c r="G35" s="23">
        <v>299</v>
      </c>
      <c r="H35" s="42">
        <v>0.89</v>
      </c>
    </row>
    <row r="36" spans="1:8" ht="15" customHeight="1" x14ac:dyDescent="0.25">
      <c r="A36" s="23">
        <v>2026</v>
      </c>
      <c r="B36" s="23" t="s">
        <v>53</v>
      </c>
      <c r="C36" s="23" t="s">
        <v>54</v>
      </c>
      <c r="D36" s="23" t="s">
        <v>29</v>
      </c>
      <c r="E36" s="23" t="s">
        <v>20</v>
      </c>
      <c r="F36" s="23">
        <v>85</v>
      </c>
      <c r="G36" s="23">
        <v>118</v>
      </c>
      <c r="H36" s="42">
        <v>0.92</v>
      </c>
    </row>
    <row r="37" spans="1:8" ht="15" customHeight="1" x14ac:dyDescent="0.25">
      <c r="A37" s="23">
        <v>2026</v>
      </c>
      <c r="B37" s="23" t="s">
        <v>53</v>
      </c>
      <c r="C37" s="23" t="s">
        <v>54</v>
      </c>
      <c r="D37" s="23" t="s">
        <v>29</v>
      </c>
      <c r="E37" s="23" t="s">
        <v>22</v>
      </c>
      <c r="F37" s="23">
        <v>216</v>
      </c>
      <c r="G37" s="23">
        <v>234</v>
      </c>
      <c r="H37" s="42">
        <v>0.8</v>
      </c>
    </row>
    <row r="38" spans="1:8" ht="15" customHeight="1" x14ac:dyDescent="0.25">
      <c r="A38" s="23">
        <v>2026</v>
      </c>
      <c r="B38" s="23" t="s">
        <v>53</v>
      </c>
      <c r="C38" s="23" t="s">
        <v>54</v>
      </c>
      <c r="D38" s="23" t="s">
        <v>29</v>
      </c>
      <c r="E38" s="23" t="s">
        <v>24</v>
      </c>
      <c r="F38" s="23">
        <v>160</v>
      </c>
      <c r="G38" s="23">
        <v>292</v>
      </c>
      <c r="H38" s="42">
        <v>0.78</v>
      </c>
    </row>
    <row r="39" spans="1:8" ht="15" customHeight="1" x14ac:dyDescent="0.25">
      <c r="A39" s="23">
        <v>2026</v>
      </c>
      <c r="B39" s="23" t="s">
        <v>53</v>
      </c>
      <c r="C39" s="23" t="s">
        <v>54</v>
      </c>
      <c r="D39" s="23" t="s">
        <v>29</v>
      </c>
      <c r="E39" s="23" t="s">
        <v>26</v>
      </c>
      <c r="F39" s="23">
        <v>214</v>
      </c>
      <c r="G39" s="23">
        <v>316</v>
      </c>
      <c r="H39" s="42">
        <v>0.93</v>
      </c>
    </row>
    <row r="40" spans="1:8" ht="15" customHeight="1" x14ac:dyDescent="0.25">
      <c r="A40" s="23">
        <v>2026</v>
      </c>
      <c r="B40" s="23" t="s">
        <v>53</v>
      </c>
      <c r="C40" s="23" t="s">
        <v>54</v>
      </c>
      <c r="D40" s="23" t="s">
        <v>29</v>
      </c>
      <c r="E40" s="23" t="s">
        <v>28</v>
      </c>
      <c r="F40" s="23">
        <v>134</v>
      </c>
      <c r="G40" s="23">
        <v>380</v>
      </c>
      <c r="H40" s="42">
        <v>0.84</v>
      </c>
    </row>
    <row r="41" spans="1:8" ht="15" customHeight="1" x14ac:dyDescent="0.25">
      <c r="A41" s="23">
        <v>2026</v>
      </c>
      <c r="B41" s="23" t="s">
        <v>53</v>
      </c>
      <c r="C41" s="23" t="s">
        <v>54</v>
      </c>
      <c r="D41" s="23" t="s">
        <v>29</v>
      </c>
      <c r="E41" s="23" t="s">
        <v>30</v>
      </c>
      <c r="F41" s="23">
        <v>339</v>
      </c>
      <c r="G41" s="23">
        <v>371</v>
      </c>
      <c r="H41" s="42">
        <v>0.82</v>
      </c>
    </row>
    <row r="42" spans="1:8" ht="15" customHeight="1" x14ac:dyDescent="0.25">
      <c r="A42" s="23">
        <v>2026</v>
      </c>
      <c r="B42" s="23" t="s">
        <v>53</v>
      </c>
      <c r="C42" s="23" t="s">
        <v>54</v>
      </c>
      <c r="D42" s="23" t="s">
        <v>31</v>
      </c>
      <c r="E42" s="23" t="s">
        <v>20</v>
      </c>
      <c r="F42" s="23">
        <v>162</v>
      </c>
      <c r="G42" s="23">
        <v>336</v>
      </c>
      <c r="H42" s="42">
        <v>0.97</v>
      </c>
    </row>
    <row r="43" spans="1:8" ht="15" customHeight="1" x14ac:dyDescent="0.25">
      <c r="A43" s="23">
        <v>2026</v>
      </c>
      <c r="B43" s="23" t="s">
        <v>53</v>
      </c>
      <c r="C43" s="23" t="s">
        <v>54</v>
      </c>
      <c r="D43" s="23" t="s">
        <v>31</v>
      </c>
      <c r="E43" s="23" t="s">
        <v>22</v>
      </c>
      <c r="F43" s="23">
        <v>80</v>
      </c>
      <c r="G43" s="23">
        <v>366</v>
      </c>
      <c r="H43" s="42">
        <v>0.84</v>
      </c>
    </row>
    <row r="44" spans="1:8" ht="15" customHeight="1" x14ac:dyDescent="0.25">
      <c r="A44" s="23">
        <v>2026</v>
      </c>
      <c r="B44" s="23" t="s">
        <v>53</v>
      </c>
      <c r="C44" s="23" t="s">
        <v>54</v>
      </c>
      <c r="D44" s="23" t="s">
        <v>31</v>
      </c>
      <c r="E44" s="23" t="s">
        <v>24</v>
      </c>
      <c r="F44" s="23">
        <v>137</v>
      </c>
      <c r="G44" s="23">
        <v>245</v>
      </c>
      <c r="H44" s="42">
        <v>0.96</v>
      </c>
    </row>
    <row r="45" spans="1:8" ht="15" customHeight="1" x14ac:dyDescent="0.25">
      <c r="A45" s="23">
        <v>2026</v>
      </c>
      <c r="B45" s="23" t="s">
        <v>53</v>
      </c>
      <c r="C45" s="23" t="s">
        <v>54</v>
      </c>
      <c r="D45" s="23" t="s">
        <v>31</v>
      </c>
      <c r="E45" s="23" t="s">
        <v>26</v>
      </c>
      <c r="F45" s="23">
        <v>202</v>
      </c>
      <c r="G45" s="23">
        <v>89</v>
      </c>
      <c r="H45" s="42">
        <v>0.83</v>
      </c>
    </row>
    <row r="46" spans="1:8" ht="15" customHeight="1" x14ac:dyDescent="0.25">
      <c r="A46" s="23">
        <v>2026</v>
      </c>
      <c r="B46" s="23" t="s">
        <v>53</v>
      </c>
      <c r="C46" s="23" t="s">
        <v>54</v>
      </c>
      <c r="D46" s="23" t="s">
        <v>31</v>
      </c>
      <c r="E46" s="23" t="s">
        <v>28</v>
      </c>
      <c r="F46" s="23">
        <v>120</v>
      </c>
      <c r="G46" s="23">
        <v>103</v>
      </c>
      <c r="H46" s="42">
        <v>0.93</v>
      </c>
    </row>
    <row r="47" spans="1:8" ht="15" customHeight="1" x14ac:dyDescent="0.25">
      <c r="A47" s="23">
        <v>2026</v>
      </c>
      <c r="B47" s="23" t="s">
        <v>53</v>
      </c>
      <c r="C47" s="23" t="s">
        <v>54</v>
      </c>
      <c r="D47" s="23" t="s">
        <v>31</v>
      </c>
      <c r="E47" s="23" t="s">
        <v>30</v>
      </c>
      <c r="F47" s="23">
        <v>352</v>
      </c>
      <c r="G47" s="23">
        <v>124</v>
      </c>
      <c r="H47" s="42">
        <v>0.81</v>
      </c>
    </row>
    <row r="48" spans="1:8" ht="15" customHeight="1" x14ac:dyDescent="0.25">
      <c r="A48" s="23">
        <v>2026</v>
      </c>
      <c r="B48" s="23" t="s">
        <v>53</v>
      </c>
      <c r="C48" s="23" t="s">
        <v>54</v>
      </c>
      <c r="D48" s="23" t="s">
        <v>32</v>
      </c>
      <c r="E48" s="23" t="s">
        <v>20</v>
      </c>
      <c r="F48" s="23">
        <v>361</v>
      </c>
      <c r="G48" s="23">
        <v>144</v>
      </c>
      <c r="H48" s="42">
        <v>0.83</v>
      </c>
    </row>
    <row r="49" spans="1:14" ht="15" customHeight="1" x14ac:dyDescent="0.25">
      <c r="A49" s="23">
        <v>2026</v>
      </c>
      <c r="B49" s="23" t="s">
        <v>53</v>
      </c>
      <c r="C49" s="23" t="s">
        <v>54</v>
      </c>
      <c r="D49" s="23" t="s">
        <v>32</v>
      </c>
      <c r="E49" s="23" t="s">
        <v>22</v>
      </c>
      <c r="F49" s="23">
        <v>296</v>
      </c>
      <c r="G49" s="23">
        <v>168</v>
      </c>
      <c r="H49" s="42">
        <v>0.97</v>
      </c>
    </row>
    <row r="50" spans="1:14" ht="15" customHeight="1" x14ac:dyDescent="0.25">
      <c r="A50" s="23">
        <v>2026</v>
      </c>
      <c r="B50" s="23" t="s">
        <v>53</v>
      </c>
      <c r="C50" s="23" t="s">
        <v>54</v>
      </c>
      <c r="D50" s="23" t="s">
        <v>32</v>
      </c>
      <c r="E50" s="23" t="s">
        <v>24</v>
      </c>
      <c r="F50" s="23">
        <v>182</v>
      </c>
      <c r="G50" s="23">
        <v>219</v>
      </c>
      <c r="H50" s="42">
        <v>0.86</v>
      </c>
    </row>
    <row r="51" spans="1:14" ht="15" customHeight="1" x14ac:dyDescent="0.25">
      <c r="A51" s="23">
        <v>2026</v>
      </c>
      <c r="B51" s="23" t="s">
        <v>53</v>
      </c>
      <c r="C51" s="23" t="s">
        <v>54</v>
      </c>
      <c r="D51" s="23" t="s">
        <v>32</v>
      </c>
      <c r="E51" s="23" t="s">
        <v>26</v>
      </c>
      <c r="F51" s="23">
        <v>271</v>
      </c>
      <c r="G51" s="23">
        <v>284</v>
      </c>
      <c r="H51" s="42">
        <v>0.96</v>
      </c>
    </row>
    <row r="52" spans="1:14" ht="15" customHeight="1" x14ac:dyDescent="0.25">
      <c r="A52" s="23">
        <v>2026</v>
      </c>
      <c r="B52" s="23" t="s">
        <v>53</v>
      </c>
      <c r="C52" s="23" t="s">
        <v>54</v>
      </c>
      <c r="D52" s="23" t="s">
        <v>32</v>
      </c>
      <c r="E52" s="23" t="s">
        <v>28</v>
      </c>
      <c r="F52" s="23">
        <v>141</v>
      </c>
      <c r="G52" s="23">
        <v>186</v>
      </c>
      <c r="H52" s="42">
        <v>0.82</v>
      </c>
    </row>
    <row r="53" spans="1:14" ht="15" customHeight="1" x14ac:dyDescent="0.25">
      <c r="A53" s="23">
        <v>2026</v>
      </c>
      <c r="B53" s="23" t="s">
        <v>53</v>
      </c>
      <c r="C53" s="23" t="s">
        <v>54</v>
      </c>
      <c r="D53" s="23" t="s">
        <v>32</v>
      </c>
      <c r="E53" s="23" t="s">
        <v>30</v>
      </c>
      <c r="F53" s="23">
        <v>90</v>
      </c>
      <c r="G53" s="23">
        <v>361</v>
      </c>
      <c r="H53" s="42">
        <v>0.89</v>
      </c>
    </row>
    <row r="54" spans="1:14" ht="15" customHeight="1" x14ac:dyDescent="0.25">
      <c r="A54" s="23">
        <v>2026</v>
      </c>
      <c r="B54" s="23" t="s">
        <v>53</v>
      </c>
      <c r="C54" s="23" t="s">
        <v>54</v>
      </c>
      <c r="D54" s="23" t="s">
        <v>33</v>
      </c>
      <c r="E54" s="23" t="s">
        <v>20</v>
      </c>
      <c r="F54" s="23">
        <v>192</v>
      </c>
      <c r="G54" s="23">
        <v>63</v>
      </c>
      <c r="H54" s="42">
        <v>0.79</v>
      </c>
    </row>
    <row r="55" spans="1:14" ht="15" customHeight="1" x14ac:dyDescent="0.25">
      <c r="A55" s="23">
        <v>2026</v>
      </c>
      <c r="B55" s="23" t="s">
        <v>53</v>
      </c>
      <c r="C55" s="23" t="s">
        <v>54</v>
      </c>
      <c r="D55" s="23" t="s">
        <v>33</v>
      </c>
      <c r="E55" s="23" t="s">
        <v>22</v>
      </c>
      <c r="F55" s="23">
        <v>110</v>
      </c>
      <c r="G55" s="23">
        <v>177</v>
      </c>
      <c r="H55" s="42">
        <v>0.79</v>
      </c>
    </row>
    <row r="56" spans="1:14" ht="15" customHeight="1" x14ac:dyDescent="0.25">
      <c r="A56" s="23">
        <v>2026</v>
      </c>
      <c r="B56" s="23" t="s">
        <v>53</v>
      </c>
      <c r="C56" s="23" t="s">
        <v>54</v>
      </c>
      <c r="D56" s="23" t="s">
        <v>33</v>
      </c>
      <c r="E56" s="23" t="s">
        <v>24</v>
      </c>
      <c r="F56" s="23">
        <v>249</v>
      </c>
      <c r="G56" s="23">
        <v>96</v>
      </c>
      <c r="H56" s="42">
        <v>0.88</v>
      </c>
    </row>
    <row r="57" spans="1:14" ht="15" customHeight="1" x14ac:dyDescent="0.25">
      <c r="A57" s="23">
        <v>2026</v>
      </c>
      <c r="B57" s="23" t="s">
        <v>53</v>
      </c>
      <c r="C57" s="23" t="s">
        <v>54</v>
      </c>
      <c r="D57" s="23" t="s">
        <v>33</v>
      </c>
      <c r="E57" s="23" t="s">
        <v>26</v>
      </c>
      <c r="F57" s="23">
        <v>328</v>
      </c>
      <c r="G57" s="23">
        <v>169</v>
      </c>
      <c r="H57" s="42">
        <v>0.89</v>
      </c>
    </row>
    <row r="58" spans="1:14" ht="15" customHeight="1" x14ac:dyDescent="0.25">
      <c r="A58" s="23">
        <v>2026</v>
      </c>
      <c r="B58" s="23" t="s">
        <v>53</v>
      </c>
      <c r="C58" s="23" t="s">
        <v>54</v>
      </c>
      <c r="D58" s="23" t="s">
        <v>33</v>
      </c>
      <c r="E58" s="23" t="s">
        <v>28</v>
      </c>
      <c r="F58" s="23">
        <v>372</v>
      </c>
      <c r="G58" s="23">
        <v>355</v>
      </c>
      <c r="H58" s="42">
        <v>0.87</v>
      </c>
    </row>
    <row r="59" spans="1:14" ht="15" customHeight="1" x14ac:dyDescent="0.25">
      <c r="A59" s="23">
        <v>2026</v>
      </c>
      <c r="B59" s="23" t="s">
        <v>53</v>
      </c>
      <c r="C59" s="23" t="s">
        <v>54</v>
      </c>
      <c r="D59" s="23" t="s">
        <v>33</v>
      </c>
      <c r="E59" s="23" t="s">
        <v>30</v>
      </c>
      <c r="F59" s="23">
        <v>288</v>
      </c>
      <c r="G59" s="23">
        <v>157</v>
      </c>
      <c r="H59" s="42">
        <v>0.8</v>
      </c>
    </row>
    <row r="63" spans="1:14" ht="30" customHeight="1" x14ac:dyDescent="0.25">
      <c r="A63" s="71" t="s">
        <v>55</v>
      </c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</row>
    <row r="64" spans="1:14" ht="21.75" customHeight="1" x14ac:dyDescent="0.25">
      <c r="A64" s="16" t="s">
        <v>11</v>
      </c>
      <c r="B64" s="16" t="s">
        <v>17</v>
      </c>
      <c r="C64" s="16" t="s">
        <v>56</v>
      </c>
      <c r="D64" s="16" t="s">
        <v>57</v>
      </c>
      <c r="E64" s="16" t="s">
        <v>16</v>
      </c>
      <c r="F64" s="16" t="s">
        <v>58</v>
      </c>
      <c r="G64" s="16" t="s">
        <v>59</v>
      </c>
      <c r="H64" s="16" t="s">
        <v>60</v>
      </c>
      <c r="I64" s="16" t="s">
        <v>61</v>
      </c>
      <c r="J64" s="16" t="s">
        <v>62</v>
      </c>
      <c r="K64" s="16" t="s">
        <v>63</v>
      </c>
      <c r="L64" s="16" t="s">
        <v>18</v>
      </c>
      <c r="M64" s="16" t="s">
        <v>48</v>
      </c>
      <c r="N64" s="16" t="s">
        <v>49</v>
      </c>
    </row>
    <row r="65" spans="1:14" ht="28.5" customHeight="1" x14ac:dyDescent="0.25">
      <c r="A65" s="76" t="s">
        <v>64</v>
      </c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</row>
    <row r="66" spans="1:14" ht="32.25" customHeight="1" x14ac:dyDescent="0.25">
      <c r="A66" s="23" t="s">
        <v>19</v>
      </c>
      <c r="B66" s="23" t="s">
        <v>20</v>
      </c>
      <c r="C66" s="23" t="s">
        <v>65</v>
      </c>
      <c r="D66" s="23" t="s">
        <v>66</v>
      </c>
      <c r="E66" s="43" t="s">
        <v>42</v>
      </c>
      <c r="F66" s="23" t="s">
        <v>67</v>
      </c>
      <c r="G66" s="23" t="s">
        <v>68</v>
      </c>
      <c r="H66" s="23"/>
      <c r="I66" s="44">
        <v>0</v>
      </c>
      <c r="J66" s="44">
        <v>0</v>
      </c>
      <c r="K66" s="21">
        <f t="shared" ref="K66:K83" si="0">IFERROR((168-I66-J66)/168,1)</f>
        <v>1</v>
      </c>
      <c r="L66" s="45">
        <f t="shared" ref="L66:L83" si="1">K66-0.9</f>
        <v>9.9999999999999978E-2</v>
      </c>
      <c r="M66" s="23" t="s">
        <v>53</v>
      </c>
      <c r="N66" s="23" t="s">
        <v>54</v>
      </c>
    </row>
    <row r="67" spans="1:14" ht="32.25" customHeight="1" x14ac:dyDescent="0.25">
      <c r="A67" s="23" t="s">
        <v>19</v>
      </c>
      <c r="B67" s="23" t="s">
        <v>22</v>
      </c>
      <c r="C67" s="23" t="s">
        <v>69</v>
      </c>
      <c r="D67" s="23" t="s">
        <v>66</v>
      </c>
      <c r="E67" s="43" t="s">
        <v>42</v>
      </c>
      <c r="F67" s="23" t="s">
        <v>67</v>
      </c>
      <c r="G67" s="23" t="s">
        <v>68</v>
      </c>
      <c r="H67" s="23"/>
      <c r="I67" s="44">
        <v>0</v>
      </c>
      <c r="J67" s="44">
        <v>0</v>
      </c>
      <c r="K67" s="21">
        <f t="shared" si="0"/>
        <v>1</v>
      </c>
      <c r="L67" s="45">
        <f t="shared" si="1"/>
        <v>9.9999999999999978E-2</v>
      </c>
      <c r="M67" s="23" t="s">
        <v>53</v>
      </c>
      <c r="N67" s="23" t="s">
        <v>54</v>
      </c>
    </row>
    <row r="68" spans="1:14" ht="32.25" customHeight="1" x14ac:dyDescent="0.25">
      <c r="A68" s="23" t="s">
        <v>21</v>
      </c>
      <c r="B68" s="23" t="s">
        <v>20</v>
      </c>
      <c r="C68" s="23" t="s">
        <v>65</v>
      </c>
      <c r="D68" s="23" t="s">
        <v>66</v>
      </c>
      <c r="E68" s="43" t="s">
        <v>42</v>
      </c>
      <c r="F68" s="23" t="s">
        <v>67</v>
      </c>
      <c r="G68" s="23" t="s">
        <v>68</v>
      </c>
      <c r="H68" s="23"/>
      <c r="I68" s="44">
        <v>0</v>
      </c>
      <c r="J68" s="44">
        <v>0</v>
      </c>
      <c r="K68" s="21">
        <f t="shared" si="0"/>
        <v>1</v>
      </c>
      <c r="L68" s="45">
        <f t="shared" si="1"/>
        <v>9.9999999999999978E-2</v>
      </c>
      <c r="M68" s="23" t="s">
        <v>53</v>
      </c>
      <c r="N68" s="23" t="s">
        <v>54</v>
      </c>
    </row>
    <row r="69" spans="1:14" ht="32.25" customHeight="1" x14ac:dyDescent="0.25">
      <c r="A69" s="23" t="s">
        <v>21</v>
      </c>
      <c r="B69" s="23" t="s">
        <v>22</v>
      </c>
      <c r="C69" s="23" t="s">
        <v>69</v>
      </c>
      <c r="D69" s="23" t="s">
        <v>66</v>
      </c>
      <c r="E69" s="43" t="s">
        <v>42</v>
      </c>
      <c r="F69" s="23" t="s">
        <v>67</v>
      </c>
      <c r="G69" s="23" t="s">
        <v>68</v>
      </c>
      <c r="H69" s="23"/>
      <c r="I69" s="44">
        <v>0</v>
      </c>
      <c r="J69" s="44">
        <v>0</v>
      </c>
      <c r="K69" s="21">
        <f t="shared" si="0"/>
        <v>1</v>
      </c>
      <c r="L69" s="45">
        <f t="shared" si="1"/>
        <v>9.9999999999999978E-2</v>
      </c>
      <c r="M69" s="23" t="s">
        <v>53</v>
      </c>
      <c r="N69" s="23" t="s">
        <v>54</v>
      </c>
    </row>
    <row r="70" spans="1:14" ht="32.25" customHeight="1" x14ac:dyDescent="0.25">
      <c r="A70" s="23" t="s">
        <v>23</v>
      </c>
      <c r="B70" s="23" t="s">
        <v>20</v>
      </c>
      <c r="C70" s="23" t="s">
        <v>65</v>
      </c>
      <c r="D70" s="23" t="s">
        <v>66</v>
      </c>
      <c r="E70" s="43" t="s">
        <v>42</v>
      </c>
      <c r="F70" s="23" t="s">
        <v>67</v>
      </c>
      <c r="G70" s="23" t="s">
        <v>68</v>
      </c>
      <c r="H70" s="23"/>
      <c r="I70" s="44">
        <v>0</v>
      </c>
      <c r="J70" s="44">
        <v>0</v>
      </c>
      <c r="K70" s="21">
        <f t="shared" si="0"/>
        <v>1</v>
      </c>
      <c r="L70" s="45">
        <f t="shared" si="1"/>
        <v>9.9999999999999978E-2</v>
      </c>
      <c r="M70" s="23" t="s">
        <v>53</v>
      </c>
      <c r="N70" s="23" t="s">
        <v>54</v>
      </c>
    </row>
    <row r="71" spans="1:14" ht="32.25" customHeight="1" x14ac:dyDescent="0.25">
      <c r="A71" s="23" t="s">
        <v>23</v>
      </c>
      <c r="B71" s="23" t="s">
        <v>22</v>
      </c>
      <c r="C71" s="23" t="s">
        <v>69</v>
      </c>
      <c r="D71" s="23" t="s">
        <v>66</v>
      </c>
      <c r="E71" s="43" t="s">
        <v>42</v>
      </c>
      <c r="F71" s="23" t="s">
        <v>67</v>
      </c>
      <c r="G71" s="23" t="s">
        <v>68</v>
      </c>
      <c r="H71" s="23"/>
      <c r="I71" s="44">
        <v>0</v>
      </c>
      <c r="J71" s="44">
        <v>0</v>
      </c>
      <c r="K71" s="21">
        <f t="shared" si="0"/>
        <v>1</v>
      </c>
      <c r="L71" s="45">
        <f t="shared" si="1"/>
        <v>9.9999999999999978E-2</v>
      </c>
      <c r="M71" s="23" t="s">
        <v>53</v>
      </c>
      <c r="N71" s="23" t="s">
        <v>54</v>
      </c>
    </row>
    <row r="72" spans="1:14" ht="32.25" customHeight="1" x14ac:dyDescent="0.25">
      <c r="A72" s="23" t="s">
        <v>25</v>
      </c>
      <c r="B72" s="23" t="s">
        <v>20</v>
      </c>
      <c r="C72" s="23" t="s">
        <v>65</v>
      </c>
      <c r="D72" s="23" t="s">
        <v>66</v>
      </c>
      <c r="E72" s="43" t="s">
        <v>42</v>
      </c>
      <c r="F72" s="23" t="s">
        <v>67</v>
      </c>
      <c r="G72" s="23" t="s">
        <v>68</v>
      </c>
      <c r="H72" s="23"/>
      <c r="I72" s="44">
        <v>0</v>
      </c>
      <c r="J72" s="44">
        <v>0</v>
      </c>
      <c r="K72" s="21">
        <f t="shared" si="0"/>
        <v>1</v>
      </c>
      <c r="L72" s="45">
        <f t="shared" si="1"/>
        <v>9.9999999999999978E-2</v>
      </c>
      <c r="M72" s="23" t="s">
        <v>53</v>
      </c>
      <c r="N72" s="23" t="s">
        <v>54</v>
      </c>
    </row>
    <row r="73" spans="1:14" ht="32.25" customHeight="1" x14ac:dyDescent="0.25">
      <c r="A73" s="23" t="s">
        <v>25</v>
      </c>
      <c r="B73" s="23" t="s">
        <v>22</v>
      </c>
      <c r="C73" s="23" t="s">
        <v>69</v>
      </c>
      <c r="D73" s="23" t="s">
        <v>66</v>
      </c>
      <c r="E73" s="43" t="s">
        <v>42</v>
      </c>
      <c r="F73" s="23" t="s">
        <v>67</v>
      </c>
      <c r="G73" s="23" t="s">
        <v>68</v>
      </c>
      <c r="H73" s="23"/>
      <c r="I73" s="44">
        <v>0</v>
      </c>
      <c r="J73" s="44">
        <v>0</v>
      </c>
      <c r="K73" s="21">
        <f t="shared" si="0"/>
        <v>1</v>
      </c>
      <c r="L73" s="45">
        <f t="shared" si="1"/>
        <v>9.9999999999999978E-2</v>
      </c>
      <c r="M73" s="23" t="s">
        <v>53</v>
      </c>
      <c r="N73" s="23" t="s">
        <v>54</v>
      </c>
    </row>
    <row r="74" spans="1:14" ht="32.25" customHeight="1" x14ac:dyDescent="0.25">
      <c r="A74" s="23" t="s">
        <v>27</v>
      </c>
      <c r="B74" s="23" t="s">
        <v>20</v>
      </c>
      <c r="C74" s="23" t="s">
        <v>65</v>
      </c>
      <c r="D74" s="23" t="s">
        <v>66</v>
      </c>
      <c r="E74" s="43" t="s">
        <v>42</v>
      </c>
      <c r="F74" s="23" t="s">
        <v>67</v>
      </c>
      <c r="G74" s="23" t="s">
        <v>68</v>
      </c>
      <c r="H74" s="23"/>
      <c r="I74" s="44">
        <v>0</v>
      </c>
      <c r="J74" s="44">
        <v>0</v>
      </c>
      <c r="K74" s="21">
        <f t="shared" si="0"/>
        <v>1</v>
      </c>
      <c r="L74" s="45">
        <f t="shared" si="1"/>
        <v>9.9999999999999978E-2</v>
      </c>
      <c r="M74" s="23" t="s">
        <v>53</v>
      </c>
      <c r="N74" s="23" t="s">
        <v>54</v>
      </c>
    </row>
    <row r="75" spans="1:14" ht="32.25" customHeight="1" x14ac:dyDescent="0.25">
      <c r="A75" s="23" t="s">
        <v>27</v>
      </c>
      <c r="B75" s="23" t="s">
        <v>22</v>
      </c>
      <c r="C75" s="23" t="s">
        <v>69</v>
      </c>
      <c r="D75" s="23" t="s">
        <v>66</v>
      </c>
      <c r="E75" s="43" t="s">
        <v>42</v>
      </c>
      <c r="F75" s="23" t="s">
        <v>67</v>
      </c>
      <c r="G75" s="23" t="s">
        <v>68</v>
      </c>
      <c r="H75" s="23"/>
      <c r="I75" s="44">
        <v>0</v>
      </c>
      <c r="J75" s="44">
        <v>0</v>
      </c>
      <c r="K75" s="21">
        <f t="shared" si="0"/>
        <v>1</v>
      </c>
      <c r="L75" s="45">
        <f t="shared" si="1"/>
        <v>9.9999999999999978E-2</v>
      </c>
      <c r="M75" s="23" t="s">
        <v>53</v>
      </c>
      <c r="N75" s="23" t="s">
        <v>54</v>
      </c>
    </row>
    <row r="76" spans="1:14" ht="32.25" customHeight="1" x14ac:dyDescent="0.25">
      <c r="A76" s="23" t="s">
        <v>29</v>
      </c>
      <c r="B76" s="23" t="s">
        <v>20</v>
      </c>
      <c r="C76" s="23" t="s">
        <v>65</v>
      </c>
      <c r="D76" s="23" t="s">
        <v>66</v>
      </c>
      <c r="E76" s="43" t="s">
        <v>42</v>
      </c>
      <c r="F76" s="23" t="s">
        <v>67</v>
      </c>
      <c r="G76" s="23" t="s">
        <v>68</v>
      </c>
      <c r="H76" s="23"/>
      <c r="I76" s="44">
        <v>0</v>
      </c>
      <c r="J76" s="44">
        <v>0</v>
      </c>
      <c r="K76" s="21">
        <f t="shared" si="0"/>
        <v>1</v>
      </c>
      <c r="L76" s="45">
        <f t="shared" si="1"/>
        <v>9.9999999999999978E-2</v>
      </c>
      <c r="M76" s="23" t="s">
        <v>53</v>
      </c>
      <c r="N76" s="23" t="s">
        <v>54</v>
      </c>
    </row>
    <row r="77" spans="1:14" ht="32.25" customHeight="1" x14ac:dyDescent="0.25">
      <c r="A77" s="23" t="s">
        <v>29</v>
      </c>
      <c r="B77" s="23" t="s">
        <v>22</v>
      </c>
      <c r="C77" s="23" t="s">
        <v>69</v>
      </c>
      <c r="D77" s="23" t="s">
        <v>66</v>
      </c>
      <c r="E77" s="43" t="s">
        <v>42</v>
      </c>
      <c r="F77" s="23" t="s">
        <v>67</v>
      </c>
      <c r="G77" s="23" t="s">
        <v>68</v>
      </c>
      <c r="H77" s="23"/>
      <c r="I77" s="44">
        <v>0</v>
      </c>
      <c r="J77" s="44">
        <v>0</v>
      </c>
      <c r="K77" s="21">
        <f t="shared" si="0"/>
        <v>1</v>
      </c>
      <c r="L77" s="45">
        <f t="shared" si="1"/>
        <v>9.9999999999999978E-2</v>
      </c>
      <c r="M77" s="23" t="s">
        <v>53</v>
      </c>
      <c r="N77" s="23" t="s">
        <v>54</v>
      </c>
    </row>
    <row r="78" spans="1:14" ht="32.25" customHeight="1" x14ac:dyDescent="0.25">
      <c r="A78" s="23" t="s">
        <v>31</v>
      </c>
      <c r="B78" s="23" t="s">
        <v>20</v>
      </c>
      <c r="C78" s="23" t="s">
        <v>65</v>
      </c>
      <c r="D78" s="23" t="s">
        <v>66</v>
      </c>
      <c r="E78" s="43" t="s">
        <v>42</v>
      </c>
      <c r="F78" s="23" t="s">
        <v>67</v>
      </c>
      <c r="G78" s="23" t="s">
        <v>68</v>
      </c>
      <c r="H78" s="23"/>
      <c r="I78" s="44">
        <v>0</v>
      </c>
      <c r="J78" s="44">
        <v>0</v>
      </c>
      <c r="K78" s="21">
        <f t="shared" si="0"/>
        <v>1</v>
      </c>
      <c r="L78" s="45">
        <f t="shared" si="1"/>
        <v>9.9999999999999978E-2</v>
      </c>
      <c r="M78" s="23" t="s">
        <v>53</v>
      </c>
      <c r="N78" s="23" t="s">
        <v>54</v>
      </c>
    </row>
    <row r="79" spans="1:14" ht="32.25" customHeight="1" x14ac:dyDescent="0.25">
      <c r="A79" s="23" t="s">
        <v>31</v>
      </c>
      <c r="B79" s="23" t="s">
        <v>22</v>
      </c>
      <c r="C79" s="23" t="s">
        <v>69</v>
      </c>
      <c r="D79" s="23" t="s">
        <v>66</v>
      </c>
      <c r="E79" s="43" t="s">
        <v>42</v>
      </c>
      <c r="F79" s="23" t="s">
        <v>67</v>
      </c>
      <c r="G79" s="23" t="s">
        <v>68</v>
      </c>
      <c r="H79" s="23"/>
      <c r="I79" s="44">
        <v>0</v>
      </c>
      <c r="J79" s="44">
        <v>0</v>
      </c>
      <c r="K79" s="21">
        <f t="shared" si="0"/>
        <v>1</v>
      </c>
      <c r="L79" s="45">
        <f t="shared" si="1"/>
        <v>9.9999999999999978E-2</v>
      </c>
      <c r="M79" s="23" t="s">
        <v>53</v>
      </c>
      <c r="N79" s="23" t="s">
        <v>54</v>
      </c>
    </row>
    <row r="80" spans="1:14" ht="32.25" customHeight="1" x14ac:dyDescent="0.25">
      <c r="A80" s="23" t="s">
        <v>32</v>
      </c>
      <c r="B80" s="23" t="s">
        <v>20</v>
      </c>
      <c r="C80" s="23" t="s">
        <v>65</v>
      </c>
      <c r="D80" s="23" t="s">
        <v>66</v>
      </c>
      <c r="E80" s="43" t="s">
        <v>42</v>
      </c>
      <c r="F80" s="23" t="s">
        <v>67</v>
      </c>
      <c r="G80" s="23" t="s">
        <v>68</v>
      </c>
      <c r="H80" s="23"/>
      <c r="I80" s="44">
        <v>0</v>
      </c>
      <c r="J80" s="44">
        <v>0</v>
      </c>
      <c r="K80" s="21">
        <f t="shared" si="0"/>
        <v>1</v>
      </c>
      <c r="L80" s="45">
        <f t="shared" si="1"/>
        <v>9.9999999999999978E-2</v>
      </c>
      <c r="M80" s="23" t="s">
        <v>53</v>
      </c>
      <c r="N80" s="23" t="s">
        <v>54</v>
      </c>
    </row>
    <row r="81" spans="1:14" ht="32.25" customHeight="1" x14ac:dyDescent="0.25">
      <c r="A81" s="23" t="s">
        <v>32</v>
      </c>
      <c r="B81" s="23" t="s">
        <v>22</v>
      </c>
      <c r="C81" s="23" t="s">
        <v>69</v>
      </c>
      <c r="D81" s="23" t="s">
        <v>66</v>
      </c>
      <c r="E81" s="43" t="s">
        <v>42</v>
      </c>
      <c r="F81" s="23" t="s">
        <v>67</v>
      </c>
      <c r="G81" s="23" t="s">
        <v>68</v>
      </c>
      <c r="H81" s="23"/>
      <c r="I81" s="44">
        <v>0</v>
      </c>
      <c r="J81" s="44">
        <v>0</v>
      </c>
      <c r="K81" s="21">
        <f t="shared" si="0"/>
        <v>1</v>
      </c>
      <c r="L81" s="45">
        <f t="shared" si="1"/>
        <v>9.9999999999999978E-2</v>
      </c>
      <c r="M81" s="23" t="s">
        <v>53</v>
      </c>
      <c r="N81" s="23" t="s">
        <v>54</v>
      </c>
    </row>
    <row r="82" spans="1:14" ht="32.25" customHeight="1" x14ac:dyDescent="0.25">
      <c r="A82" s="23" t="s">
        <v>33</v>
      </c>
      <c r="B82" s="23" t="s">
        <v>20</v>
      </c>
      <c r="C82" s="23" t="s">
        <v>65</v>
      </c>
      <c r="D82" s="23" t="s">
        <v>66</v>
      </c>
      <c r="E82" s="43" t="s">
        <v>42</v>
      </c>
      <c r="F82" s="23" t="s">
        <v>67</v>
      </c>
      <c r="G82" s="23" t="s">
        <v>68</v>
      </c>
      <c r="H82" s="23"/>
      <c r="I82" s="44">
        <v>0</v>
      </c>
      <c r="J82" s="44">
        <v>0</v>
      </c>
      <c r="K82" s="21">
        <f t="shared" si="0"/>
        <v>1</v>
      </c>
      <c r="L82" s="45">
        <f t="shared" si="1"/>
        <v>9.9999999999999978E-2</v>
      </c>
      <c r="M82" s="23" t="s">
        <v>53</v>
      </c>
      <c r="N82" s="23" t="s">
        <v>54</v>
      </c>
    </row>
    <row r="83" spans="1:14" ht="32.25" customHeight="1" x14ac:dyDescent="0.25">
      <c r="A83" s="23" t="s">
        <v>33</v>
      </c>
      <c r="B83" s="23" t="s">
        <v>22</v>
      </c>
      <c r="C83" s="23" t="s">
        <v>69</v>
      </c>
      <c r="D83" s="23" t="s">
        <v>66</v>
      </c>
      <c r="E83" s="43" t="s">
        <v>42</v>
      </c>
      <c r="F83" s="23" t="s">
        <v>67</v>
      </c>
      <c r="G83" s="23" t="s">
        <v>68</v>
      </c>
      <c r="H83" s="23"/>
      <c r="I83" s="44">
        <v>0</v>
      </c>
      <c r="J83" s="44">
        <v>0</v>
      </c>
      <c r="K83" s="21">
        <f t="shared" si="0"/>
        <v>1</v>
      </c>
      <c r="L83" s="45">
        <f t="shared" si="1"/>
        <v>9.9999999999999978E-2</v>
      </c>
      <c r="M83" s="23" t="s">
        <v>53</v>
      </c>
      <c r="N83" s="23" t="s">
        <v>54</v>
      </c>
    </row>
    <row r="85" spans="1:14" ht="15" customHeight="1" x14ac:dyDescent="0.25">
      <c r="A85" s="77"/>
      <c r="B85" s="77"/>
      <c r="C85" s="77"/>
      <c r="D85" s="77"/>
      <c r="E85" s="77"/>
      <c r="F85" s="77"/>
      <c r="G85" s="77"/>
    </row>
    <row r="86" spans="1:14" ht="22.5" customHeight="1" x14ac:dyDescent="0.25">
      <c r="A86" s="78" t="s">
        <v>70</v>
      </c>
      <c r="B86" s="78"/>
      <c r="C86" s="78"/>
      <c r="D86" s="78"/>
      <c r="E86" s="78"/>
      <c r="F86" s="78"/>
      <c r="G86" s="78"/>
    </row>
    <row r="87" spans="1:14" ht="24" customHeight="1" x14ac:dyDescent="0.25">
      <c r="A87" s="16" t="s">
        <v>11</v>
      </c>
      <c r="B87" s="16" t="s">
        <v>17</v>
      </c>
      <c r="C87" s="16" t="s">
        <v>48</v>
      </c>
      <c r="D87" s="16" t="s">
        <v>49</v>
      </c>
      <c r="E87" s="16" t="s">
        <v>71</v>
      </c>
      <c r="F87" s="16" t="s">
        <v>72</v>
      </c>
      <c r="G87" s="16" t="s">
        <v>38</v>
      </c>
    </row>
    <row r="88" spans="1:14" ht="15" customHeight="1" x14ac:dyDescent="0.25">
      <c r="A88" s="23" t="s">
        <v>19</v>
      </c>
      <c r="B88" s="23" t="s">
        <v>20</v>
      </c>
      <c r="C88" s="23" t="s">
        <v>53</v>
      </c>
      <c r="D88" s="23" t="s">
        <v>54</v>
      </c>
      <c r="E88" s="23">
        <v>6</v>
      </c>
      <c r="F88" s="23">
        <v>6</v>
      </c>
      <c r="G88" s="23">
        <f t="shared" ref="G88:G119" si="2">IF(E88="","",E88-F88)</f>
        <v>0</v>
      </c>
    </row>
    <row r="89" spans="1:14" ht="15" customHeight="1" x14ac:dyDescent="0.25">
      <c r="A89" s="23" t="s">
        <v>19</v>
      </c>
      <c r="B89" s="23" t="s">
        <v>22</v>
      </c>
      <c r="C89" s="23" t="s">
        <v>53</v>
      </c>
      <c r="D89" s="23" t="s">
        <v>54</v>
      </c>
      <c r="E89" s="23">
        <v>5</v>
      </c>
      <c r="F89" s="23">
        <v>6</v>
      </c>
      <c r="G89" s="23">
        <f t="shared" si="2"/>
        <v>-1</v>
      </c>
    </row>
    <row r="90" spans="1:14" ht="21.75" customHeight="1" x14ac:dyDescent="0.25">
      <c r="A90" s="23" t="s">
        <v>19</v>
      </c>
      <c r="B90" s="23" t="s">
        <v>24</v>
      </c>
      <c r="C90" s="23" t="s">
        <v>53</v>
      </c>
      <c r="D90" s="23" t="s">
        <v>54</v>
      </c>
      <c r="E90" s="23">
        <v>6</v>
      </c>
      <c r="F90" s="23">
        <v>6</v>
      </c>
      <c r="G90" s="23">
        <f t="shared" si="2"/>
        <v>0</v>
      </c>
    </row>
    <row r="91" spans="1:14" ht="24" customHeight="1" x14ac:dyDescent="0.25">
      <c r="A91" s="23" t="s">
        <v>19</v>
      </c>
      <c r="B91" s="23" t="s">
        <v>26</v>
      </c>
      <c r="C91" s="23" t="s">
        <v>53</v>
      </c>
      <c r="D91" s="23" t="s">
        <v>54</v>
      </c>
      <c r="E91" s="23">
        <v>6</v>
      </c>
      <c r="F91" s="23">
        <v>6</v>
      </c>
      <c r="G91" s="23">
        <f t="shared" si="2"/>
        <v>0</v>
      </c>
    </row>
    <row r="92" spans="1:14" ht="15" customHeight="1" x14ac:dyDescent="0.25">
      <c r="A92" s="23" t="s">
        <v>19</v>
      </c>
      <c r="B92" s="23" t="s">
        <v>28</v>
      </c>
      <c r="C92" s="23" t="s">
        <v>53</v>
      </c>
      <c r="D92" s="23" t="s">
        <v>54</v>
      </c>
      <c r="E92" s="23">
        <v>6</v>
      </c>
      <c r="F92" s="23">
        <v>6</v>
      </c>
      <c r="G92" s="23">
        <f t="shared" si="2"/>
        <v>0</v>
      </c>
    </row>
    <row r="93" spans="1:14" ht="15" customHeight="1" x14ac:dyDescent="0.25">
      <c r="A93" s="23" t="s">
        <v>19</v>
      </c>
      <c r="B93" s="23" t="s">
        <v>30</v>
      </c>
      <c r="C93" s="23" t="s">
        <v>53</v>
      </c>
      <c r="D93" s="23" t="s">
        <v>54</v>
      </c>
      <c r="E93" s="23">
        <v>8</v>
      </c>
      <c r="F93" s="23">
        <v>6</v>
      </c>
      <c r="G93" s="23">
        <f t="shared" si="2"/>
        <v>2</v>
      </c>
    </row>
    <row r="94" spans="1:14" ht="15" customHeight="1" x14ac:dyDescent="0.25">
      <c r="A94" s="23" t="s">
        <v>21</v>
      </c>
      <c r="B94" s="23" t="s">
        <v>20</v>
      </c>
      <c r="C94" s="23" t="s">
        <v>53</v>
      </c>
      <c r="D94" s="23" t="s">
        <v>54</v>
      </c>
      <c r="E94" s="23">
        <v>3</v>
      </c>
      <c r="F94" s="23">
        <v>6</v>
      </c>
      <c r="G94" s="23">
        <f t="shared" si="2"/>
        <v>-3</v>
      </c>
    </row>
    <row r="95" spans="1:14" ht="15" customHeight="1" x14ac:dyDescent="0.25">
      <c r="A95" s="23" t="s">
        <v>21</v>
      </c>
      <c r="B95" s="23" t="s">
        <v>22</v>
      </c>
      <c r="C95" s="23" t="s">
        <v>53</v>
      </c>
      <c r="D95" s="23" t="s">
        <v>54</v>
      </c>
      <c r="E95" s="23">
        <v>8</v>
      </c>
      <c r="F95" s="23">
        <v>6</v>
      </c>
      <c r="G95" s="23">
        <f t="shared" si="2"/>
        <v>2</v>
      </c>
    </row>
    <row r="96" spans="1:14" ht="21.75" customHeight="1" x14ac:dyDescent="0.25">
      <c r="A96" s="23" t="s">
        <v>21</v>
      </c>
      <c r="B96" s="23" t="s">
        <v>24</v>
      </c>
      <c r="C96" s="23" t="s">
        <v>53</v>
      </c>
      <c r="D96" s="23" t="s">
        <v>54</v>
      </c>
      <c r="E96" s="23">
        <v>8</v>
      </c>
      <c r="F96" s="23">
        <v>6</v>
      </c>
      <c r="G96" s="23">
        <f t="shared" si="2"/>
        <v>2</v>
      </c>
    </row>
    <row r="97" spans="1:7" ht="15" customHeight="1" x14ac:dyDescent="0.25">
      <c r="A97" s="23" t="s">
        <v>21</v>
      </c>
      <c r="B97" s="23" t="s">
        <v>26</v>
      </c>
      <c r="C97" s="23" t="s">
        <v>53</v>
      </c>
      <c r="D97" s="23" t="s">
        <v>54</v>
      </c>
      <c r="E97" s="23">
        <v>8</v>
      </c>
      <c r="F97" s="23">
        <v>6</v>
      </c>
      <c r="G97" s="23">
        <f t="shared" si="2"/>
        <v>2</v>
      </c>
    </row>
    <row r="98" spans="1:7" ht="15" customHeight="1" x14ac:dyDescent="0.25">
      <c r="A98" s="23" t="s">
        <v>21</v>
      </c>
      <c r="B98" s="23" t="s">
        <v>28</v>
      </c>
      <c r="C98" s="23" t="s">
        <v>53</v>
      </c>
      <c r="D98" s="23" t="s">
        <v>54</v>
      </c>
      <c r="E98" s="23">
        <v>3</v>
      </c>
      <c r="F98" s="23">
        <v>6</v>
      </c>
      <c r="G98" s="23">
        <f t="shared" si="2"/>
        <v>-3</v>
      </c>
    </row>
    <row r="99" spans="1:7" ht="15" customHeight="1" x14ac:dyDescent="0.25">
      <c r="A99" s="23" t="s">
        <v>21</v>
      </c>
      <c r="B99" s="23" t="s">
        <v>30</v>
      </c>
      <c r="C99" s="23" t="s">
        <v>53</v>
      </c>
      <c r="D99" s="23" t="s">
        <v>54</v>
      </c>
      <c r="E99" s="23">
        <v>3</v>
      </c>
      <c r="F99" s="23">
        <v>6</v>
      </c>
      <c r="G99" s="23">
        <f t="shared" si="2"/>
        <v>-3</v>
      </c>
    </row>
    <row r="100" spans="1:7" ht="15" customHeight="1" x14ac:dyDescent="0.25">
      <c r="A100" s="23" t="s">
        <v>23</v>
      </c>
      <c r="B100" s="23" t="s">
        <v>20</v>
      </c>
      <c r="C100" s="23" t="s">
        <v>53</v>
      </c>
      <c r="D100" s="23" t="s">
        <v>54</v>
      </c>
      <c r="E100" s="23">
        <v>6</v>
      </c>
      <c r="F100" s="23">
        <v>6</v>
      </c>
      <c r="G100" s="23">
        <f t="shared" si="2"/>
        <v>0</v>
      </c>
    </row>
    <row r="101" spans="1:7" ht="15" customHeight="1" x14ac:dyDescent="0.25">
      <c r="A101" s="23" t="s">
        <v>23</v>
      </c>
      <c r="B101" s="23" t="s">
        <v>22</v>
      </c>
      <c r="C101" s="23" t="s">
        <v>53</v>
      </c>
      <c r="D101" s="23" t="s">
        <v>54</v>
      </c>
      <c r="E101" s="23">
        <v>8</v>
      </c>
      <c r="F101" s="23">
        <v>6</v>
      </c>
      <c r="G101" s="23">
        <f t="shared" si="2"/>
        <v>2</v>
      </c>
    </row>
    <row r="102" spans="1:7" ht="21.75" customHeight="1" x14ac:dyDescent="0.25">
      <c r="A102" s="23" t="s">
        <v>23</v>
      </c>
      <c r="B102" s="23" t="s">
        <v>24</v>
      </c>
      <c r="C102" s="23" t="s">
        <v>53</v>
      </c>
      <c r="D102" s="23" t="s">
        <v>54</v>
      </c>
      <c r="E102" s="23">
        <v>5</v>
      </c>
      <c r="F102" s="23">
        <v>6</v>
      </c>
      <c r="G102" s="23">
        <f t="shared" si="2"/>
        <v>-1</v>
      </c>
    </row>
    <row r="103" spans="1:7" ht="15" customHeight="1" x14ac:dyDescent="0.25">
      <c r="A103" s="23" t="s">
        <v>23</v>
      </c>
      <c r="B103" s="23" t="s">
        <v>26</v>
      </c>
      <c r="C103" s="23" t="s">
        <v>53</v>
      </c>
      <c r="D103" s="23" t="s">
        <v>54</v>
      </c>
      <c r="E103" s="23">
        <v>3</v>
      </c>
      <c r="F103" s="23">
        <v>6</v>
      </c>
      <c r="G103" s="23">
        <f t="shared" si="2"/>
        <v>-3</v>
      </c>
    </row>
    <row r="104" spans="1:7" ht="15" customHeight="1" x14ac:dyDescent="0.25">
      <c r="A104" s="23" t="s">
        <v>23</v>
      </c>
      <c r="B104" s="23" t="s">
        <v>28</v>
      </c>
      <c r="C104" s="23" t="s">
        <v>53</v>
      </c>
      <c r="D104" s="23" t="s">
        <v>54</v>
      </c>
      <c r="E104" s="23">
        <v>4</v>
      </c>
      <c r="F104" s="23">
        <v>6</v>
      </c>
      <c r="G104" s="23">
        <f t="shared" si="2"/>
        <v>-2</v>
      </c>
    </row>
    <row r="105" spans="1:7" ht="32.25" customHeight="1" x14ac:dyDescent="0.25">
      <c r="A105" s="23" t="s">
        <v>23</v>
      </c>
      <c r="B105" s="23" t="s">
        <v>30</v>
      </c>
      <c r="C105" s="23" t="s">
        <v>53</v>
      </c>
      <c r="D105" s="23" t="s">
        <v>54</v>
      </c>
      <c r="E105" s="23">
        <v>4</v>
      </c>
      <c r="F105" s="23">
        <v>6</v>
      </c>
      <c r="G105" s="23">
        <f t="shared" si="2"/>
        <v>-2</v>
      </c>
    </row>
    <row r="106" spans="1:7" ht="32.25" customHeight="1" x14ac:dyDescent="0.25">
      <c r="A106" s="23" t="s">
        <v>25</v>
      </c>
      <c r="B106" s="23" t="s">
        <v>20</v>
      </c>
      <c r="C106" s="23" t="s">
        <v>53</v>
      </c>
      <c r="D106" s="23" t="s">
        <v>54</v>
      </c>
      <c r="E106" s="23">
        <v>4</v>
      </c>
      <c r="F106" s="23">
        <v>6</v>
      </c>
      <c r="G106" s="23">
        <f t="shared" si="2"/>
        <v>-2</v>
      </c>
    </row>
    <row r="107" spans="1:7" ht="32.25" customHeight="1" x14ac:dyDescent="0.25">
      <c r="A107" s="23" t="s">
        <v>25</v>
      </c>
      <c r="B107" s="23" t="s">
        <v>22</v>
      </c>
      <c r="C107" s="23" t="s">
        <v>53</v>
      </c>
      <c r="D107" s="23" t="s">
        <v>54</v>
      </c>
      <c r="E107" s="23">
        <v>7</v>
      </c>
      <c r="F107" s="23">
        <v>6</v>
      </c>
      <c r="G107" s="23">
        <f t="shared" si="2"/>
        <v>1</v>
      </c>
    </row>
    <row r="108" spans="1:7" ht="32.25" customHeight="1" x14ac:dyDescent="0.25">
      <c r="A108" s="23" t="s">
        <v>25</v>
      </c>
      <c r="B108" s="23" t="s">
        <v>24</v>
      </c>
      <c r="C108" s="23" t="s">
        <v>53</v>
      </c>
      <c r="D108" s="23" t="s">
        <v>54</v>
      </c>
      <c r="E108" s="23">
        <v>6</v>
      </c>
      <c r="F108" s="23">
        <v>6</v>
      </c>
      <c r="G108" s="23">
        <f t="shared" si="2"/>
        <v>0</v>
      </c>
    </row>
    <row r="109" spans="1:7" ht="32.25" customHeight="1" x14ac:dyDescent="0.25">
      <c r="A109" s="23" t="s">
        <v>25</v>
      </c>
      <c r="B109" s="23" t="s">
        <v>26</v>
      </c>
      <c r="C109" s="23" t="s">
        <v>53</v>
      </c>
      <c r="D109" s="23" t="s">
        <v>54</v>
      </c>
      <c r="E109" s="23">
        <v>4</v>
      </c>
      <c r="F109" s="23">
        <v>6</v>
      </c>
      <c r="G109" s="23">
        <f t="shared" si="2"/>
        <v>-2</v>
      </c>
    </row>
    <row r="110" spans="1:7" ht="32.25" customHeight="1" x14ac:dyDescent="0.25">
      <c r="A110" s="23" t="s">
        <v>25</v>
      </c>
      <c r="B110" s="23" t="s">
        <v>28</v>
      </c>
      <c r="C110" s="23" t="s">
        <v>53</v>
      </c>
      <c r="D110" s="23" t="s">
        <v>54</v>
      </c>
      <c r="E110" s="23">
        <v>6</v>
      </c>
      <c r="F110" s="23">
        <v>6</v>
      </c>
      <c r="G110" s="23">
        <f t="shared" si="2"/>
        <v>0</v>
      </c>
    </row>
    <row r="111" spans="1:7" ht="15" customHeight="1" x14ac:dyDescent="0.25">
      <c r="A111" s="23" t="s">
        <v>25</v>
      </c>
      <c r="B111" s="23" t="s">
        <v>30</v>
      </c>
      <c r="C111" s="23" t="s">
        <v>53</v>
      </c>
      <c r="D111" s="23" t="s">
        <v>54</v>
      </c>
      <c r="E111" s="23">
        <v>4</v>
      </c>
      <c r="F111" s="23">
        <v>6</v>
      </c>
      <c r="G111" s="23">
        <f t="shared" si="2"/>
        <v>-2</v>
      </c>
    </row>
    <row r="112" spans="1:7" ht="15" customHeight="1" x14ac:dyDescent="0.25">
      <c r="A112" s="23" t="s">
        <v>27</v>
      </c>
      <c r="B112" s="23" t="s">
        <v>20</v>
      </c>
      <c r="C112" s="23" t="s">
        <v>53</v>
      </c>
      <c r="D112" s="23" t="s">
        <v>54</v>
      </c>
      <c r="E112" s="23">
        <v>5</v>
      </c>
      <c r="F112" s="23">
        <v>6</v>
      </c>
      <c r="G112" s="23">
        <f t="shared" si="2"/>
        <v>-1</v>
      </c>
    </row>
    <row r="113" spans="1:7" ht="15" customHeight="1" x14ac:dyDescent="0.25">
      <c r="A113" s="23" t="s">
        <v>27</v>
      </c>
      <c r="B113" s="23" t="s">
        <v>22</v>
      </c>
      <c r="C113" s="23" t="s">
        <v>53</v>
      </c>
      <c r="D113" s="23" t="s">
        <v>54</v>
      </c>
      <c r="E113" s="23">
        <v>6</v>
      </c>
      <c r="F113" s="23">
        <v>6</v>
      </c>
      <c r="G113" s="23">
        <f t="shared" si="2"/>
        <v>0</v>
      </c>
    </row>
    <row r="114" spans="1:7" ht="21.75" customHeight="1" x14ac:dyDescent="0.25">
      <c r="A114" s="23" t="s">
        <v>27</v>
      </c>
      <c r="B114" s="23" t="s">
        <v>24</v>
      </c>
      <c r="C114" s="23" t="s">
        <v>53</v>
      </c>
      <c r="D114" s="23" t="s">
        <v>54</v>
      </c>
      <c r="E114" s="23">
        <v>4</v>
      </c>
      <c r="F114" s="23">
        <v>6</v>
      </c>
      <c r="G114" s="23">
        <f t="shared" si="2"/>
        <v>-2</v>
      </c>
    </row>
    <row r="115" spans="1:7" ht="15" customHeight="1" x14ac:dyDescent="0.25">
      <c r="A115" s="23" t="s">
        <v>27</v>
      </c>
      <c r="B115" s="23" t="s">
        <v>26</v>
      </c>
      <c r="C115" s="23" t="s">
        <v>53</v>
      </c>
      <c r="D115" s="23" t="s">
        <v>54</v>
      </c>
      <c r="E115" s="23">
        <v>3</v>
      </c>
      <c r="F115" s="23">
        <v>6</v>
      </c>
      <c r="G115" s="23">
        <f t="shared" si="2"/>
        <v>-3</v>
      </c>
    </row>
    <row r="116" spans="1:7" ht="15" customHeight="1" x14ac:dyDescent="0.25">
      <c r="A116" s="23" t="s">
        <v>27</v>
      </c>
      <c r="B116" s="23" t="s">
        <v>28</v>
      </c>
      <c r="C116" s="23" t="s">
        <v>53</v>
      </c>
      <c r="D116" s="23" t="s">
        <v>54</v>
      </c>
      <c r="E116" s="23">
        <v>6</v>
      </c>
      <c r="F116" s="23">
        <v>6</v>
      </c>
      <c r="G116" s="23">
        <f t="shared" si="2"/>
        <v>0</v>
      </c>
    </row>
    <row r="117" spans="1:7" ht="15" customHeight="1" x14ac:dyDescent="0.25">
      <c r="A117" s="23" t="s">
        <v>27</v>
      </c>
      <c r="B117" s="23" t="s">
        <v>30</v>
      </c>
      <c r="C117" s="23" t="s">
        <v>53</v>
      </c>
      <c r="D117" s="23" t="s">
        <v>54</v>
      </c>
      <c r="E117" s="23">
        <v>7</v>
      </c>
      <c r="F117" s="23">
        <v>6</v>
      </c>
      <c r="G117" s="23">
        <f t="shared" si="2"/>
        <v>1</v>
      </c>
    </row>
    <row r="118" spans="1:7" ht="15" customHeight="1" x14ac:dyDescent="0.25">
      <c r="A118" s="23" t="s">
        <v>29</v>
      </c>
      <c r="B118" s="23" t="s">
        <v>20</v>
      </c>
      <c r="C118" s="23" t="s">
        <v>53</v>
      </c>
      <c r="D118" s="23" t="s">
        <v>54</v>
      </c>
      <c r="E118" s="23">
        <v>3</v>
      </c>
      <c r="F118" s="23">
        <v>6</v>
      </c>
      <c r="G118" s="23">
        <f t="shared" si="2"/>
        <v>-3</v>
      </c>
    </row>
    <row r="119" spans="1:7" ht="15" customHeight="1" x14ac:dyDescent="0.25">
      <c r="A119" s="23" t="s">
        <v>29</v>
      </c>
      <c r="B119" s="23" t="s">
        <v>22</v>
      </c>
      <c r="C119" s="23" t="s">
        <v>53</v>
      </c>
      <c r="D119" s="23" t="s">
        <v>54</v>
      </c>
      <c r="E119" s="23">
        <v>3</v>
      </c>
      <c r="F119" s="23">
        <v>6</v>
      </c>
      <c r="G119" s="23">
        <f t="shared" si="2"/>
        <v>-3</v>
      </c>
    </row>
    <row r="120" spans="1:7" ht="21.75" customHeight="1" x14ac:dyDescent="0.25">
      <c r="A120" s="23" t="s">
        <v>29</v>
      </c>
      <c r="B120" s="23" t="s">
        <v>24</v>
      </c>
      <c r="C120" s="23" t="s">
        <v>53</v>
      </c>
      <c r="D120" s="23" t="s">
        <v>54</v>
      </c>
      <c r="E120" s="23">
        <v>8</v>
      </c>
      <c r="F120" s="23">
        <v>6</v>
      </c>
      <c r="G120" s="23">
        <f t="shared" ref="G120:G151" si="3">IF(E120="","",E120-F120)</f>
        <v>2</v>
      </c>
    </row>
    <row r="121" spans="1:7" ht="24" customHeight="1" x14ac:dyDescent="0.25">
      <c r="A121" s="23" t="s">
        <v>29</v>
      </c>
      <c r="B121" s="23" t="s">
        <v>26</v>
      </c>
      <c r="C121" s="23" t="s">
        <v>53</v>
      </c>
      <c r="D121" s="23" t="s">
        <v>54</v>
      </c>
      <c r="E121" s="23">
        <v>7</v>
      </c>
      <c r="F121" s="23">
        <v>6</v>
      </c>
      <c r="G121" s="23">
        <f t="shared" si="3"/>
        <v>1</v>
      </c>
    </row>
    <row r="122" spans="1:7" ht="15" customHeight="1" x14ac:dyDescent="0.25">
      <c r="A122" s="23" t="s">
        <v>29</v>
      </c>
      <c r="B122" s="23" t="s">
        <v>28</v>
      </c>
      <c r="C122" s="23" t="s">
        <v>53</v>
      </c>
      <c r="D122" s="23" t="s">
        <v>54</v>
      </c>
      <c r="E122" s="23">
        <v>3</v>
      </c>
      <c r="F122" s="23">
        <v>6</v>
      </c>
      <c r="G122" s="23">
        <f t="shared" si="3"/>
        <v>-3</v>
      </c>
    </row>
    <row r="123" spans="1:7" ht="21.75" customHeight="1" x14ac:dyDescent="0.25">
      <c r="A123" s="23" t="s">
        <v>29</v>
      </c>
      <c r="B123" s="23" t="s">
        <v>30</v>
      </c>
      <c r="C123" s="23" t="s">
        <v>53</v>
      </c>
      <c r="D123" s="23" t="s">
        <v>54</v>
      </c>
      <c r="E123" s="23">
        <v>3</v>
      </c>
      <c r="F123" s="23">
        <v>6</v>
      </c>
      <c r="G123" s="23">
        <f t="shared" si="3"/>
        <v>-3</v>
      </c>
    </row>
    <row r="124" spans="1:7" ht="21.75" customHeight="1" x14ac:dyDescent="0.25">
      <c r="A124" s="23" t="s">
        <v>31</v>
      </c>
      <c r="B124" s="23" t="s">
        <v>20</v>
      </c>
      <c r="C124" s="23" t="s">
        <v>53</v>
      </c>
      <c r="D124" s="23" t="s">
        <v>54</v>
      </c>
      <c r="E124" s="23">
        <v>4</v>
      </c>
      <c r="F124" s="23">
        <v>6</v>
      </c>
      <c r="G124" s="23">
        <f t="shared" si="3"/>
        <v>-2</v>
      </c>
    </row>
    <row r="125" spans="1:7" ht="21.75" customHeight="1" x14ac:dyDescent="0.25">
      <c r="A125" s="23" t="s">
        <v>31</v>
      </c>
      <c r="B125" s="23" t="s">
        <v>22</v>
      </c>
      <c r="C125" s="23" t="s">
        <v>53</v>
      </c>
      <c r="D125" s="23" t="s">
        <v>54</v>
      </c>
      <c r="E125" s="23">
        <v>4</v>
      </c>
      <c r="F125" s="23">
        <v>6</v>
      </c>
      <c r="G125" s="23">
        <f t="shared" si="3"/>
        <v>-2</v>
      </c>
    </row>
    <row r="126" spans="1:7" ht="21.75" customHeight="1" x14ac:dyDescent="0.25">
      <c r="A126" s="23" t="s">
        <v>31</v>
      </c>
      <c r="B126" s="23" t="s">
        <v>24</v>
      </c>
      <c r="C126" s="23" t="s">
        <v>53</v>
      </c>
      <c r="D126" s="23" t="s">
        <v>54</v>
      </c>
      <c r="E126" s="23">
        <v>6</v>
      </c>
      <c r="F126" s="23">
        <v>6</v>
      </c>
      <c r="G126" s="23">
        <f t="shared" si="3"/>
        <v>0</v>
      </c>
    </row>
    <row r="127" spans="1:7" ht="21.75" customHeight="1" x14ac:dyDescent="0.25">
      <c r="A127" s="23" t="s">
        <v>31</v>
      </c>
      <c r="B127" s="23" t="s">
        <v>26</v>
      </c>
      <c r="C127" s="23" t="s">
        <v>53</v>
      </c>
      <c r="D127" s="23" t="s">
        <v>54</v>
      </c>
      <c r="E127" s="23">
        <v>6</v>
      </c>
      <c r="F127" s="23">
        <v>6</v>
      </c>
      <c r="G127" s="23">
        <f t="shared" si="3"/>
        <v>0</v>
      </c>
    </row>
    <row r="128" spans="1:7" ht="21.75" customHeight="1" x14ac:dyDescent="0.25">
      <c r="A128" s="23" t="s">
        <v>31</v>
      </c>
      <c r="B128" s="23" t="s">
        <v>28</v>
      </c>
      <c r="C128" s="23" t="s">
        <v>53</v>
      </c>
      <c r="D128" s="23" t="s">
        <v>54</v>
      </c>
      <c r="E128" s="23">
        <v>6</v>
      </c>
      <c r="F128" s="23">
        <v>6</v>
      </c>
      <c r="G128" s="23">
        <f t="shared" si="3"/>
        <v>0</v>
      </c>
    </row>
    <row r="129" spans="1:7" ht="15" customHeight="1" x14ac:dyDescent="0.25">
      <c r="A129" s="23" t="s">
        <v>31</v>
      </c>
      <c r="B129" s="23" t="s">
        <v>30</v>
      </c>
      <c r="C129" s="23" t="s">
        <v>53</v>
      </c>
      <c r="D129" s="23" t="s">
        <v>54</v>
      </c>
      <c r="E129" s="23">
        <v>4</v>
      </c>
      <c r="F129" s="23">
        <v>6</v>
      </c>
      <c r="G129" s="23">
        <f t="shared" si="3"/>
        <v>-2</v>
      </c>
    </row>
    <row r="130" spans="1:7" ht="15" customHeight="1" x14ac:dyDescent="0.25">
      <c r="A130" s="23" t="s">
        <v>32</v>
      </c>
      <c r="B130" s="23" t="s">
        <v>20</v>
      </c>
      <c r="C130" s="23" t="s">
        <v>53</v>
      </c>
      <c r="D130" s="23" t="s">
        <v>54</v>
      </c>
      <c r="E130" s="23">
        <v>6</v>
      </c>
      <c r="F130" s="23">
        <v>6</v>
      </c>
      <c r="G130" s="23">
        <f t="shared" si="3"/>
        <v>0</v>
      </c>
    </row>
    <row r="131" spans="1:7" ht="15" customHeight="1" x14ac:dyDescent="0.25">
      <c r="A131" s="23" t="s">
        <v>32</v>
      </c>
      <c r="B131" s="23" t="s">
        <v>22</v>
      </c>
      <c r="C131" s="23" t="s">
        <v>53</v>
      </c>
      <c r="D131" s="23" t="s">
        <v>54</v>
      </c>
      <c r="E131" s="23">
        <v>3</v>
      </c>
      <c r="F131" s="23">
        <v>6</v>
      </c>
      <c r="G131" s="23">
        <f t="shared" si="3"/>
        <v>-3</v>
      </c>
    </row>
    <row r="132" spans="1:7" ht="21.75" customHeight="1" x14ac:dyDescent="0.25">
      <c r="A132" s="23" t="s">
        <v>32</v>
      </c>
      <c r="B132" s="23" t="s">
        <v>24</v>
      </c>
      <c r="C132" s="23" t="s">
        <v>53</v>
      </c>
      <c r="D132" s="23" t="s">
        <v>54</v>
      </c>
      <c r="E132" s="23">
        <v>4</v>
      </c>
      <c r="F132" s="23">
        <v>6</v>
      </c>
      <c r="G132" s="23">
        <f t="shared" si="3"/>
        <v>-2</v>
      </c>
    </row>
    <row r="133" spans="1:7" ht="15" customHeight="1" x14ac:dyDescent="0.25">
      <c r="A133" s="23" t="s">
        <v>32</v>
      </c>
      <c r="B133" s="23" t="s">
        <v>26</v>
      </c>
      <c r="C133" s="23" t="s">
        <v>53</v>
      </c>
      <c r="D133" s="23" t="s">
        <v>54</v>
      </c>
      <c r="E133" s="23">
        <v>6</v>
      </c>
      <c r="F133" s="23">
        <v>6</v>
      </c>
      <c r="G133" s="23">
        <f t="shared" si="3"/>
        <v>0</v>
      </c>
    </row>
    <row r="134" spans="1:7" ht="15" customHeight="1" x14ac:dyDescent="0.25">
      <c r="A134" s="23" t="s">
        <v>32</v>
      </c>
      <c r="B134" s="23" t="s">
        <v>28</v>
      </c>
      <c r="C134" s="23" t="s">
        <v>53</v>
      </c>
      <c r="D134" s="23" t="s">
        <v>54</v>
      </c>
      <c r="E134" s="23">
        <v>3</v>
      </c>
      <c r="F134" s="23">
        <v>6</v>
      </c>
      <c r="G134" s="23">
        <f t="shared" si="3"/>
        <v>-3</v>
      </c>
    </row>
    <row r="135" spans="1:7" ht="15" customHeight="1" x14ac:dyDescent="0.25">
      <c r="A135" s="23" t="s">
        <v>32</v>
      </c>
      <c r="B135" s="23" t="s">
        <v>30</v>
      </c>
      <c r="C135" s="23" t="s">
        <v>53</v>
      </c>
      <c r="D135" s="23" t="s">
        <v>54</v>
      </c>
      <c r="E135" s="23">
        <v>6</v>
      </c>
      <c r="F135" s="23">
        <v>6</v>
      </c>
      <c r="G135" s="23">
        <f t="shared" si="3"/>
        <v>0</v>
      </c>
    </row>
    <row r="136" spans="1:7" ht="15" customHeight="1" x14ac:dyDescent="0.25">
      <c r="A136" s="23" t="s">
        <v>33</v>
      </c>
      <c r="B136" s="23" t="s">
        <v>20</v>
      </c>
      <c r="C136" s="23" t="s">
        <v>53</v>
      </c>
      <c r="D136" s="23" t="s">
        <v>54</v>
      </c>
      <c r="E136" s="23">
        <v>5</v>
      </c>
      <c r="F136" s="23">
        <v>6</v>
      </c>
      <c r="G136" s="23">
        <f t="shared" si="3"/>
        <v>-1</v>
      </c>
    </row>
    <row r="137" spans="1:7" ht="15" customHeight="1" x14ac:dyDescent="0.25">
      <c r="A137" s="23" t="s">
        <v>33</v>
      </c>
      <c r="B137" s="23" t="s">
        <v>22</v>
      </c>
      <c r="C137" s="23" t="s">
        <v>53</v>
      </c>
      <c r="D137" s="23" t="s">
        <v>54</v>
      </c>
      <c r="E137" s="23">
        <v>6</v>
      </c>
      <c r="F137" s="23">
        <v>6</v>
      </c>
      <c r="G137" s="23">
        <f t="shared" si="3"/>
        <v>0</v>
      </c>
    </row>
    <row r="138" spans="1:7" ht="21.75" customHeight="1" x14ac:dyDescent="0.25">
      <c r="A138" s="23" t="s">
        <v>33</v>
      </c>
      <c r="B138" s="23" t="s">
        <v>24</v>
      </c>
      <c r="C138" s="23" t="s">
        <v>53</v>
      </c>
      <c r="D138" s="23" t="s">
        <v>54</v>
      </c>
      <c r="E138" s="23">
        <v>5</v>
      </c>
      <c r="F138" s="23">
        <v>6</v>
      </c>
      <c r="G138" s="23">
        <f t="shared" si="3"/>
        <v>-1</v>
      </c>
    </row>
    <row r="139" spans="1:7" ht="15" customHeight="1" x14ac:dyDescent="0.25">
      <c r="A139" s="23" t="s">
        <v>33</v>
      </c>
      <c r="B139" s="23" t="s">
        <v>26</v>
      </c>
      <c r="C139" s="23" t="s">
        <v>53</v>
      </c>
      <c r="D139" s="23" t="s">
        <v>54</v>
      </c>
      <c r="E139" s="23">
        <v>6</v>
      </c>
      <c r="F139" s="23">
        <v>6</v>
      </c>
      <c r="G139" s="23">
        <f t="shared" si="3"/>
        <v>0</v>
      </c>
    </row>
    <row r="140" spans="1:7" ht="15" customHeight="1" x14ac:dyDescent="0.25">
      <c r="A140" s="23" t="s">
        <v>33</v>
      </c>
      <c r="B140" s="23" t="s">
        <v>28</v>
      </c>
      <c r="C140" s="23" t="s">
        <v>53</v>
      </c>
      <c r="D140" s="23" t="s">
        <v>54</v>
      </c>
      <c r="E140" s="23">
        <v>8</v>
      </c>
      <c r="F140" s="23">
        <v>6</v>
      </c>
      <c r="G140" s="23">
        <f t="shared" si="3"/>
        <v>2</v>
      </c>
    </row>
    <row r="141" spans="1:7" ht="15" customHeight="1" x14ac:dyDescent="0.25">
      <c r="A141" s="23" t="s">
        <v>33</v>
      </c>
      <c r="B141" s="23" t="s">
        <v>30</v>
      </c>
      <c r="C141" s="23" t="s">
        <v>53</v>
      </c>
      <c r="D141" s="23" t="s">
        <v>54</v>
      </c>
      <c r="E141" s="23">
        <v>8</v>
      </c>
      <c r="F141" s="23">
        <v>6</v>
      </c>
      <c r="G141" s="23">
        <f t="shared" si="3"/>
        <v>2</v>
      </c>
    </row>
  </sheetData>
  <mergeCells count="7">
    <mergeCell ref="A85:G85"/>
    <mergeCell ref="A86:G86"/>
    <mergeCell ref="A1:O1"/>
    <mergeCell ref="A2:O2"/>
    <mergeCell ref="A4:H4"/>
    <mergeCell ref="A63:N63"/>
    <mergeCell ref="A65:N65"/>
  </mergeCells>
  <conditionalFormatting sqref="E66:E85 E87:E133">
    <cfRule type="expression" dxfId="5" priority="2">
      <formula>E66="Functional"</formula>
    </cfRule>
    <cfRule type="expression" dxfId="4" priority="3">
      <formula>E66="Downtime"</formula>
    </cfRule>
    <cfRule type="expression" dxfId="3" priority="4">
      <formula>E66="Due for Repair"</formula>
    </cfRule>
  </conditionalFormatting>
  <conditionalFormatting sqref="K66:K83">
    <cfRule type="cellIs" dxfId="2" priority="5" operator="greaterThanOrEqual">
      <formula>0.9</formula>
    </cfRule>
    <cfRule type="cellIs" dxfId="1" priority="6" operator="greaterThan">
      <formula>0.7</formula>
    </cfRule>
    <cfRule type="cellIs" dxfId="0" priority="7" operator="lessThanOrEqual">
      <formula>0.7</formula>
    </cfRule>
  </conditionalFormatting>
  <dataValidations count="13">
    <dataValidation type="list" allowBlank="1" sqref="B6:B62">
      <formula1>"January,February,March,April,May,June,July,August,September,October,November,December"</formula1>
      <formula2>0</formula2>
    </dataValidation>
    <dataValidation type="list" allowBlank="1" sqref="C6:C62">
      <formula1>"Week 1,Week 2,Week 3,Week 4"</formula1>
      <formula2>0</formula2>
    </dataValidation>
    <dataValidation type="list" allowBlank="1" sqref="D6:D62">
      <formula1>"Site A,Site B,Site C,Site D,Site E,Site F,Site G,Site H,Site I"</formula1>
      <formula2>0</formula2>
    </dataValidation>
    <dataValidation type="list" allowBlank="1" sqref="E6:E62">
      <formula1>"Chemistry,Serology,Hematology,Cardiac Markers,Endocrinology,Toxicology"</formula1>
      <formula2>0</formula2>
    </dataValidation>
    <dataValidation type="list" allowBlank="1" sqref="A66:A87">
      <formula1>"Site A,Site B,Site C,Site D,Site E,Site F,Site G,Site H,Site I"</formula1>
      <formula2>0</formula2>
    </dataValidation>
    <dataValidation type="list" allowBlank="1" sqref="B66:B87">
      <formula1>"Chemistry,Serology,Hematology,Cardiac Markers,Endocrinology,Toxicology"</formula1>
      <formula2>0</formula2>
    </dataValidation>
    <dataValidation type="list" allowBlank="1" sqref="E66:E200">
      <formula1>"Functional,Downtime,Due for Repair"</formula1>
      <formula2>0</formula2>
    </dataValidation>
    <dataValidation type="list" allowBlank="1" sqref="M66:M200">
      <formula1>"January,February,March,April,May,June,July,August,September,October,November,December"</formula1>
      <formula2>0</formula2>
    </dataValidation>
    <dataValidation type="list" allowBlank="1" sqref="N66:N200">
      <formula1>"Week 1,Week 2,Week 3,Week 4"</formula1>
      <formula2>0</formula2>
    </dataValidation>
    <dataValidation type="list" allowBlank="1" sqref="A88:A264">
      <formula1>"Site A,Site B,Site C,Site D,Site E,Site F,Site G,Site H,Site I"</formula1>
      <formula2>0</formula2>
    </dataValidation>
    <dataValidation type="list" allowBlank="1" sqref="B88:B264">
      <formula1>"Chemistry,Serology,Hematology,Cardiac Markers,Endocrinology,Toxicology"</formula1>
      <formula2>0</formula2>
    </dataValidation>
    <dataValidation type="list" allowBlank="1" sqref="C88:C264">
      <formula1>"January,February,March,April,May,June,July,August,September,October,November,December"</formula1>
      <formula2>0</formula2>
    </dataValidation>
    <dataValidation type="list" allowBlank="1" sqref="D88:D264">
      <formula1>"Week 1,Week 2,Week 3,Week 4"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88888"/>
  </sheetPr>
  <dimension ref="A1:N13"/>
  <sheetViews>
    <sheetView showGridLines="0" zoomScale="72" zoomScaleNormal="72" workbookViewId="0">
      <selection activeCell="B5" sqref="B5"/>
    </sheetView>
  </sheetViews>
  <sheetFormatPr defaultColWidth="8.7109375" defaultRowHeight="15" x14ac:dyDescent="0.25"/>
  <cols>
    <col min="1" max="5" width="16" customWidth="1"/>
    <col min="7" max="10" width="16" customWidth="1"/>
    <col min="13" max="14" width="16" customWidth="1"/>
  </cols>
  <sheetData>
    <row r="1" spans="1:14" ht="15" customHeight="1" x14ac:dyDescent="0.25">
      <c r="A1" s="46" t="s">
        <v>73</v>
      </c>
    </row>
    <row r="2" spans="1:14" ht="36" customHeight="1" x14ac:dyDescent="0.25">
      <c r="A2" s="79" t="s">
        <v>74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</row>
    <row r="3" spans="1:14" ht="15" customHeight="1" x14ac:dyDescent="0.25">
      <c r="A3" s="47" t="s">
        <v>75</v>
      </c>
      <c r="G3" s="47" t="s">
        <v>76</v>
      </c>
      <c r="M3" s="47" t="s">
        <v>77</v>
      </c>
    </row>
    <row r="4" spans="1:14" ht="15" customHeight="1" x14ac:dyDescent="0.25">
      <c r="A4" s="48" t="s">
        <v>11</v>
      </c>
      <c r="B4" s="48" t="s">
        <v>78</v>
      </c>
      <c r="C4" s="48" t="s">
        <v>79</v>
      </c>
      <c r="D4" s="48" t="s">
        <v>80</v>
      </c>
      <c r="E4" s="48" t="s">
        <v>15</v>
      </c>
      <c r="G4" s="49" t="s">
        <v>17</v>
      </c>
      <c r="H4" s="49" t="s">
        <v>78</v>
      </c>
      <c r="I4" s="49" t="s">
        <v>79</v>
      </c>
      <c r="J4" s="49" t="s">
        <v>80</v>
      </c>
      <c r="M4" s="50" t="s">
        <v>16</v>
      </c>
      <c r="N4" s="50" t="s">
        <v>39</v>
      </c>
    </row>
    <row r="5" spans="1:14" ht="15" customHeight="1" x14ac:dyDescent="0.25">
      <c r="A5" s="23" t="s">
        <v>19</v>
      </c>
      <c r="B5" s="23">
        <f>SUMIFS('DATA ENTRY'!F6:F500,'DATA ENTRY'!D6:D500,"Site A")</f>
        <v>1532</v>
      </c>
      <c r="C5" s="23">
        <f>SUMIFS('DATA ENTRY'!G6:G500,'DATA ENTRY'!D6:D500,"Site A")</f>
        <v>761</v>
      </c>
      <c r="D5" s="21">
        <f>IFERROR(AVERAGEIFS('DATA ENTRY'!H6:H500,'DATA ENTRY'!D6:D500,"Site A",'DATA ENTRY'!H6:H500,"&gt;0"),0)</f>
        <v>0.88166666666666671</v>
      </c>
      <c r="E5" s="23">
        <f>SUMIFS('DATA ENTRY'!G88:G264,'DATA ENTRY'!A88:A264,"Site A")</f>
        <v>1</v>
      </c>
      <c r="G5" s="23" t="s">
        <v>20</v>
      </c>
      <c r="H5" s="23">
        <f>SUMIFS('DATA ENTRY'!F6:F500,'DATA ENTRY'!E6:E500,"Chemistry")</f>
        <v>2275</v>
      </c>
      <c r="I5" s="23">
        <f>SUMIFS('DATA ENTRY'!G6:G500,'DATA ENTRY'!E6:E500,"Chemistry")</f>
        <v>1561</v>
      </c>
      <c r="J5" s="21">
        <f>IFERROR(AVERAGEIFS('DATA ENTRY'!H6:H500,'DATA ENTRY'!E6:E500,"Chemistry",'DATA ENTRY'!H6:H500,"&gt;0"),0)</f>
        <v>0.87888888888888894</v>
      </c>
      <c r="M5" s="23" t="s">
        <v>42</v>
      </c>
      <c r="N5" s="23">
        <f>COUNTIFS('DATA ENTRY'!E66:E264,"Functional")</f>
        <v>18</v>
      </c>
    </row>
    <row r="6" spans="1:14" ht="15" customHeight="1" x14ac:dyDescent="0.25">
      <c r="A6" s="23" t="s">
        <v>21</v>
      </c>
      <c r="B6" s="23">
        <f>SUMIFS('DATA ENTRY'!F6:F500,'DATA ENTRY'!D6:D500,"Site B")</f>
        <v>1468</v>
      </c>
      <c r="C6" s="23">
        <f>SUMIFS('DATA ENTRY'!G6:G500,'DATA ENTRY'!D6:D500,"Site B")</f>
        <v>1321</v>
      </c>
      <c r="D6" s="21">
        <f>IFERROR(AVERAGEIFS('DATA ENTRY'!H6:H500,'DATA ENTRY'!D6:D500,"Site B",'DATA ENTRY'!H6:H500,"&gt;0"),0)</f>
        <v>0.85166666666666668</v>
      </c>
      <c r="E6" s="23">
        <f>SUMIFS('DATA ENTRY'!G88:G264,'DATA ENTRY'!A88:A264,"Site B")</f>
        <v>-3</v>
      </c>
      <c r="G6" s="23" t="s">
        <v>22</v>
      </c>
      <c r="H6" s="23">
        <f>SUMIFS('DATA ENTRY'!F6:F500,'DATA ENTRY'!E6:E500,"Serology")</f>
        <v>1824</v>
      </c>
      <c r="I6" s="23">
        <f>SUMIFS('DATA ENTRY'!G6:G500,'DATA ENTRY'!E6:E500,"Serology")</f>
        <v>2096</v>
      </c>
      <c r="J6" s="21">
        <f>IFERROR(AVERAGEIFS('DATA ENTRY'!H6:H500,'DATA ENTRY'!E6:E500,"Serology",'DATA ENTRY'!H6:H500,"&gt;0"),0)</f>
        <v>0.86222222222222222</v>
      </c>
      <c r="M6" s="23" t="s">
        <v>43</v>
      </c>
      <c r="N6" s="23">
        <f>COUNTIFS('DATA ENTRY'!E66:E264,"Downtime")</f>
        <v>0</v>
      </c>
    </row>
    <row r="7" spans="1:14" ht="15" customHeight="1" x14ac:dyDescent="0.25">
      <c r="A7" s="23" t="s">
        <v>23</v>
      </c>
      <c r="B7" s="23">
        <f>SUMIFS('DATA ENTRY'!F6:F500,'DATA ENTRY'!D6:D500,"Site C")</f>
        <v>1232</v>
      </c>
      <c r="C7" s="23">
        <f>SUMIFS('DATA ENTRY'!G6:G500,'DATA ENTRY'!D6:D500,"Site C")</f>
        <v>1144</v>
      </c>
      <c r="D7" s="21">
        <f>IFERROR(AVERAGEIFS('DATA ENTRY'!H6:H500,'DATA ENTRY'!D6:D500,"Site C",'DATA ENTRY'!H6:H500,"&gt;0"),0)</f>
        <v>0.90333333333333332</v>
      </c>
      <c r="E7" s="23">
        <f>SUMIFS('DATA ENTRY'!G88:G264,'DATA ENTRY'!A88:A264,"Site C")</f>
        <v>-6</v>
      </c>
      <c r="G7" s="23" t="s">
        <v>24</v>
      </c>
      <c r="H7" s="23">
        <f>SUMIFS('DATA ENTRY'!F6:F500,'DATA ENTRY'!E6:E500,"Hematology")</f>
        <v>1717</v>
      </c>
      <c r="I7" s="23">
        <f>SUMIFS('DATA ENTRY'!G6:G500,'DATA ENTRY'!E6:E500,"Hematology")</f>
        <v>1744</v>
      </c>
      <c r="J7" s="21">
        <f>IFERROR(AVERAGEIFS('DATA ENTRY'!H6:H500,'DATA ENTRY'!E6:E500,"Hematology",'DATA ENTRY'!H6:H500,"&gt;0"),0)</f>
        <v>0.88333333333333341</v>
      </c>
      <c r="M7" s="23" t="s">
        <v>44</v>
      </c>
      <c r="N7" s="23">
        <f>COUNTIFS('DATA ENTRY'!E66:E264,"Due for Repair")</f>
        <v>0</v>
      </c>
    </row>
    <row r="8" spans="1:14" ht="15" customHeight="1" x14ac:dyDescent="0.25">
      <c r="A8" s="23" t="s">
        <v>25</v>
      </c>
      <c r="B8" s="23">
        <f>SUMIFS('DATA ENTRY'!F6:F500,'DATA ENTRY'!D6:D500,"Site D")</f>
        <v>1519</v>
      </c>
      <c r="C8" s="23">
        <f>SUMIFS('DATA ENTRY'!G6:G500,'DATA ENTRY'!D6:D500,"Site D")</f>
        <v>1205</v>
      </c>
      <c r="D8" s="21">
        <f>IFERROR(AVERAGEIFS('DATA ENTRY'!H6:H500,'DATA ENTRY'!D6:D500,"Site D",'DATA ENTRY'!H6:H500,"&gt;0"),0)</f>
        <v>0.85</v>
      </c>
      <c r="E8" s="23">
        <f>SUMIFS('DATA ENTRY'!G88:G264,'DATA ENTRY'!A88:A264,"Site D")</f>
        <v>-5</v>
      </c>
      <c r="G8" s="23" t="s">
        <v>26</v>
      </c>
      <c r="H8" s="23">
        <f>SUMIFS('DATA ENTRY'!F6:F500,'DATA ENTRY'!E6:E500,"Cardiac Markers")</f>
        <v>2016</v>
      </c>
      <c r="I8" s="23">
        <f>SUMIFS('DATA ENTRY'!G6:G500,'DATA ENTRY'!E6:E500,"Cardiac Markers")</f>
        <v>1828</v>
      </c>
      <c r="J8" s="21">
        <f>IFERROR(AVERAGEIFS('DATA ENTRY'!H6:H500,'DATA ENTRY'!E6:E500,"Cardiac Markers",'DATA ENTRY'!H6:H500,"&gt;0"),0)</f>
        <v>0.88222222222222213</v>
      </c>
    </row>
    <row r="9" spans="1:14" ht="15" customHeight="1" x14ac:dyDescent="0.25">
      <c r="A9" s="23" t="s">
        <v>27</v>
      </c>
      <c r="B9" s="23">
        <f>SUMIFS('DATA ENTRY'!F6:F500,'DATA ENTRY'!D6:D500,"Site E")</f>
        <v>1633</v>
      </c>
      <c r="C9" s="23">
        <f>SUMIFS('DATA ENTRY'!G6:G500,'DATA ENTRY'!D6:D500,"Site E")</f>
        <v>1815</v>
      </c>
      <c r="D9" s="21">
        <f>IFERROR(AVERAGEIFS('DATA ENTRY'!H6:H500,'DATA ENTRY'!D6:D500,"Site E",'DATA ENTRY'!H6:H500,"&gt;0"),0)</f>
        <v>0.85999999999999988</v>
      </c>
      <c r="E9" s="23">
        <f>SUMIFS('DATA ENTRY'!G88:G264,'DATA ENTRY'!A88:A264,"Site E")</f>
        <v>-5</v>
      </c>
      <c r="G9" s="23" t="s">
        <v>28</v>
      </c>
      <c r="H9" s="23">
        <f>SUMIFS('DATA ENTRY'!F6:F500,'DATA ENTRY'!E6:E500,"Endocrinology")</f>
        <v>2170</v>
      </c>
      <c r="I9" s="23">
        <f>SUMIFS('DATA ENTRY'!G6:G500,'DATA ENTRY'!E6:E500,"Endocrinology")</f>
        <v>2213</v>
      </c>
      <c r="J9" s="21">
        <f>IFERROR(AVERAGEIFS('DATA ENTRY'!H6:H500,'DATA ENTRY'!E6:E500,"Endocrinology",'DATA ENTRY'!H6:H500,"&gt;0"),0)</f>
        <v>0.85555555555555562</v>
      </c>
    </row>
    <row r="10" spans="1:14" ht="15" customHeight="1" x14ac:dyDescent="0.25">
      <c r="A10" s="23" t="s">
        <v>29</v>
      </c>
      <c r="B10" s="23">
        <f>SUMIFS('DATA ENTRY'!F6:F500,'DATA ENTRY'!D6:D500,"Site F")</f>
        <v>1148</v>
      </c>
      <c r="C10" s="23">
        <f>SUMIFS('DATA ENTRY'!G6:G500,'DATA ENTRY'!D6:D500,"Site F")</f>
        <v>1711</v>
      </c>
      <c r="D10" s="21">
        <f>IFERROR(AVERAGEIFS('DATA ENTRY'!H6:H500,'DATA ENTRY'!D6:D500,"Site F",'DATA ENTRY'!H6:H500,"&gt;0"),0)</f>
        <v>0.84833333333333349</v>
      </c>
      <c r="E10" s="23">
        <f>SUMIFS('DATA ENTRY'!G88:G264,'DATA ENTRY'!A88:A264,"Site F")</f>
        <v>-9</v>
      </c>
      <c r="G10" s="23" t="s">
        <v>30</v>
      </c>
      <c r="H10" s="23">
        <f>SUMIFS('DATA ENTRY'!F6:F500,'DATA ENTRY'!E6:E500,"Toxicology")</f>
        <v>2463</v>
      </c>
      <c r="I10" s="23">
        <f>SUMIFS('DATA ENTRY'!G6:G500,'DATA ENTRY'!E6:E500,"Toxicology")</f>
        <v>2157</v>
      </c>
      <c r="J10" s="21">
        <f>IFERROR(AVERAGEIFS('DATA ENTRY'!H6:H500,'DATA ENTRY'!E6:E500,"Toxicology",'DATA ENTRY'!H6:H500,"&gt;0"),0)</f>
        <v>0.84444444444444444</v>
      </c>
    </row>
    <row r="11" spans="1:14" ht="15" customHeight="1" x14ac:dyDescent="0.25">
      <c r="A11" s="23" t="s">
        <v>31</v>
      </c>
      <c r="B11" s="23">
        <f>SUMIFS('DATA ENTRY'!F6:F500,'DATA ENTRY'!D6:D500,"Site G")</f>
        <v>1053</v>
      </c>
      <c r="C11" s="23">
        <f>SUMIFS('DATA ENTRY'!G6:G500,'DATA ENTRY'!D6:D500,"Site G")</f>
        <v>1263</v>
      </c>
      <c r="D11" s="21">
        <f>IFERROR(AVERAGEIFS('DATA ENTRY'!H6:H500,'DATA ENTRY'!D6:D500,"Site G",'DATA ENTRY'!H6:H500,"&gt;0"),0)</f>
        <v>0.89</v>
      </c>
      <c r="E11" s="23">
        <f>SUMIFS('DATA ENTRY'!G88:G264,'DATA ENTRY'!A88:A264,"Site G")</f>
        <v>-6</v>
      </c>
    </row>
    <row r="12" spans="1:14" ht="15" customHeight="1" x14ac:dyDescent="0.25">
      <c r="A12" s="23" t="s">
        <v>32</v>
      </c>
      <c r="B12" s="23">
        <f>SUMIFS('DATA ENTRY'!F6:F500,'DATA ENTRY'!D6:D500,"Site H")</f>
        <v>1341</v>
      </c>
      <c r="C12" s="23">
        <f>SUMIFS('DATA ENTRY'!G6:G500,'DATA ENTRY'!D6:D500,"Site H")</f>
        <v>1362</v>
      </c>
      <c r="D12" s="21">
        <f>IFERROR(AVERAGEIFS('DATA ENTRY'!H6:H500,'DATA ENTRY'!D6:D500,"Site H",'DATA ENTRY'!H6:H500,"&gt;0"),0)</f>
        <v>0.8883333333333332</v>
      </c>
      <c r="E12" s="23">
        <f>SUMIFS('DATA ENTRY'!G88:G264,'DATA ENTRY'!A88:A264,"Site H")</f>
        <v>-8</v>
      </c>
    </row>
    <row r="13" spans="1:14" ht="15" customHeight="1" x14ac:dyDescent="0.25">
      <c r="A13" s="23" t="s">
        <v>33</v>
      </c>
      <c r="B13" s="23">
        <f>SUMIFS('DATA ENTRY'!F6:F500,'DATA ENTRY'!D6:D500,"Site I")</f>
        <v>1539</v>
      </c>
      <c r="C13" s="23">
        <f>SUMIFS('DATA ENTRY'!G6:G500,'DATA ENTRY'!D6:D500,"Site I")</f>
        <v>1017</v>
      </c>
      <c r="D13" s="21">
        <f>IFERROR(AVERAGEIFS('DATA ENTRY'!H6:H500,'DATA ENTRY'!D6:D500,"Site I",'DATA ENTRY'!H6:H500,"&gt;0"),0)</f>
        <v>0.83666666666666656</v>
      </c>
      <c r="E13" s="23">
        <f>SUMIFS('DATA ENTRY'!G88:G264,'DATA ENTRY'!A88:A264,"Site I")</f>
        <v>2</v>
      </c>
    </row>
  </sheetData>
  <mergeCells count="1">
    <mergeCell ref="A2:N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0CAF9"/>
  </sheetPr>
  <dimension ref="A1:E16"/>
  <sheetViews>
    <sheetView showGridLines="0" topLeftCell="A10" zoomScaleNormal="100" workbookViewId="0">
      <selection activeCell="B9" sqref="B9"/>
    </sheetView>
  </sheetViews>
  <sheetFormatPr defaultColWidth="8.7109375" defaultRowHeight="15" x14ac:dyDescent="0.25"/>
  <cols>
    <col min="1" max="1" width="28" customWidth="1"/>
    <col min="2" max="2" width="24" customWidth="1"/>
  </cols>
  <sheetData>
    <row r="1" spans="1:5" ht="30" customHeight="1" x14ac:dyDescent="0.25">
      <c r="A1" s="80" t="s">
        <v>81</v>
      </c>
      <c r="B1" s="80"/>
      <c r="C1" s="80"/>
      <c r="D1" s="80"/>
    </row>
    <row r="3" spans="1:5" ht="21.75" customHeight="1" x14ac:dyDescent="0.25">
      <c r="A3" s="51" t="s">
        <v>82</v>
      </c>
      <c r="B3" s="52">
        <v>2026</v>
      </c>
      <c r="E3" s="53" t="str">
        <f>IF(B4="All","*",B4)</f>
        <v>January</v>
      </c>
    </row>
    <row r="4" spans="1:5" ht="21.75" customHeight="1" x14ac:dyDescent="0.25">
      <c r="A4" s="51" t="s">
        <v>83</v>
      </c>
      <c r="B4" s="52" t="s">
        <v>53</v>
      </c>
      <c r="E4" s="53" t="str">
        <f>IF(B5="All","*",B5)</f>
        <v>Week 1</v>
      </c>
    </row>
    <row r="5" spans="1:5" ht="21.75" customHeight="1" x14ac:dyDescent="0.25">
      <c r="A5" s="51" t="s">
        <v>84</v>
      </c>
      <c r="B5" s="52" t="s">
        <v>54</v>
      </c>
      <c r="E5" s="53" t="str">
        <f>IF(B6="All Sites","*",B6)</f>
        <v>*</v>
      </c>
    </row>
    <row r="6" spans="1:5" ht="21.75" customHeight="1" x14ac:dyDescent="0.25">
      <c r="A6" s="51" t="s">
        <v>85</v>
      </c>
      <c r="B6" s="52" t="s">
        <v>86</v>
      </c>
      <c r="E6" s="53" t="str">
        <f>IF(B7="All Departments","*",B7)</f>
        <v>*</v>
      </c>
    </row>
    <row r="7" spans="1:5" ht="21.75" customHeight="1" x14ac:dyDescent="0.25">
      <c r="A7" s="51" t="s">
        <v>87</v>
      </c>
      <c r="B7" s="52" t="s">
        <v>88</v>
      </c>
      <c r="E7" s="53" t="str">
        <f>IF(B5="Week 1","NO_PREV",IF(B5="Week 2","Week 1",IF(B5="Week 3","Week 2","Week 3")))</f>
        <v>NO_PREV</v>
      </c>
    </row>
    <row r="8" spans="1:5" ht="15" customHeight="1" x14ac:dyDescent="0.25">
      <c r="E8" s="53" t="str">
        <f>IF(E7="NO_PREV","*",E7)</f>
        <v>*</v>
      </c>
    </row>
    <row r="9" spans="1:5" ht="15" customHeight="1" x14ac:dyDescent="0.25">
      <c r="A9" s="54" t="s">
        <v>89</v>
      </c>
    </row>
    <row r="10" spans="1:5" ht="36" customHeight="1" x14ac:dyDescent="0.25">
      <c r="A10" s="79" t="s">
        <v>90</v>
      </c>
      <c r="B10" s="79"/>
      <c r="C10" s="79"/>
      <c r="D10" s="79"/>
    </row>
    <row r="11" spans="1:5" ht="36" customHeight="1" x14ac:dyDescent="0.25">
      <c r="A11" s="79" t="s">
        <v>91</v>
      </c>
      <c r="B11" s="79"/>
      <c r="C11" s="79"/>
      <c r="D11" s="79"/>
    </row>
    <row r="12" spans="1:5" ht="24" customHeight="1" x14ac:dyDescent="0.25">
      <c r="A12" s="79" t="s">
        <v>92</v>
      </c>
      <c r="B12" s="79"/>
      <c r="C12" s="79"/>
      <c r="D12" s="79"/>
    </row>
    <row r="13" spans="1:5" ht="36" customHeight="1" x14ac:dyDescent="0.25">
      <c r="A13" s="79" t="s">
        <v>93</v>
      </c>
      <c r="B13" s="79"/>
      <c r="C13" s="79"/>
      <c r="D13" s="79"/>
    </row>
    <row r="14" spans="1:5" ht="15" customHeight="1" x14ac:dyDescent="0.25">
      <c r="A14" s="79" t="s">
        <v>94</v>
      </c>
      <c r="B14" s="79"/>
      <c r="C14" s="79"/>
      <c r="D14" s="79"/>
    </row>
    <row r="15" spans="1:5" ht="27" customHeight="1" x14ac:dyDescent="0.25">
      <c r="A15" s="79" t="s">
        <v>95</v>
      </c>
      <c r="B15" s="79"/>
      <c r="C15" s="79"/>
      <c r="D15" s="79"/>
    </row>
    <row r="16" spans="1:5" ht="15" customHeight="1" x14ac:dyDescent="0.25">
      <c r="A16" s="79" t="s">
        <v>96</v>
      </c>
      <c r="B16" s="79"/>
      <c r="C16" s="79"/>
      <c r="D16" s="79"/>
    </row>
  </sheetData>
  <mergeCells count="8">
    <mergeCell ref="A14:D14"/>
    <mergeCell ref="A15:D15"/>
    <mergeCell ref="A16:D16"/>
    <mergeCell ref="A1:D1"/>
    <mergeCell ref="A10:D10"/>
    <mergeCell ref="A11:D11"/>
    <mergeCell ref="A12:D12"/>
    <mergeCell ref="A13:D13"/>
  </mergeCells>
  <dataValidations count="5">
    <dataValidation type="list" allowBlank="1" sqref="B3">
      <formula1>"2026"</formula1>
      <formula2>0</formula2>
    </dataValidation>
    <dataValidation type="list" allowBlank="1" sqref="B4">
      <formula1>"January,February,March,April,May,June,July,August,September,October,November,December"</formula1>
      <formula2>0</formula2>
    </dataValidation>
    <dataValidation type="list" allowBlank="1" sqref="B5">
      <formula1>"Week 1,Week 2,Week 3,Week 4"</formula1>
      <formula2>0</formula2>
    </dataValidation>
    <dataValidation type="list" allowBlank="1" sqref="B6">
      <formula1>"All Sites,Site A,Site B,Site C,Site D,Site E,Site F,Site G,Site H,Site I"</formula1>
      <formula2>0</formula2>
    </dataValidation>
    <dataValidation type="list" allowBlank="1" sqref="B7">
      <formula1>"All Departments,Chemistry,Serology,Hematology,Cardiac Markers,Endocrinology,Toxicology"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DATA ENTRY</vt:lpstr>
      <vt:lpstr>PIVOT DATA</vt:lpstr>
      <vt:lpstr>SELECTIONS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Tiamiyu</cp:lastModifiedBy>
  <cp:revision>0</cp:revision>
  <dcterms:created xsi:type="dcterms:W3CDTF">2026-03-30T20:39:15Z</dcterms:created>
  <dcterms:modified xsi:type="dcterms:W3CDTF">2026-04-03T18:13:27Z</dcterms:modified>
  <dc:language>en-US</dc:language>
</cp:coreProperties>
</file>